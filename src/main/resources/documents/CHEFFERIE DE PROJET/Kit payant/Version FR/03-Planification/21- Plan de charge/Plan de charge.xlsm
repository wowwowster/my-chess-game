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https://d.docs.live.net/931476b8b1caf179/Documents/boulot/CHEFFERIE DE PROJET/Kit payant/Version FR/03-Planification/21- Plan de charge/"/>
    </mc:Choice>
  </mc:AlternateContent>
  <xr:revisionPtr revIDLastSave="1" documentId="13_ncr:1_{3674BBCE-D8CC-4D92-8A85-523226437F21}" xr6:coauthVersionLast="47" xr6:coauthVersionMax="47" xr10:uidLastSave="{97EAF437-0B9C-4653-A00A-DC9DC34363F4}"/>
  <bookViews>
    <workbookView xWindow="-108" yWindow="-108" windowWidth="23256" windowHeight="12456" activeTab="2" xr2:uid="{00000000-000D-0000-FFFF-FFFF00000000}"/>
  </bookViews>
  <sheets>
    <sheet name="Guide d'utilisation" sheetId="5" r:id="rId1"/>
    <sheet name="Ressources" sheetId="3" r:id="rId2"/>
    <sheet name="Plan de charge" sheetId="2" r:id="rId3"/>
    <sheet name="Paramétrage" sheetId="6" r:id="rId4"/>
  </sheets>
  <definedNames>
    <definedName name="constYac">1</definedName>
    <definedName name="Noms">Ressources!$C$18:$C$38</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1" i="2" l="1"/>
  <c r="K17" i="2"/>
  <c r="K18" i="2" s="1"/>
  <c r="L17" i="2"/>
  <c r="L18" i="2" s="1"/>
  <c r="M17" i="2"/>
  <c r="M18" i="2" s="1"/>
  <c r="N17" i="2"/>
  <c r="N18" i="2" s="1"/>
  <c r="O17" i="2"/>
  <c r="O18" i="2" s="1"/>
  <c r="P17" i="2"/>
  <c r="P18" i="2" s="1"/>
  <c r="Q17" i="2"/>
  <c r="Q18" i="2" s="1"/>
  <c r="R17" i="2"/>
  <c r="R18" i="2" s="1"/>
  <c r="S17" i="2"/>
  <c r="S18" i="2" s="1"/>
  <c r="T17" i="2"/>
  <c r="T18" i="2" s="1"/>
  <c r="U17" i="2"/>
  <c r="U18" i="2" s="1"/>
  <c r="V17" i="2"/>
  <c r="V18" i="2" s="1"/>
  <c r="W17" i="2"/>
  <c r="W18" i="2" s="1"/>
  <c r="X17" i="2"/>
  <c r="X18" i="2" s="1"/>
  <c r="Y17" i="2"/>
  <c r="Y18" i="2" s="1"/>
  <c r="Z17" i="2"/>
  <c r="Z18" i="2" s="1"/>
  <c r="AA17" i="2"/>
  <c r="AA18" i="2" s="1"/>
  <c r="AB17" i="2"/>
  <c r="AB18" i="2" s="1"/>
  <c r="AC17" i="2"/>
  <c r="AC18" i="2" s="1"/>
  <c r="AD17" i="2"/>
  <c r="AD18" i="2" s="1"/>
  <c r="AE17" i="2"/>
  <c r="AE18" i="2" s="1"/>
  <c r="AF17" i="2"/>
  <c r="AF18" i="2" s="1"/>
  <c r="AG17" i="2"/>
  <c r="AG18" i="2" s="1"/>
  <c r="AH17" i="2"/>
  <c r="AH18" i="2" s="1"/>
  <c r="AI17" i="2"/>
  <c r="AI18" i="2" s="1"/>
  <c r="AJ17" i="2"/>
  <c r="AJ18" i="2" s="1"/>
  <c r="AK17" i="2"/>
  <c r="AK18" i="2" s="1"/>
  <c r="AL17" i="2"/>
  <c r="AL18" i="2" s="1"/>
  <c r="AM17" i="2"/>
  <c r="AM18" i="2" s="1"/>
  <c r="AN17" i="2"/>
  <c r="AN18" i="2" s="1"/>
  <c r="AO17" i="2"/>
  <c r="AO18" i="2" s="1"/>
  <c r="AP17" i="2"/>
  <c r="AP18" i="2" s="1"/>
  <c r="AQ17" i="2"/>
  <c r="AQ18" i="2" s="1"/>
  <c r="AR17" i="2"/>
  <c r="AR18" i="2" s="1"/>
  <c r="AS17" i="2"/>
  <c r="AS18" i="2" s="1"/>
  <c r="AT17" i="2"/>
  <c r="AT18" i="2" s="1"/>
  <c r="AU17" i="2"/>
  <c r="AU18" i="2" s="1"/>
  <c r="AV17" i="2"/>
  <c r="AV18" i="2" s="1"/>
  <c r="AW17" i="2"/>
  <c r="AW18" i="2" s="1"/>
  <c r="AX17" i="2"/>
  <c r="AX18" i="2" s="1"/>
  <c r="AY17" i="2"/>
  <c r="AY18" i="2" s="1"/>
  <c r="AZ17" i="2"/>
  <c r="AZ18" i="2" s="1"/>
  <c r="BA17" i="2"/>
  <c r="BA18" i="2" s="1"/>
  <c r="BB17" i="2"/>
  <c r="BB18" i="2" s="1"/>
  <c r="BC17" i="2"/>
  <c r="BC18" i="2" s="1"/>
  <c r="BD17" i="2"/>
  <c r="BD18" i="2" s="1"/>
  <c r="BE17" i="2"/>
  <c r="BE18" i="2" s="1"/>
  <c r="BF17" i="2"/>
  <c r="BF18" i="2" s="1"/>
  <c r="BG17" i="2"/>
  <c r="BG18" i="2" s="1"/>
  <c r="BH17" i="2"/>
  <c r="BH18" i="2" s="1"/>
  <c r="BI17" i="2"/>
  <c r="BI18" i="2" s="1"/>
  <c r="BJ17" i="2"/>
  <c r="BJ18" i="2" s="1"/>
  <c r="BK17" i="2"/>
  <c r="BK18" i="2" s="1"/>
  <c r="I41" i="2"/>
  <c r="I61" i="2"/>
  <c r="I144" i="2"/>
  <c r="K38" i="3"/>
  <c r="L38" i="3" s="1"/>
  <c r="K37" i="3"/>
  <c r="K36" i="3"/>
  <c r="L36" i="3" s="1"/>
  <c r="K35" i="3"/>
  <c r="K34" i="3"/>
  <c r="L34" i="3" s="1"/>
  <c r="K33" i="3"/>
  <c r="K32" i="3"/>
  <c r="K31" i="3"/>
  <c r="K30" i="3"/>
  <c r="L30" i="3" s="1"/>
  <c r="K29" i="3"/>
  <c r="K28" i="3"/>
  <c r="K27" i="3"/>
  <c r="K26" i="3"/>
  <c r="L26" i="3" s="1"/>
  <c r="K25" i="3"/>
  <c r="K24" i="3"/>
  <c r="K23" i="3"/>
  <c r="K22" i="3"/>
  <c r="L22" i="3" s="1"/>
  <c r="K21" i="3"/>
  <c r="K20" i="3"/>
  <c r="K19" i="3"/>
  <c r="H28" i="2"/>
  <c r="H158" i="2"/>
  <c r="H157" i="2"/>
  <c r="H156" i="2"/>
  <c r="H155" i="2"/>
  <c r="H154" i="2"/>
  <c r="H153" i="2"/>
  <c r="H152" i="2"/>
  <c r="H151" i="2"/>
  <c r="H150" i="2"/>
  <c r="H149" i="2"/>
  <c r="H148" i="2"/>
  <c r="H147" i="2"/>
  <c r="H144" i="2" s="1"/>
  <c r="G144" i="2" s="1"/>
  <c r="H146" i="2"/>
  <c r="H145" i="2"/>
  <c r="F144" i="2"/>
  <c r="H143" i="2"/>
  <c r="H142" i="2"/>
  <c r="H141" i="2"/>
  <c r="H140" i="2"/>
  <c r="H139" i="2"/>
  <c r="H138" i="2"/>
  <c r="H137" i="2"/>
  <c r="H136" i="2"/>
  <c r="H135" i="2"/>
  <c r="H134" i="2"/>
  <c r="H133" i="2"/>
  <c r="H132" i="2"/>
  <c r="H131" i="2"/>
  <c r="H130" i="2"/>
  <c r="H129" i="2"/>
  <c r="H128" i="2"/>
  <c r="H127" i="2"/>
  <c r="H126" i="2"/>
  <c r="H125" i="2"/>
  <c r="H124" i="2"/>
  <c r="H123" i="2"/>
  <c r="H122" i="2"/>
  <c r="H121" i="2"/>
  <c r="H120" i="2"/>
  <c r="H119" i="2"/>
  <c r="H118" i="2"/>
  <c r="H117" i="2"/>
  <c r="H116" i="2"/>
  <c r="H115" i="2"/>
  <c r="H114" i="2"/>
  <c r="H113" i="2"/>
  <c r="H112" i="2"/>
  <c r="H111" i="2"/>
  <c r="H110" i="2"/>
  <c r="H109" i="2"/>
  <c r="H108" i="2"/>
  <c r="H107" i="2"/>
  <c r="H106" i="2"/>
  <c r="H105" i="2"/>
  <c r="H104" i="2"/>
  <c r="H103" i="2"/>
  <c r="H102" i="2"/>
  <c r="H101" i="2"/>
  <c r="H100" i="2"/>
  <c r="H99" i="2"/>
  <c r="H98" i="2"/>
  <c r="H97" i="2"/>
  <c r="H96" i="2"/>
  <c r="H95" i="2"/>
  <c r="H94" i="2"/>
  <c r="H93" i="2"/>
  <c r="H92" i="2"/>
  <c r="H91" i="2"/>
  <c r="H90" i="2"/>
  <c r="H89" i="2"/>
  <c r="H88" i="2"/>
  <c r="H87" i="2"/>
  <c r="H86" i="2"/>
  <c r="H85" i="2"/>
  <c r="H84" i="2"/>
  <c r="H83" i="2"/>
  <c r="H82" i="2"/>
  <c r="H81" i="2"/>
  <c r="H80" i="2"/>
  <c r="H79" i="2"/>
  <c r="H78" i="2"/>
  <c r="H77" i="2"/>
  <c r="H76" i="2"/>
  <c r="H75" i="2"/>
  <c r="H74" i="2"/>
  <c r="H73" i="2"/>
  <c r="H72" i="2"/>
  <c r="H71" i="2"/>
  <c r="H70" i="2"/>
  <c r="H69" i="2"/>
  <c r="H68" i="2"/>
  <c r="H67" i="2"/>
  <c r="H66" i="2"/>
  <c r="H65" i="2"/>
  <c r="H64" i="2"/>
  <c r="H63" i="2"/>
  <c r="H61" i="2" s="1"/>
  <c r="G61" i="2" s="1"/>
  <c r="H62" i="2"/>
  <c r="F61" i="2"/>
  <c r="H60" i="2"/>
  <c r="H59" i="2"/>
  <c r="H58" i="2"/>
  <c r="H57" i="2"/>
  <c r="H56" i="2"/>
  <c r="H55" i="2"/>
  <c r="H54" i="2"/>
  <c r="H53" i="2"/>
  <c r="H52" i="2"/>
  <c r="H51" i="2"/>
  <c r="H50" i="2"/>
  <c r="H49" i="2"/>
  <c r="H48" i="2"/>
  <c r="H47" i="2"/>
  <c r="H46" i="2"/>
  <c r="H45" i="2"/>
  <c r="H44" i="2"/>
  <c r="H43" i="2"/>
  <c r="H41" i="2" s="1"/>
  <c r="G41" i="2" s="1"/>
  <c r="H42" i="2"/>
  <c r="F41" i="2"/>
  <c r="H40" i="2"/>
  <c r="H39" i="2"/>
  <c r="H38" i="2"/>
  <c r="H37" i="2"/>
  <c r="H36" i="2"/>
  <c r="H35" i="2"/>
  <c r="H34" i="2"/>
  <c r="H33" i="2"/>
  <c r="H32" i="2"/>
  <c r="H31" i="2"/>
  <c r="H30" i="2" s="1"/>
  <c r="G30" i="2" s="1"/>
  <c r="I30" i="2"/>
  <c r="F30" i="2"/>
  <c r="H29" i="2"/>
  <c r="H27" i="2"/>
  <c r="H26" i="2"/>
  <c r="H25" i="2"/>
  <c r="H24" i="2"/>
  <c r="H23" i="2"/>
  <c r="H22" i="2"/>
  <c r="H20" i="2"/>
  <c r="I19" i="2"/>
  <c r="F19" i="2"/>
  <c r="J38" i="3"/>
  <c r="J37" i="3"/>
  <c r="L37" i="3"/>
  <c r="J36" i="3"/>
  <c r="J35" i="3"/>
  <c r="J34" i="3"/>
  <c r="J33" i="3"/>
  <c r="J32" i="3"/>
  <c r="J31" i="3"/>
  <c r="J30" i="3"/>
  <c r="J29" i="3"/>
  <c r="J28" i="3"/>
  <c r="J27" i="3"/>
  <c r="J26" i="3"/>
  <c r="J25" i="3"/>
  <c r="J24" i="3"/>
  <c r="J23" i="3"/>
  <c r="J22" i="3"/>
  <c r="J21" i="3"/>
  <c r="J20" i="3"/>
  <c r="J19" i="3"/>
  <c r="K18" i="3"/>
  <c r="L18" i="3" s="1"/>
  <c r="J18" i="3"/>
  <c r="F18" i="2"/>
  <c r="L29" i="3" l="1"/>
  <c r="L33" i="3"/>
  <c r="L20" i="3"/>
  <c r="L24" i="3"/>
  <c r="L28" i="3"/>
  <c r="L32" i="3"/>
  <c r="I159" i="2"/>
  <c r="L21" i="3"/>
  <c r="L25" i="3"/>
  <c r="L19" i="3"/>
  <c r="L23" i="3"/>
  <c r="L27" i="3"/>
  <c r="L31" i="3"/>
  <c r="L35" i="3"/>
  <c r="I18" i="2"/>
  <c r="H19" i="2"/>
  <c r="H18" i="2" s="1"/>
  <c r="G18" i="2" s="1"/>
  <c r="G19" i="2" l="1"/>
</calcChain>
</file>

<file path=xl/sharedStrings.xml><?xml version="1.0" encoding="utf-8"?>
<sst xmlns="http://schemas.openxmlformats.org/spreadsheetml/2006/main" count="709" uniqueCount="419">
  <si>
    <t>Nom</t>
  </si>
  <si>
    <t>A</t>
  </si>
  <si>
    <t>Commentaires</t>
  </si>
  <si>
    <t>Début</t>
  </si>
  <si>
    <t>Deadline</t>
  </si>
  <si>
    <t>Progression</t>
  </si>
  <si>
    <t>1.0</t>
  </si>
  <si>
    <t>1.1</t>
  </si>
  <si>
    <t>1.2</t>
  </si>
  <si>
    <t>1.3</t>
  </si>
  <si>
    <t>1.4</t>
  </si>
  <si>
    <t>2.1</t>
  </si>
  <si>
    <t>2.2</t>
  </si>
  <si>
    <t>2.3</t>
  </si>
  <si>
    <t>2.4</t>
  </si>
  <si>
    <t>2.5</t>
  </si>
  <si>
    <t>3.1</t>
  </si>
  <si>
    <t>3.2</t>
  </si>
  <si>
    <t>3.3</t>
  </si>
  <si>
    <t>3.4</t>
  </si>
  <si>
    <t>3.5</t>
  </si>
  <si>
    <t>4.1</t>
  </si>
  <si>
    <t>4.2</t>
  </si>
  <si>
    <t>4.3</t>
  </si>
  <si>
    <t>4.4</t>
  </si>
  <si>
    <t>4.5</t>
  </si>
  <si>
    <t>Disponibilité (%)</t>
  </si>
  <si>
    <t>Adresse email</t>
  </si>
  <si>
    <t>De</t>
  </si>
  <si>
    <t>Congés</t>
  </si>
  <si>
    <t>Date de début du projet</t>
  </si>
  <si>
    <t>Date de fin de projet estimée</t>
  </si>
  <si>
    <t>Date de fin de projet planifiée</t>
  </si>
  <si>
    <t>Activité / tâche</t>
  </si>
  <si>
    <t>Attribuée à</t>
  </si>
  <si>
    <t>Durée/j</t>
  </si>
  <si>
    <t>Estimation avancement projet</t>
  </si>
  <si>
    <t>Téléphone</t>
  </si>
  <si>
    <t>Dispo en jours</t>
  </si>
  <si>
    <t>Jours planifiés</t>
  </si>
  <si>
    <t>5.1</t>
  </si>
  <si>
    <t>5.2</t>
  </si>
  <si>
    <t>5.3</t>
  </si>
  <si>
    <t>5.4</t>
  </si>
  <si>
    <t>5.5</t>
  </si>
  <si>
    <t>2.6</t>
  </si>
  <si>
    <t xml:space="preserve"> </t>
  </si>
  <si>
    <t>1,2,3,4</t>
  </si>
  <si>
    <t>Charge %</t>
  </si>
  <si>
    <t>Nom / Code projet</t>
  </si>
  <si>
    <t>Date de création</t>
  </si>
  <si>
    <t>Chef de projet</t>
  </si>
  <si>
    <t>Date de la version</t>
  </si>
  <si>
    <t>Numéro de version</t>
  </si>
  <si>
    <t>ID</t>
  </si>
  <si>
    <t>Projet 1/ABC</t>
  </si>
  <si>
    <t>Référence</t>
  </si>
  <si>
    <t>Programme PG01/Portfolio PF02</t>
  </si>
  <si>
    <t>Mme.Dupont</t>
  </si>
  <si>
    <t>Service/Organisation</t>
  </si>
  <si>
    <t>Marketing/ Société XY</t>
  </si>
  <si>
    <t>V2.3</t>
  </si>
  <si>
    <t>Ressource en sous-charge</t>
  </si>
  <si>
    <t>Ressource en surcharge</t>
  </si>
  <si>
    <t>Assurez-vous que les macros sont activées pour le bon fonctionnement du template.</t>
  </si>
  <si>
    <t>ID :</t>
  </si>
  <si>
    <t>I - Utilisation du template Plan de charge</t>
  </si>
  <si>
    <t>Il s'agit là du WBS de votre projet.</t>
  </si>
  <si>
    <t>Activité/Tâche:</t>
  </si>
  <si>
    <t>Dépendance:</t>
  </si>
  <si>
    <t>Attribué à:</t>
  </si>
  <si>
    <t>Commentaires:</t>
  </si>
  <si>
    <t>Durée/j:</t>
  </si>
  <si>
    <t>Deadline:</t>
  </si>
  <si>
    <t>ID:</t>
  </si>
  <si>
    <t>Nom:</t>
  </si>
  <si>
    <t>Renseignez le nom de la ressource</t>
  </si>
  <si>
    <t>Disponibilité (%):</t>
  </si>
  <si>
    <t>De:</t>
  </si>
  <si>
    <t>A:</t>
  </si>
  <si>
    <t>Dispo en jour:</t>
  </si>
  <si>
    <t>Jours planifiés:</t>
  </si>
  <si>
    <t>Charge:</t>
  </si>
  <si>
    <t>Cette cellule est coloriée en orange quand la ressource est en sous-charge, en rouge quand elle est en sur-charge et en vert quand la charge est à 100%</t>
  </si>
  <si>
    <t>Colonne des noms</t>
  </si>
  <si>
    <t>Ligne des en-têtes du tableau</t>
  </si>
  <si>
    <t>Rôle</t>
  </si>
  <si>
    <t>Chantal Dupont</t>
  </si>
  <si>
    <t>Chef de Projet</t>
  </si>
  <si>
    <t>DupontC@confassis.com</t>
  </si>
  <si>
    <t>Olivier Robespierre</t>
  </si>
  <si>
    <t>Sponsor</t>
  </si>
  <si>
    <t>RobespierreO@confassis.com</t>
  </si>
  <si>
    <t>Jacques Meunier</t>
  </si>
  <si>
    <t>Responsable Intégration</t>
  </si>
  <si>
    <t>MeunierJ@confassis.com</t>
  </si>
  <si>
    <t>Monique Davant</t>
  </si>
  <si>
    <t>Coordinatrice Finances</t>
  </si>
  <si>
    <t>DavantM@confassis.com</t>
  </si>
  <si>
    <t>Denise Attali</t>
  </si>
  <si>
    <t>Coordinatrice Ventes</t>
  </si>
  <si>
    <t>AttaliD@confassis.com</t>
  </si>
  <si>
    <t>Jean Albert</t>
  </si>
  <si>
    <t>Coordinateur Achats</t>
  </si>
  <si>
    <t>AlbertJ@confassis.com</t>
  </si>
  <si>
    <t>Eric Duteil</t>
  </si>
  <si>
    <t>Coordinateur Logistique</t>
  </si>
  <si>
    <t>DuteilE@confassis.com</t>
  </si>
  <si>
    <t>Daniel Château</t>
  </si>
  <si>
    <t>Directeur Informatique</t>
  </si>
  <si>
    <t>ChateauD@confassis.com</t>
  </si>
  <si>
    <t>Responsable du Changement</t>
  </si>
  <si>
    <t>DupuisB@confassis.com</t>
  </si>
  <si>
    <t>Marianne Anselme</t>
  </si>
  <si>
    <t>Expert SAP Finances FI/CO</t>
  </si>
  <si>
    <t>AnselmeM@confassis.com</t>
  </si>
  <si>
    <t>Gérard Lourte</t>
  </si>
  <si>
    <t>Expert SAP Finances Immobilisations</t>
  </si>
  <si>
    <t>LourteG@confassis.com</t>
  </si>
  <si>
    <t>Marcel Poste</t>
  </si>
  <si>
    <t>Expert SAP Ventes</t>
  </si>
  <si>
    <t>PosteM@confassis.com</t>
  </si>
  <si>
    <t>Bernard Tassin</t>
  </si>
  <si>
    <t>TassinB@confassis.com</t>
  </si>
  <si>
    <t>Edouard Leperre</t>
  </si>
  <si>
    <t>Expert SAP Achats</t>
  </si>
  <si>
    <t>LeperreE@confassis.com</t>
  </si>
  <si>
    <t>Carine Refour</t>
  </si>
  <si>
    <t>RefourC@confassis.com</t>
  </si>
  <si>
    <t>Henri Saulnier</t>
  </si>
  <si>
    <t>Expert SAP Logistique</t>
  </si>
  <si>
    <t>SaulnierH@confassis.com</t>
  </si>
  <si>
    <t>Marc Ellin</t>
  </si>
  <si>
    <t>EllinM@confassis.com</t>
  </si>
  <si>
    <t>Juliette Binot</t>
  </si>
  <si>
    <t>Experte Master Data</t>
  </si>
  <si>
    <t>BinotJ@confassis.com</t>
  </si>
  <si>
    <t>Antoine Fleur</t>
  </si>
  <si>
    <t>Expert Master Data</t>
  </si>
  <si>
    <t>FleurA@confassis.com</t>
  </si>
  <si>
    <t>Georges Clonet</t>
  </si>
  <si>
    <t>Coordinateur Production</t>
  </si>
  <si>
    <t>ClonetG@confassis.com</t>
  </si>
  <si>
    <t>Utilisateurs CMRL</t>
  </si>
  <si>
    <t>Testeurs et valideurs</t>
  </si>
  <si>
    <t>Initialisation</t>
  </si>
  <si>
    <t>Etude d'opportunité et approbation</t>
  </si>
  <si>
    <t>Préparation de la Charte Projet - Justification</t>
  </si>
  <si>
    <t>Estimation coûts/délais fonctionnels Finances</t>
  </si>
  <si>
    <t>Estimation coûts/délais fonctionnels Ventes</t>
  </si>
  <si>
    <t>Estimation coûts/délais fonctionnels Achats</t>
  </si>
  <si>
    <t>1.5</t>
  </si>
  <si>
    <t>Estimation coûts/délais fonctionnels Logistique</t>
  </si>
  <si>
    <t>1.6</t>
  </si>
  <si>
    <t>Estimation délais/ressources Infrastructure</t>
  </si>
  <si>
    <t>1.7</t>
  </si>
  <si>
    <t>Estimation coûts/délais fonctionnels Production</t>
  </si>
  <si>
    <t>1.8</t>
  </si>
  <si>
    <t>Rédaction de la Charte Projet</t>
  </si>
  <si>
    <t>1.9</t>
  </si>
  <si>
    <t>Approbation de la Charte Projet</t>
  </si>
  <si>
    <t>1.1-1.7</t>
  </si>
  <si>
    <t>Co-auteur Olivier Robespierre (Sponsor)</t>
  </si>
  <si>
    <t>Comité de Direction Spécial</t>
  </si>
  <si>
    <t>Implémentation SAP au Centre de Montage Régional Lillois</t>
  </si>
  <si>
    <t>Planification</t>
  </si>
  <si>
    <t>Conception générale  Finances</t>
  </si>
  <si>
    <t>Conception générale Ventes</t>
  </si>
  <si>
    <t>Conception générale  Achats</t>
  </si>
  <si>
    <t>Conception générale  Logistique</t>
  </si>
  <si>
    <t>Conception générale  Infrastructure</t>
  </si>
  <si>
    <t>Conception générale  Production</t>
  </si>
  <si>
    <t>Rédaction du cahier des charges</t>
  </si>
  <si>
    <t>Etablissement du Planning</t>
  </si>
  <si>
    <t>Etablissement Plan de Communication</t>
  </si>
  <si>
    <t>Approbation Cahier des charges,Plan de communication, Plan de projet et Planning</t>
  </si>
  <si>
    <t>2.1-2.6</t>
  </si>
  <si>
    <t>2.1-2.7</t>
  </si>
  <si>
    <t>Participation du chef de projet</t>
  </si>
  <si>
    <t>En équipe avec coordinateurs SAP</t>
  </si>
  <si>
    <t>Bernard Dupuis</t>
  </si>
  <si>
    <t>Comité de pilotage et comité de Direction</t>
  </si>
  <si>
    <t>Réalisation</t>
  </si>
  <si>
    <t>Paramétrage et tests unitaires FI/CO</t>
  </si>
  <si>
    <t>Paramétrage et tests unitaires Immobilisations</t>
  </si>
  <si>
    <t>Paramétrage et tests unitaires Achats</t>
  </si>
  <si>
    <t>Paramétrage et tests unitaires Enchères et Ariba</t>
  </si>
  <si>
    <t>Paramétrage et tests unitaires SD</t>
  </si>
  <si>
    <t>3.6</t>
  </si>
  <si>
    <t>3.7</t>
  </si>
  <si>
    <t>Paramétrage et tests unitaires MM</t>
  </si>
  <si>
    <t>3.8</t>
  </si>
  <si>
    <t>Paramétrage et tests unitaires Export et Reporting</t>
  </si>
  <si>
    <t>3.9</t>
  </si>
  <si>
    <t>Paramétrage et corrections Master Data</t>
  </si>
  <si>
    <t>3.10</t>
  </si>
  <si>
    <t>3.11</t>
  </si>
  <si>
    <t>Paramétrage, programmation et test Production</t>
  </si>
  <si>
    <t>3.12</t>
  </si>
  <si>
    <t>Coordination réalisation et tests Finances</t>
  </si>
  <si>
    <t>3.13</t>
  </si>
  <si>
    <t>Coordination réalisation et tests Ventes</t>
  </si>
  <si>
    <t>3.14</t>
  </si>
  <si>
    <t>Coordination réalisation et tests Achats</t>
  </si>
  <si>
    <t>3.15</t>
  </si>
  <si>
    <t>Coordination réalisation et tests Logistique</t>
  </si>
  <si>
    <t>3.16</t>
  </si>
  <si>
    <t>Coordination réalisation et tests Production</t>
  </si>
  <si>
    <t>3.17</t>
  </si>
  <si>
    <t xml:space="preserve">Tests, corrections et validation du système </t>
  </si>
  <si>
    <t>3.18</t>
  </si>
  <si>
    <t>Validation officielle par les utilisateurs</t>
  </si>
  <si>
    <t>3.19</t>
  </si>
  <si>
    <t>Validation de la phase par le comité de direction</t>
  </si>
  <si>
    <t>2.7</t>
  </si>
  <si>
    <t>2.8</t>
  </si>
  <si>
    <t>2.9</t>
  </si>
  <si>
    <t>2.10</t>
  </si>
  <si>
    <t>3.1-3.11</t>
  </si>
  <si>
    <t>Contrôle et suivi</t>
  </si>
  <si>
    <t>Tests d'intégration et de consolidation FI/CO</t>
  </si>
  <si>
    <t>Tests d'intégration et de consolidation Immobilisations</t>
  </si>
  <si>
    <t>Tests d'intégration et de consolidation Achats</t>
  </si>
  <si>
    <t>Tests d'intégration et de consolidation Enchères et Ariba</t>
  </si>
  <si>
    <t>Tests d'intégration et de consolidation SD</t>
  </si>
  <si>
    <t>4.6</t>
  </si>
  <si>
    <t>4.7</t>
  </si>
  <si>
    <t>Tests d'intégration et de consolidation MM</t>
  </si>
  <si>
    <t>4.8</t>
  </si>
  <si>
    <t>Tests d'intégration et de consolidation Export et Reporting</t>
  </si>
  <si>
    <t>4.9</t>
  </si>
  <si>
    <t>Tests d'intégration et de consolidation Master Data</t>
  </si>
  <si>
    <t>4.10</t>
  </si>
  <si>
    <t>4.11</t>
  </si>
  <si>
    <t>Tests d'intégration et de consolidation Production</t>
  </si>
  <si>
    <t>4.12</t>
  </si>
  <si>
    <t>Coordination tests d'intégration et de consolidation Finances</t>
  </si>
  <si>
    <t>4.13</t>
  </si>
  <si>
    <t>Coordination tests d'intégration et de consolidation Ventes</t>
  </si>
  <si>
    <t>4.14</t>
  </si>
  <si>
    <t>Coordination tests d'intégration et de consolidation Achats</t>
  </si>
  <si>
    <t>4.15</t>
  </si>
  <si>
    <t>Coordination tests d'intégration et de consolidation Logistique</t>
  </si>
  <si>
    <t>4.16</t>
  </si>
  <si>
    <t>Coordination tests d'intégration et de consolidation Production</t>
  </si>
  <si>
    <t>4.17</t>
  </si>
  <si>
    <t xml:space="preserve">Tests d'intégration et consolidation, validation du système </t>
  </si>
  <si>
    <t>4.18</t>
  </si>
  <si>
    <t>FORMATION DES UTILISATEURS</t>
  </si>
  <si>
    <t>Plan à développer avec les coordinateurs</t>
  </si>
  <si>
    <t>4.19</t>
  </si>
  <si>
    <t>Préparation et validation environnement pré-productif</t>
  </si>
  <si>
    <t>4.1-4.17</t>
  </si>
  <si>
    <t>4.20</t>
  </si>
  <si>
    <t>4.21</t>
  </si>
  <si>
    <t>4.22</t>
  </si>
  <si>
    <t>4.23</t>
  </si>
  <si>
    <t>4.24</t>
  </si>
  <si>
    <t>Déploiement</t>
  </si>
  <si>
    <t>4.18-4.23</t>
  </si>
  <si>
    <t>4.25</t>
  </si>
  <si>
    <t>4.26</t>
  </si>
  <si>
    <t>4.27</t>
  </si>
  <si>
    <t>4.28</t>
  </si>
  <si>
    <t>4.29</t>
  </si>
  <si>
    <t>4.30</t>
  </si>
  <si>
    <t>4.31</t>
  </si>
  <si>
    <t>4.32</t>
  </si>
  <si>
    <t>4.33</t>
  </si>
  <si>
    <t>4.34</t>
  </si>
  <si>
    <t>4.35</t>
  </si>
  <si>
    <t>4.36</t>
  </si>
  <si>
    <t>4.37</t>
  </si>
  <si>
    <t>4.38</t>
  </si>
  <si>
    <t>4.39</t>
  </si>
  <si>
    <t>4.40</t>
  </si>
  <si>
    <t>Basculement et validation</t>
  </si>
  <si>
    <t>4.24-4.39</t>
  </si>
  <si>
    <t>4.41</t>
  </si>
  <si>
    <t>4.42</t>
  </si>
  <si>
    <t>4.43</t>
  </si>
  <si>
    <t>4.44</t>
  </si>
  <si>
    <t>4.45</t>
  </si>
  <si>
    <t>4.46</t>
  </si>
  <si>
    <t>4.47</t>
  </si>
  <si>
    <t>4.48</t>
  </si>
  <si>
    <t>4.49</t>
  </si>
  <si>
    <t>4.50</t>
  </si>
  <si>
    <t>4.51</t>
  </si>
  <si>
    <t>4.52</t>
  </si>
  <si>
    <t>4.53</t>
  </si>
  <si>
    <t>4.54</t>
  </si>
  <si>
    <t>4.55</t>
  </si>
  <si>
    <t>4.56</t>
  </si>
  <si>
    <t>Validation Master Data</t>
  </si>
  <si>
    <t>4.57</t>
  </si>
  <si>
    <t>4.58</t>
  </si>
  <si>
    <t>Validation par les utilisateurs</t>
  </si>
  <si>
    <t>4.40-4.57</t>
  </si>
  <si>
    <t>4.59</t>
  </si>
  <si>
    <t>Décision de démarrage productif</t>
  </si>
  <si>
    <t>Comité de Direction</t>
  </si>
  <si>
    <t>Conférence vidéo avec les décideurs</t>
  </si>
  <si>
    <t>4.60</t>
  </si>
  <si>
    <t>Démarrage productif</t>
  </si>
  <si>
    <t>TOUS</t>
  </si>
  <si>
    <t>4.61</t>
  </si>
  <si>
    <t>Suivi bon fonctionnement, documentation et corrections</t>
  </si>
  <si>
    <t>4.62</t>
  </si>
  <si>
    <t>4.63</t>
  </si>
  <si>
    <t>4.64</t>
  </si>
  <si>
    <t>4.65</t>
  </si>
  <si>
    <t>4.66</t>
  </si>
  <si>
    <t>4.67</t>
  </si>
  <si>
    <t>4.68</t>
  </si>
  <si>
    <t>4.69</t>
  </si>
  <si>
    <t>4.70</t>
  </si>
  <si>
    <t>4.71</t>
  </si>
  <si>
    <t>4.72</t>
  </si>
  <si>
    <t>4.73</t>
  </si>
  <si>
    <t>4.74</t>
  </si>
  <si>
    <t>4.75</t>
  </si>
  <si>
    <t>4.76</t>
  </si>
  <si>
    <t>4.77</t>
  </si>
  <si>
    <t>Corrections Master Data</t>
  </si>
  <si>
    <t>4.78</t>
  </si>
  <si>
    <t>4.79</t>
  </si>
  <si>
    <t>Suivi par les utilisateurs</t>
  </si>
  <si>
    <t>4.80</t>
  </si>
  <si>
    <t>Clôture novembre</t>
  </si>
  <si>
    <t>4.61-4.79</t>
  </si>
  <si>
    <t>4.81</t>
  </si>
  <si>
    <t>Clôture décembre</t>
  </si>
  <si>
    <t>4.61-4.80</t>
  </si>
  <si>
    <t>4.82</t>
  </si>
  <si>
    <t>PV Accusé de réception</t>
  </si>
  <si>
    <t>4.91</t>
  </si>
  <si>
    <t>Clôture</t>
  </si>
  <si>
    <t>Liste des corrections Finances</t>
  </si>
  <si>
    <t>Liste des corrections Ventes</t>
  </si>
  <si>
    <t>Liste des corrections Achats</t>
  </si>
  <si>
    <t>Liste des corrections Logistique</t>
  </si>
  <si>
    <t>Liste des corrections Production</t>
  </si>
  <si>
    <t>5.6</t>
  </si>
  <si>
    <t>Documentation leçons apprises Finances</t>
  </si>
  <si>
    <t>Réunions spéciales</t>
  </si>
  <si>
    <t>5.7</t>
  </si>
  <si>
    <t>Documentation leçons apprises Ventes</t>
  </si>
  <si>
    <t>5.8</t>
  </si>
  <si>
    <t>Documentation leçons apprises Achats</t>
  </si>
  <si>
    <t>5.9</t>
  </si>
  <si>
    <t>Documentation leçons apprises Logistique</t>
  </si>
  <si>
    <t>5.10</t>
  </si>
  <si>
    <t>Documentation leçons apprises CMRL</t>
  </si>
  <si>
    <t>5.11</t>
  </si>
  <si>
    <t>Documentation leçons apprises Projet</t>
  </si>
  <si>
    <t>5.12</t>
  </si>
  <si>
    <t>Plan de corrections</t>
  </si>
  <si>
    <t>5.13</t>
  </si>
  <si>
    <t>Décommissionnement anciens systèmes</t>
  </si>
  <si>
    <t>Hors périmètre</t>
  </si>
  <si>
    <t>5.14</t>
  </si>
  <si>
    <t>Réunion de clôture</t>
  </si>
  <si>
    <t>5.1-5.13</t>
  </si>
  <si>
    <t>Renseignez l'ID  votre tâche/activité en tenant en compte son niveau dans le WBS</t>
  </si>
  <si>
    <t>Renseignez la date à partir de laquelle votre ressource a été affectée au projet</t>
  </si>
  <si>
    <t>Renseignez la date de fin d'affectation de votre ressource au projet</t>
  </si>
  <si>
    <t>Renseignez la date de début de la tâche</t>
  </si>
  <si>
    <t>Renseignez un commentaire si nécessaire</t>
  </si>
  <si>
    <t>Cette information est calculée automatiquement en fonction de la date début et de la durée</t>
  </si>
  <si>
    <t>En fonction de ces informations le calendrier est automatiquement dressé</t>
  </si>
  <si>
    <t>Renseignez le % de progression de la tâche. Par défaut la progression est 0%. La cellule est colorriée automatiquement selon la progression</t>
  </si>
  <si>
    <t>Renseignez le % d'affectation de cette ressource au projet (ex: une ressource qui est disponible à 50%, signifie qu'elle est affectée à mi-temps au projet)</t>
  </si>
  <si>
    <t>Renseignez un identifiant par ressource</t>
  </si>
  <si>
    <t>Il s'agit là de la charge de travail de votre ressource. Elle est calculée automatiquement en se basant sur la disponibilité en jour et sur les jours planifiés.</t>
  </si>
  <si>
    <t xml:space="preserve">Renseignez la durée de la tâche en jours, en prenant en compte que les jours ouvrés
</t>
  </si>
  <si>
    <t>Cette cellule est calculée automatiquement en fonction des affectations faites au niveau de la feuille "Plan de charge"</t>
  </si>
  <si>
    <t>I. Exploitation du fichier</t>
  </si>
  <si>
    <t>II. Personnalisation du fichier</t>
  </si>
  <si>
    <t>Ajout d'une tâche</t>
  </si>
  <si>
    <t>2. Insérez une ligne là où vous souhaitez ajouter une tâche</t>
  </si>
  <si>
    <t>1. Rendez-vous dans la feuille "Plan de charge"</t>
  </si>
  <si>
    <t>3. Créez la dépendance de la tâche en notant l'ID de la tâche parente</t>
  </si>
  <si>
    <t>Mettez l'ID des tâches/activités avec lesquelles cette tâche a une dépendance</t>
  </si>
  <si>
    <t>Choisissez la ressource dans le menu déroulant. (cette liste est renseignée au niveau de la feuille "Ressources")
Vous pouvez donc ajouter un nom, en allant sur la feuille "ressources" puis copier la dernière ligne (L21) et la coller juste en dessous, pour la personnaliser.</t>
  </si>
  <si>
    <t>4. Complétez la ligne manuellement (ressources, début, durée). Pour la "deadline", Il faut copier le champ supérieur et le coller dans le nouveau champ pour calquer le calcul automatique. Puis renseignez le pourcentage de progression manuellement.</t>
  </si>
  <si>
    <t>Renseignez le nom de la tâche ou de l'activité. Veuillez vous référer au planning de projet détaillé pour la liste exhaustive des tâches.</t>
  </si>
  <si>
    <t>1.Remplissez la feuille "Ressources" comme suit :</t>
  </si>
  <si>
    <t>2.  Remplissez la feuille "Plan de charge" comme suit :</t>
  </si>
  <si>
    <t>Cette cellule est calculée automatiquement en fonction des dates de début et de fin d'affectation et des jours de congé renseignés</t>
  </si>
  <si>
    <t>Renseignez le nombre de jours de congé de votre ressource. Les congés pris ne doivent plus apparaitres en colonne M. Autrement dit, notez uniquement le nombre de jours de congé restants, pour que la disponibilité soit à jour.</t>
  </si>
  <si>
    <r>
      <rPr>
        <b/>
        <sz val="14"/>
        <color rgb="FFFF0000"/>
        <rFont val="Candara"/>
        <family val="2"/>
      </rPr>
      <t>Attention</t>
    </r>
    <r>
      <rPr>
        <sz val="11"/>
        <color theme="1"/>
        <rFont val="Candara"/>
        <family val="2"/>
      </rPr>
      <t xml:space="preserve"> : Si vous prévoyez des tâches simultanées ou qui se chevauchent, pensez à modifier manuellement la deadline pour que la ressource ne soit pas surbookée.</t>
    </r>
  </si>
  <si>
    <t>Feuille "Plan de charge"</t>
  </si>
  <si>
    <t>Feuille "Ressources"</t>
  </si>
  <si>
    <t>Ajout d'une ligne</t>
  </si>
  <si>
    <t>Pour ajouter une ligne en bas du tableau, il suffit de copier la dernière ligne et la coller juste en-dessous.</t>
  </si>
  <si>
    <t>Pour simplement changer un libellé, il suffit de remplacer le libellé existant par le nouveau.</t>
  </si>
  <si>
    <t>Dépendance</t>
  </si>
  <si>
    <t>Ajout d'une colonne dans la feuille "Ressources"</t>
  </si>
  <si>
    <t>Si vous ajoutez une colonne avant la colonne "Noms", vous décalez les autres colonnes qui suivent un certain ordre. De ce fait, il faudra mettre à jour le numéro d'ordre de la colonne existante dans la feuille "paramétrage", et ce, pour un meilleur fonctionnement de la macro. Voici à quoi cela ressemble :</t>
  </si>
  <si>
    <t xml:space="preserve">Ici vous remarquez que la colonne "Noms" (colonne C) est la 3ème colonne à gauche. Ainsi si vous ajoutez une colonne, il suffit d'ajuster son ordre sur le tableau de la feuille des "Paramétres".
Ainsi, si vous ajoutez une colonne à sa gauche, la "colonne des noms" doit avoir le chiffre 4 au lieu de 3 dans les paramètres puisqu'il y'a eu un décalage d'une colonne. </t>
  </si>
  <si>
    <t>3</t>
  </si>
  <si>
    <t>Août</t>
  </si>
  <si>
    <t>Septembre</t>
  </si>
  <si>
    <t>Octobre</t>
  </si>
  <si>
    <t>Novembre</t>
  </si>
  <si>
    <t>Décembre</t>
  </si>
  <si>
    <t>Janvier</t>
  </si>
  <si>
    <t>Février</t>
  </si>
  <si>
    <t>Mars</t>
  </si>
  <si>
    <t>Avril</t>
  </si>
  <si>
    <t>Mai</t>
  </si>
  <si>
    <t>Juin</t>
  </si>
  <si>
    <t>Juillet</t>
  </si>
  <si>
    <t>Date de début du projet :</t>
  </si>
  <si>
    <t xml:space="preserve">Mettez la date du début de votre projet. En actualisant cette date, le calendrier se mettra à jour. </t>
  </si>
  <si>
    <t>Echelle de temps</t>
  </si>
  <si>
    <t>Notez que vous pouvez afficher plus de semaines en utilisant le scroll droit et gauche, comme vous pouvez changer l'échelle de temps de "jours" à "semaine" à "mois" :</t>
  </si>
  <si>
    <t>Vous pouvez également afficher la date du jour en cliquant sur le bouton en vert, et ce, quel que soit votre progression dans le temps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</si>
</sst>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dd/mm/yy;@"/>
    <numFmt numFmtId="165" formatCode="#&quot; &quot;00&quot; &quot;00&quot; &quot;00"/>
    <numFmt numFmtId="166" formatCode="#&quot; + &quot;?/4"/>
    <numFmt numFmtId="167" formatCode="0.0"/>
    <numFmt numFmtId="168" formatCode=";;;"/>
  </numFmts>
  <fonts count="42" x14ac:knownFonts="1">
    <font>
      <sz val="11"/>
      <color theme="1"/>
      <name val="Calibri"/>
      <family val="2"/>
      <scheme val="minor"/>
    </font>
    <font>
      <sz val="11"/>
      <color theme="1"/>
      <name val="Calibri"/>
      <family val="2"/>
      <scheme val="minor"/>
    </font>
    <font>
      <u/>
      <sz val="12"/>
      <color theme="10"/>
      <name val="Calibri"/>
      <family val="2"/>
      <scheme val="minor"/>
    </font>
    <font>
      <sz val="9"/>
      <color theme="1"/>
      <name val="Arial"/>
      <family val="2"/>
    </font>
    <font>
      <sz val="9"/>
      <name val="Arial"/>
      <family val="2"/>
    </font>
    <font>
      <sz val="8"/>
      <name val="Calibri"/>
      <family val="2"/>
      <scheme val="minor"/>
    </font>
    <font>
      <sz val="11"/>
      <name val="Candara"/>
      <family val="2"/>
    </font>
    <font>
      <b/>
      <sz val="9"/>
      <color theme="1"/>
      <name val="Candara"/>
      <family val="2"/>
    </font>
    <font>
      <b/>
      <sz val="9"/>
      <name val="Candara"/>
      <family val="2"/>
    </font>
    <font>
      <sz val="11"/>
      <color theme="1"/>
      <name val="Candara"/>
      <family val="2"/>
    </font>
    <font>
      <b/>
      <sz val="20"/>
      <color rgb="FF62BD8A"/>
      <name val="Candara"/>
      <family val="2"/>
    </font>
    <font>
      <b/>
      <sz val="16"/>
      <color rgb="FF62BD8A"/>
      <name val="Candara"/>
      <family val="2"/>
    </font>
    <font>
      <b/>
      <sz val="18"/>
      <color rgb="FF62BD8A"/>
      <name val="Candara"/>
      <family val="2"/>
    </font>
    <font>
      <b/>
      <sz val="12"/>
      <color rgb="FF439B69"/>
      <name val="Candara"/>
      <family val="2"/>
    </font>
    <font>
      <b/>
      <sz val="11"/>
      <color theme="1"/>
      <name val="Candara"/>
      <family val="2"/>
    </font>
    <font>
      <sz val="11"/>
      <color rgb="FFFF0000"/>
      <name val="Candara"/>
      <family val="2"/>
    </font>
    <font>
      <sz val="14"/>
      <color rgb="FFFF0000"/>
      <name val="Calibri"/>
      <family val="2"/>
    </font>
    <font>
      <b/>
      <sz val="11"/>
      <color rgb="FF000000"/>
      <name val="Calibri"/>
      <family val="2"/>
    </font>
    <font>
      <sz val="11"/>
      <color rgb="FF000000"/>
      <name val="Calibri"/>
      <family val="2"/>
    </font>
    <font>
      <b/>
      <sz val="11"/>
      <color rgb="FF439B69"/>
      <name val="Candara"/>
      <family val="2"/>
    </font>
    <font>
      <b/>
      <sz val="11"/>
      <color rgb="FF62BD8A"/>
      <name val="Candara"/>
      <family val="2"/>
    </font>
    <font>
      <sz val="11"/>
      <color rgb="FF439B69"/>
      <name val="Candara"/>
      <family val="2"/>
    </font>
    <font>
      <b/>
      <sz val="8"/>
      <name val="Arial"/>
      <family val="2"/>
    </font>
    <font>
      <b/>
      <sz val="10"/>
      <color rgb="FF000000"/>
      <name val="Calibri"/>
      <family val="2"/>
    </font>
    <font>
      <b/>
      <sz val="10"/>
      <color theme="0"/>
      <name val="Calibri"/>
      <family val="2"/>
    </font>
    <font>
      <b/>
      <sz val="18"/>
      <color theme="1"/>
      <name val="Candara"/>
      <family val="2"/>
    </font>
    <font>
      <sz val="12"/>
      <color theme="1"/>
      <name val="Candara"/>
      <family val="2"/>
    </font>
    <font>
      <b/>
      <sz val="12"/>
      <color theme="1"/>
      <name val="Candara"/>
      <family val="2"/>
    </font>
    <font>
      <sz val="12"/>
      <color rgb="FF000000"/>
      <name val="Candara"/>
      <family val="2"/>
    </font>
    <font>
      <b/>
      <sz val="12"/>
      <color rgb="FF000000"/>
      <name val="Candara"/>
      <family val="2"/>
    </font>
    <font>
      <b/>
      <sz val="11"/>
      <name val="Calibri"/>
      <family val="2"/>
      <scheme val="minor"/>
    </font>
    <font>
      <b/>
      <sz val="16"/>
      <color theme="1"/>
      <name val="Candara"/>
      <family val="2"/>
    </font>
    <font>
      <sz val="11"/>
      <color rgb="FF000000"/>
      <name val="Candara"/>
      <family val="2"/>
    </font>
    <font>
      <b/>
      <sz val="11"/>
      <color rgb="FF000000"/>
      <name val="Candara"/>
      <family val="2"/>
    </font>
    <font>
      <b/>
      <sz val="14"/>
      <color rgb="FFFF0000"/>
      <name val="Candara"/>
      <family val="2"/>
    </font>
    <font>
      <b/>
      <sz val="14"/>
      <color theme="1"/>
      <name val="Candara"/>
      <family val="2"/>
    </font>
    <font>
      <sz val="11"/>
      <color rgb="FFC00000"/>
      <name val="Candara"/>
      <family val="2"/>
    </font>
    <font>
      <sz val="8"/>
      <name val="Arial"/>
      <family val="2"/>
    </font>
    <font>
      <sz val="8"/>
      <color rgb="FF000000"/>
      <name val="Segoe UI"/>
      <family val="2"/>
    </font>
    <font>
      <sz val="11"/>
      <color rgb="FF000000"/>
      <name val="Calibri"/>
      <family val="2"/>
      <scheme val="minor"/>
    </font>
    <font>
      <sz val="14"/>
      <color rgb="FF000000"/>
      <name val="Calibri"/>
      <family val="2"/>
      <scheme val="minor"/>
    </font>
    <font>
      <sz val="11"/>
      <color rgb="FFFFFFFF"/>
      <name val="Calibri"/>
      <family val="2"/>
      <scheme val="minor"/>
    </font>
  </fonts>
  <fills count="1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62BD8A"/>
        <bgColor indexed="64"/>
      </patternFill>
    </fill>
    <fill>
      <patternFill patternType="solid">
        <fgColor theme="2" tint="-9.9978637043366805E-2"/>
        <bgColor indexed="64"/>
      </patternFill>
    </fill>
    <fill>
      <patternFill patternType="solid">
        <fgColor rgb="FF439B69"/>
        <bgColor indexed="64"/>
      </patternFill>
    </fill>
    <fill>
      <patternFill patternType="solid">
        <fgColor rgb="FFFF0000"/>
        <bgColor indexed="64"/>
      </patternFill>
    </fill>
    <fill>
      <patternFill patternType="solid">
        <fgColor rgb="FFFFC000"/>
        <bgColor indexed="64"/>
      </patternFill>
    </fill>
    <fill>
      <patternFill patternType="solid">
        <fgColor theme="0" tint="-4.9989318521683403E-2"/>
        <bgColor indexed="64"/>
      </patternFill>
    </fill>
    <fill>
      <patternFill patternType="solid">
        <fgColor rgb="FFFFFFFF"/>
        <bgColor indexed="64"/>
      </patternFill>
    </fill>
  </fills>
  <borders count="45">
    <border>
      <left/>
      <right/>
      <top/>
      <bottom/>
      <diagonal/>
    </border>
    <border>
      <left style="thin">
        <color theme="1"/>
      </left>
      <right/>
      <top/>
      <bottom/>
      <diagonal/>
    </border>
    <border>
      <left/>
      <right/>
      <top style="thin">
        <color theme="1"/>
      </top>
      <bottom style="thin">
        <color theme="1"/>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rgb="FF62BD8A"/>
      </left>
      <right style="thin">
        <color rgb="FF62BD8A"/>
      </right>
      <top style="thin">
        <color rgb="FF62BD8A"/>
      </top>
      <bottom style="thin">
        <color rgb="FF62BD8A"/>
      </bottom>
      <diagonal/>
    </border>
    <border>
      <left/>
      <right style="thin">
        <color rgb="FF62BD8A"/>
      </right>
      <top style="thin">
        <color rgb="FF62BD8A"/>
      </top>
      <bottom style="thin">
        <color rgb="FF62BD8A"/>
      </bottom>
      <diagonal/>
    </border>
    <border>
      <left/>
      <right/>
      <top style="thin">
        <color rgb="FF62BD8A"/>
      </top>
      <bottom style="thin">
        <color rgb="FF62BD8A"/>
      </bottom>
      <diagonal/>
    </border>
    <border>
      <left/>
      <right style="thin">
        <color rgb="FF62BD8A"/>
      </right>
      <top/>
      <bottom style="thin">
        <color rgb="FF439B69"/>
      </bottom>
      <diagonal/>
    </border>
    <border>
      <left/>
      <right/>
      <top/>
      <bottom style="thin">
        <color rgb="FF439B69"/>
      </bottom>
      <diagonal/>
    </border>
    <border>
      <left/>
      <right/>
      <top style="thin">
        <color rgb="FF439B69"/>
      </top>
      <bottom/>
      <diagonal/>
    </border>
    <border>
      <left style="thin">
        <color rgb="FF439B69"/>
      </left>
      <right/>
      <top style="thin">
        <color rgb="FF439B69"/>
      </top>
      <bottom style="thin">
        <color rgb="FF439B69"/>
      </bottom>
      <diagonal/>
    </border>
    <border>
      <left/>
      <right style="thin">
        <color rgb="FF439B69"/>
      </right>
      <top style="thin">
        <color rgb="FF439B69"/>
      </top>
      <bottom style="thin">
        <color rgb="FF439B69"/>
      </bottom>
      <diagonal/>
    </border>
    <border>
      <left style="thin">
        <color rgb="FF62BD8A"/>
      </left>
      <right/>
      <top style="thin">
        <color rgb="FF62BD8A"/>
      </top>
      <bottom style="thin">
        <color rgb="FF62BD8A"/>
      </bottom>
      <diagonal/>
    </border>
    <border>
      <left style="medium">
        <color rgb="FF439B69"/>
      </left>
      <right/>
      <top style="medium">
        <color rgb="FF439B69"/>
      </top>
      <bottom style="thin">
        <color theme="1"/>
      </bottom>
      <diagonal/>
    </border>
    <border>
      <left/>
      <right/>
      <top style="medium">
        <color rgb="FF439B69"/>
      </top>
      <bottom style="thin">
        <color theme="1"/>
      </bottom>
      <diagonal/>
    </border>
    <border>
      <left/>
      <right style="medium">
        <color rgb="FF439B69"/>
      </right>
      <top style="medium">
        <color rgb="FF439B69"/>
      </top>
      <bottom style="thin">
        <color theme="1"/>
      </bottom>
      <diagonal/>
    </border>
    <border>
      <left style="medium">
        <color rgb="FF439B69"/>
      </left>
      <right/>
      <top style="thin">
        <color theme="1"/>
      </top>
      <bottom style="thin">
        <color theme="1"/>
      </bottom>
      <diagonal/>
    </border>
    <border>
      <left/>
      <right style="medium">
        <color rgb="FF439B69"/>
      </right>
      <top style="thin">
        <color theme="1"/>
      </top>
      <bottom style="thin">
        <color theme="1"/>
      </bottom>
      <diagonal/>
    </border>
    <border>
      <left style="medium">
        <color rgb="FF439B69"/>
      </left>
      <right/>
      <top style="thin">
        <color theme="1"/>
      </top>
      <bottom style="medium">
        <color rgb="FF439B69"/>
      </bottom>
      <diagonal/>
    </border>
    <border>
      <left/>
      <right/>
      <top style="thin">
        <color theme="1"/>
      </top>
      <bottom style="medium">
        <color rgb="FF439B69"/>
      </bottom>
      <diagonal/>
    </border>
    <border>
      <left/>
      <right style="medium">
        <color rgb="FF439B69"/>
      </right>
      <top style="thin">
        <color theme="1"/>
      </top>
      <bottom style="medium">
        <color rgb="FF439B69"/>
      </bottom>
      <diagonal/>
    </border>
    <border>
      <left/>
      <right style="thin">
        <color theme="0"/>
      </right>
      <top style="thin">
        <color theme="0"/>
      </top>
      <bottom style="thin">
        <color theme="0"/>
      </bottom>
      <diagonal/>
    </border>
    <border>
      <left/>
      <right style="thin">
        <color rgb="FF439B69"/>
      </right>
      <top/>
      <bottom style="thin">
        <color rgb="FF439B69"/>
      </bottom>
      <diagonal/>
    </border>
    <border>
      <left style="thin">
        <color rgb="FF62BD8A"/>
      </left>
      <right/>
      <top/>
      <bottom style="thin">
        <color rgb="FF62BD8A"/>
      </bottom>
      <diagonal/>
    </border>
    <border>
      <left/>
      <right/>
      <top/>
      <bottom style="thin">
        <color rgb="FF62BD8A"/>
      </bottom>
      <diagonal/>
    </border>
    <border>
      <left style="medium">
        <color rgb="FF439B69"/>
      </left>
      <right style="medium">
        <color rgb="FF439B69"/>
      </right>
      <top/>
      <bottom style="medium">
        <color rgb="FF439B69"/>
      </bottom>
      <diagonal/>
    </border>
    <border>
      <left style="medium">
        <color rgb="FF439B69"/>
      </left>
      <right style="thin">
        <color rgb="FF62BD8A"/>
      </right>
      <top style="thin">
        <color rgb="FF62BD8A"/>
      </top>
      <bottom style="thin">
        <color rgb="FF62BD8A"/>
      </bottom>
      <diagonal/>
    </border>
    <border>
      <left style="thin">
        <color rgb="FF62BD8A"/>
      </left>
      <right style="medium">
        <color rgb="FF439B69"/>
      </right>
      <top style="thin">
        <color rgb="FF62BD8A"/>
      </top>
      <bottom style="thin">
        <color rgb="FF62BD8A"/>
      </bottom>
      <diagonal/>
    </border>
    <border>
      <left style="thin">
        <color rgb="FF62BD8A"/>
      </left>
      <right style="thin">
        <color rgb="FF62BD8A"/>
      </right>
      <top style="thin">
        <color rgb="FF62BD8A"/>
      </top>
      <bottom style="medium">
        <color rgb="FF439B69"/>
      </bottom>
      <diagonal/>
    </border>
    <border>
      <left style="thin">
        <color rgb="FF62BD8A"/>
      </left>
      <right style="medium">
        <color rgb="FF439B69"/>
      </right>
      <top style="thin">
        <color rgb="FF62BD8A"/>
      </top>
      <bottom style="medium">
        <color rgb="FF439B69"/>
      </bottom>
      <diagonal/>
    </border>
    <border>
      <left style="thin">
        <color theme="0"/>
      </left>
      <right/>
      <top style="thin">
        <color rgb="FF62BD8A"/>
      </top>
      <bottom style="thin">
        <color rgb="FF62BD8A"/>
      </bottom>
      <diagonal/>
    </border>
    <border>
      <left style="thin">
        <color theme="0"/>
      </left>
      <right style="thin">
        <color theme="0"/>
      </right>
      <top style="thin">
        <color rgb="FF62BD8A"/>
      </top>
      <bottom style="thin">
        <color rgb="FF62BD8A"/>
      </bottom>
      <diagonal/>
    </border>
    <border>
      <left/>
      <right/>
      <top style="thin">
        <color rgb="FF439B69"/>
      </top>
      <bottom style="thin">
        <color rgb="FF439B69"/>
      </bottom>
      <diagonal/>
    </border>
    <border>
      <left/>
      <right style="thin">
        <color rgb="FF439B69"/>
      </right>
      <top/>
      <bottom style="thin">
        <color rgb="FF62BD8A"/>
      </bottom>
      <diagonal/>
    </border>
    <border>
      <left style="thin">
        <color rgb="FF439B69"/>
      </left>
      <right style="thin">
        <color rgb="FF62BD8A"/>
      </right>
      <top style="thin">
        <color rgb="FF62BD8A"/>
      </top>
      <bottom style="thin">
        <color rgb="FF62BD8A"/>
      </bottom>
      <diagonal/>
    </border>
    <border>
      <left style="medium">
        <color rgb="FF439B69"/>
      </left>
      <right/>
      <top/>
      <bottom style="thin">
        <color rgb="FF62BD8A"/>
      </bottom>
      <diagonal/>
    </border>
    <border>
      <left/>
      <right style="medium">
        <color rgb="FF439B69"/>
      </right>
      <top/>
      <bottom style="thin">
        <color rgb="FF62BD8A"/>
      </bottom>
      <diagonal/>
    </border>
    <border>
      <left/>
      <right style="medium">
        <color rgb="FF439B69"/>
      </right>
      <top/>
      <bottom/>
      <diagonal/>
    </border>
    <border>
      <left style="medium">
        <color rgb="FF439B69"/>
      </left>
      <right/>
      <top style="medium">
        <color rgb="FF439B69"/>
      </top>
      <bottom/>
      <diagonal/>
    </border>
    <border>
      <left/>
      <right/>
      <top style="medium">
        <color rgb="FF439B69"/>
      </top>
      <bottom/>
      <diagonal/>
    </border>
    <border>
      <left/>
      <right style="medium">
        <color rgb="FF439B69"/>
      </right>
      <top style="medium">
        <color rgb="FF439B69"/>
      </top>
      <bottom/>
      <diagonal/>
    </border>
    <border>
      <left style="medium">
        <color rgb="FF439B69"/>
      </left>
      <right/>
      <top/>
      <bottom style="medium">
        <color rgb="FF439B69"/>
      </bottom>
      <diagonal/>
    </border>
    <border>
      <left/>
      <right/>
      <top/>
      <bottom style="medium">
        <color rgb="FF439B69"/>
      </bottom>
      <diagonal/>
    </border>
    <border>
      <left/>
      <right style="medium">
        <color rgb="FF439B69"/>
      </right>
      <top/>
      <bottom style="medium">
        <color rgb="FF439B69"/>
      </bottom>
      <diagonal/>
    </border>
  </borders>
  <cellStyleXfs count="3">
    <xf numFmtId="0" fontId="0" fillId="0" borderId="0"/>
    <xf numFmtId="9" fontId="1" fillId="0" borderId="0" applyFont="0" applyFill="0" applyBorder="0" applyAlignment="0" applyProtection="0"/>
    <xf numFmtId="0" fontId="2" fillId="0" borderId="0" applyNumberFormat="0" applyFill="0" applyBorder="0" applyAlignment="0" applyProtection="0"/>
  </cellStyleXfs>
  <cellXfs count="172">
    <xf numFmtId="0" fontId="0" fillId="0" borderId="0" xfId="0"/>
    <xf numFmtId="0" fontId="3" fillId="2" borderId="0" xfId="0" applyFont="1" applyFill="1" applyProtection="1">
      <protection locked="0"/>
    </xf>
    <xf numFmtId="0" fontId="3" fillId="2" borderId="0" xfId="0" applyFont="1" applyFill="1"/>
    <xf numFmtId="0" fontId="3" fillId="0" borderId="0" xfId="0" applyFont="1"/>
    <xf numFmtId="0" fontId="4" fillId="2" borderId="2" xfId="0" applyFont="1" applyFill="1" applyBorder="1"/>
    <xf numFmtId="0" fontId="3" fillId="3" borderId="0" xfId="0" applyFont="1" applyFill="1"/>
    <xf numFmtId="0" fontId="3" fillId="0" borderId="1" xfId="0" applyFont="1" applyBorder="1"/>
    <xf numFmtId="0" fontId="4" fillId="2" borderId="2" xfId="0" applyFont="1" applyFill="1" applyBorder="1" applyProtection="1">
      <protection locked="0"/>
    </xf>
    <xf numFmtId="0" fontId="3" fillId="2" borderId="3" xfId="0" applyFont="1" applyFill="1" applyBorder="1" applyProtection="1">
      <protection locked="0"/>
    </xf>
    <xf numFmtId="0" fontId="0" fillId="0" borderId="0" xfId="0" applyAlignment="1">
      <alignment horizontal="center"/>
    </xf>
    <xf numFmtId="0" fontId="3" fillId="0" borderId="3" xfId="0" applyFont="1" applyBorder="1"/>
    <xf numFmtId="0" fontId="0" fillId="2" borderId="0" xfId="0" applyFill="1"/>
    <xf numFmtId="0" fontId="9" fillId="2" borderId="0" xfId="0" applyFont="1" applyFill="1"/>
    <xf numFmtId="0" fontId="10" fillId="2" borderId="0" xfId="0" applyFont="1" applyFill="1" applyAlignment="1">
      <alignment vertical="center"/>
    </xf>
    <xf numFmtId="14" fontId="11" fillId="2" borderId="0" xfId="0" applyNumberFormat="1" applyFont="1" applyFill="1" applyAlignment="1">
      <alignment horizontal="center" vertical="center"/>
    </xf>
    <xf numFmtId="0" fontId="12" fillId="2" borderId="0" xfId="0" applyFont="1" applyFill="1" applyAlignment="1">
      <alignment horizontal="center"/>
    </xf>
    <xf numFmtId="0" fontId="9" fillId="2" borderId="0" xfId="0" applyFont="1" applyFill="1" applyAlignment="1">
      <alignment vertical="center"/>
    </xf>
    <xf numFmtId="0" fontId="13" fillId="2" borderId="0" xfId="0" applyFont="1" applyFill="1" applyAlignment="1">
      <alignment vertical="center"/>
    </xf>
    <xf numFmtId="0" fontId="15" fillId="2" borderId="0" xfId="0" applyFont="1" applyFill="1"/>
    <xf numFmtId="0" fontId="16" fillId="2" borderId="0" xfId="0" applyFont="1" applyFill="1" applyAlignment="1">
      <alignment horizontal="center" vertical="center" wrapText="1" readingOrder="1"/>
    </xf>
    <xf numFmtId="0" fontId="15" fillId="2" borderId="0" xfId="0" applyFont="1" applyFill="1" applyAlignment="1">
      <alignment wrapText="1"/>
    </xf>
    <xf numFmtId="0" fontId="9" fillId="2" borderId="0" xfId="0" applyFont="1" applyFill="1" applyAlignment="1">
      <alignment wrapText="1"/>
    </xf>
    <xf numFmtId="0" fontId="6" fillId="2" borderId="0" xfId="0" applyFont="1" applyFill="1"/>
    <xf numFmtId="0" fontId="17" fillId="2" borderId="5" xfId="0" applyFont="1" applyFill="1" applyBorder="1" applyAlignment="1">
      <alignment horizontal="center" vertical="center" wrapText="1"/>
    </xf>
    <xf numFmtId="0" fontId="19" fillId="2" borderId="0" xfId="0" applyFont="1" applyFill="1" applyAlignment="1">
      <alignment vertical="center"/>
    </xf>
    <xf numFmtId="0" fontId="14" fillId="2" borderId="0" xfId="0" applyFont="1" applyFill="1" applyAlignment="1">
      <alignment vertical="center"/>
    </xf>
    <xf numFmtId="0" fontId="20" fillId="2" borderId="0" xfId="0" applyFont="1" applyFill="1" applyAlignment="1">
      <alignment vertical="center"/>
    </xf>
    <xf numFmtId="0" fontId="21" fillId="2" borderId="0" xfId="0" applyFont="1" applyFill="1" applyAlignment="1">
      <alignment vertical="center"/>
    </xf>
    <xf numFmtId="14" fontId="18" fillId="2" borderId="5" xfId="0" applyNumberFormat="1" applyFont="1" applyFill="1" applyBorder="1" applyAlignment="1">
      <alignment horizontal="center" vertical="center" wrapText="1"/>
    </xf>
    <xf numFmtId="1" fontId="18" fillId="2" borderId="5" xfId="0" applyNumberFormat="1" applyFont="1" applyFill="1" applyBorder="1" applyAlignment="1">
      <alignment horizontal="center" vertical="center" wrapText="1"/>
    </xf>
    <xf numFmtId="9" fontId="18" fillId="2" borderId="5" xfId="1" applyFont="1" applyFill="1" applyBorder="1" applyAlignment="1">
      <alignment horizontal="center" vertical="center" wrapText="1"/>
    </xf>
    <xf numFmtId="165" fontId="18" fillId="2" borderId="5" xfId="0" applyNumberFormat="1" applyFont="1" applyFill="1" applyBorder="1" applyAlignment="1">
      <alignment horizontal="center" vertical="center" wrapText="1"/>
    </xf>
    <xf numFmtId="166" fontId="18" fillId="2" borderId="5" xfId="0" applyNumberFormat="1" applyFont="1" applyFill="1" applyBorder="1" applyAlignment="1">
      <alignment horizontal="center" vertical="center" wrapText="1"/>
    </xf>
    <xf numFmtId="0" fontId="9" fillId="2" borderId="0" xfId="0" applyFont="1" applyFill="1" applyAlignment="1">
      <alignment horizontal="left"/>
    </xf>
    <xf numFmtId="0" fontId="21" fillId="2" borderId="0" xfId="0" applyFont="1" applyFill="1" applyAlignment="1">
      <alignment horizontal="left" vertical="center"/>
    </xf>
    <xf numFmtId="0" fontId="19" fillId="2" borderId="10" xfId="0" applyFont="1" applyFill="1" applyBorder="1" applyAlignment="1">
      <alignment horizontal="left" vertical="center"/>
    </xf>
    <xf numFmtId="0" fontId="9" fillId="2" borderId="10" xfId="0" applyFont="1" applyFill="1" applyBorder="1" applyAlignment="1">
      <alignment horizontal="left"/>
    </xf>
    <xf numFmtId="0" fontId="2" fillId="2" borderId="5" xfId="2" applyFill="1" applyBorder="1" applyAlignment="1">
      <alignment horizontal="center" vertical="center" wrapText="1"/>
    </xf>
    <xf numFmtId="49" fontId="14" fillId="2" borderId="0" xfId="0" applyNumberFormat="1" applyFont="1" applyFill="1" applyAlignment="1" applyProtection="1">
      <alignment horizontal="center" vertical="center"/>
      <protection locked="0"/>
    </xf>
    <xf numFmtId="0" fontId="19" fillId="2" borderId="0" xfId="0" applyFont="1" applyFill="1" applyAlignment="1">
      <alignment horizontal="center" vertical="center"/>
    </xf>
    <xf numFmtId="0" fontId="9" fillId="2" borderId="0" xfId="0" applyFont="1" applyFill="1" applyAlignment="1">
      <alignment horizontal="center" vertical="center"/>
    </xf>
    <xf numFmtId="0" fontId="17" fillId="6" borderId="5" xfId="0" applyFont="1" applyFill="1" applyBorder="1" applyAlignment="1">
      <alignment horizontal="center" vertical="center" wrapText="1"/>
    </xf>
    <xf numFmtId="0" fontId="2" fillId="6" borderId="5" xfId="2" applyFill="1" applyBorder="1" applyAlignment="1">
      <alignment horizontal="center" vertical="center" wrapText="1"/>
    </xf>
    <xf numFmtId="165" fontId="18" fillId="6" borderId="5" xfId="0" applyNumberFormat="1" applyFont="1" applyFill="1" applyBorder="1" applyAlignment="1">
      <alignment horizontal="center" vertical="center" wrapText="1"/>
    </xf>
    <xf numFmtId="9" fontId="18" fillId="6" borderId="5" xfId="1" applyFont="1" applyFill="1" applyBorder="1" applyAlignment="1">
      <alignment horizontal="center" vertical="center" wrapText="1"/>
    </xf>
    <xf numFmtId="0" fontId="17" fillId="5" borderId="13" xfId="0" applyFont="1" applyFill="1" applyBorder="1" applyAlignment="1">
      <alignment horizontal="center" vertical="center" wrapText="1"/>
    </xf>
    <xf numFmtId="0" fontId="4" fillId="2" borderId="14" xfId="0" applyFont="1" applyFill="1" applyBorder="1"/>
    <xf numFmtId="0" fontId="4" fillId="2" borderId="15" xfId="0" applyFont="1" applyFill="1" applyBorder="1"/>
    <xf numFmtId="0" fontId="4" fillId="2" borderId="15" xfId="0" applyFont="1" applyFill="1" applyBorder="1" applyProtection="1">
      <protection locked="0"/>
    </xf>
    <xf numFmtId="0" fontId="4" fillId="2" borderId="16" xfId="0" applyFont="1" applyFill="1" applyBorder="1" applyProtection="1">
      <protection locked="0"/>
    </xf>
    <xf numFmtId="0" fontId="4" fillId="2" borderId="17" xfId="0" applyFont="1" applyFill="1" applyBorder="1"/>
    <xf numFmtId="0" fontId="4" fillId="2" borderId="18" xfId="0" applyFont="1" applyFill="1" applyBorder="1" applyProtection="1">
      <protection locked="0"/>
    </xf>
    <xf numFmtId="0" fontId="4" fillId="2" borderId="19" xfId="0" applyFont="1" applyFill="1" applyBorder="1"/>
    <xf numFmtId="0" fontId="4" fillId="2" borderId="20" xfId="0" applyFont="1" applyFill="1" applyBorder="1"/>
    <xf numFmtId="0" fontId="4" fillId="2" borderId="20" xfId="0" applyFont="1" applyFill="1" applyBorder="1" applyProtection="1">
      <protection locked="0"/>
    </xf>
    <xf numFmtId="0" fontId="4" fillId="2" borderId="21" xfId="0" applyFont="1" applyFill="1" applyBorder="1" applyProtection="1">
      <protection locked="0"/>
    </xf>
    <xf numFmtId="0" fontId="3" fillId="0" borderId="22" xfId="0" applyFont="1" applyBorder="1"/>
    <xf numFmtId="0" fontId="3" fillId="0" borderId="4" xfId="0" applyFont="1" applyBorder="1"/>
    <xf numFmtId="0" fontId="19" fillId="2" borderId="8" xfId="0" applyFont="1" applyFill="1" applyBorder="1" applyAlignment="1">
      <alignment vertical="center"/>
    </xf>
    <xf numFmtId="0" fontId="17" fillId="6" borderId="27" xfId="0" applyFont="1" applyFill="1" applyBorder="1" applyAlignment="1">
      <alignment horizontal="center" vertical="center" wrapText="1"/>
    </xf>
    <xf numFmtId="0" fontId="17" fillId="2" borderId="27" xfId="0" applyFont="1" applyFill="1" applyBorder="1" applyAlignment="1">
      <alignment horizontal="center" vertical="center" wrapText="1"/>
    </xf>
    <xf numFmtId="0" fontId="17" fillId="2" borderId="29" xfId="0" applyFont="1" applyFill="1" applyBorder="1" applyAlignment="1">
      <alignment horizontal="center" vertical="center" wrapText="1"/>
    </xf>
    <xf numFmtId="0" fontId="2" fillId="2" borderId="29" xfId="2" applyFill="1" applyBorder="1" applyAlignment="1">
      <alignment horizontal="center" vertical="center" wrapText="1"/>
    </xf>
    <xf numFmtId="165" fontId="18" fillId="2" borderId="29" xfId="0" applyNumberFormat="1" applyFont="1" applyFill="1" applyBorder="1" applyAlignment="1">
      <alignment horizontal="center" vertical="center" wrapText="1"/>
    </xf>
    <xf numFmtId="9" fontId="18" fillId="2" borderId="29" xfId="1" applyFont="1" applyFill="1" applyBorder="1" applyAlignment="1">
      <alignment horizontal="center" vertical="center" wrapText="1"/>
    </xf>
    <xf numFmtId="0" fontId="17" fillId="5" borderId="31" xfId="0" applyFont="1" applyFill="1" applyBorder="1" applyAlignment="1">
      <alignment horizontal="center" vertical="center" wrapText="1"/>
    </xf>
    <xf numFmtId="0" fontId="17" fillId="5" borderId="6" xfId="0" applyFont="1" applyFill="1" applyBorder="1" applyAlignment="1">
      <alignment horizontal="center" vertical="center" wrapText="1"/>
    </xf>
    <xf numFmtId="0" fontId="17" fillId="5" borderId="32" xfId="0" applyFont="1" applyFill="1" applyBorder="1" applyAlignment="1">
      <alignment horizontal="center" vertical="center" wrapText="1"/>
    </xf>
    <xf numFmtId="0" fontId="17" fillId="5" borderId="7" xfId="0" applyFont="1" applyFill="1" applyBorder="1" applyAlignment="1">
      <alignment horizontal="center" vertical="center" wrapText="1"/>
    </xf>
    <xf numFmtId="1" fontId="18" fillId="2" borderId="29" xfId="0" applyNumberFormat="1" applyFont="1" applyFill="1" applyBorder="1" applyAlignment="1">
      <alignment horizontal="center" vertical="center" wrapText="1"/>
    </xf>
    <xf numFmtId="9" fontId="23" fillId="6" borderId="28" xfId="1" applyFont="1" applyFill="1" applyBorder="1" applyAlignment="1">
      <alignment horizontal="left" vertical="center" wrapText="1" indent="1"/>
    </xf>
    <xf numFmtId="9" fontId="23" fillId="2" borderId="28" xfId="1" applyFont="1" applyFill="1" applyBorder="1" applyAlignment="1">
      <alignment horizontal="left" vertical="center" wrapText="1" indent="1"/>
    </xf>
    <xf numFmtId="9" fontId="23" fillId="2" borderId="30" xfId="1" applyFont="1" applyFill="1" applyBorder="1" applyAlignment="1">
      <alignment horizontal="left" vertical="center" wrapText="1" indent="1"/>
    </xf>
    <xf numFmtId="9" fontId="23" fillId="2" borderId="26" xfId="1" applyFont="1" applyFill="1" applyBorder="1" applyAlignment="1">
      <alignment horizontal="left" vertical="center" wrapText="1" indent="1"/>
    </xf>
    <xf numFmtId="0" fontId="9" fillId="9" borderId="0" xfId="0" applyFont="1" applyFill="1" applyAlignment="1">
      <alignment vertical="center"/>
    </xf>
    <xf numFmtId="0" fontId="16" fillId="8" borderId="0" xfId="0" applyFont="1" applyFill="1" applyAlignment="1">
      <alignment horizontal="center" vertical="center" wrapText="1" readingOrder="1"/>
    </xf>
    <xf numFmtId="0" fontId="15" fillId="0" borderId="0" xfId="0" applyFont="1"/>
    <xf numFmtId="0" fontId="16" fillId="0" borderId="0" xfId="0" applyFont="1" applyAlignment="1">
      <alignment horizontal="center" vertical="center" wrapText="1" readingOrder="1"/>
    </xf>
    <xf numFmtId="0" fontId="9" fillId="0" borderId="0" xfId="0" applyFont="1" applyAlignment="1">
      <alignment vertical="center"/>
    </xf>
    <xf numFmtId="0" fontId="9" fillId="0" borderId="0" xfId="0" applyFont="1"/>
    <xf numFmtId="167" fontId="18" fillId="2" borderId="5" xfId="0" applyNumberFormat="1" applyFont="1" applyFill="1" applyBorder="1" applyAlignment="1">
      <alignment horizontal="center" vertical="center" wrapText="1"/>
    </xf>
    <xf numFmtId="0" fontId="25" fillId="2" borderId="0" xfId="0" applyFont="1" applyFill="1"/>
    <xf numFmtId="0" fontId="9" fillId="2" borderId="0" xfId="0" applyFont="1" applyFill="1" applyAlignment="1">
      <alignment vertical="top"/>
    </xf>
    <xf numFmtId="0" fontId="9" fillId="0" borderId="0" xfId="0" applyFont="1" applyAlignment="1">
      <alignment vertical="top"/>
    </xf>
    <xf numFmtId="0" fontId="26" fillId="2" borderId="0" xfId="0" applyFont="1" applyFill="1"/>
    <xf numFmtId="0" fontId="27" fillId="2" borderId="0" xfId="0" applyFont="1" applyFill="1"/>
    <xf numFmtId="0" fontId="27" fillId="2" borderId="0" xfId="0" applyFont="1" applyFill="1" applyAlignment="1">
      <alignment vertical="top"/>
    </xf>
    <xf numFmtId="0" fontId="28" fillId="2" borderId="0" xfId="0" applyFont="1" applyFill="1" applyAlignment="1">
      <alignment horizontal="center" vertical="center" wrapText="1" readingOrder="1"/>
    </xf>
    <xf numFmtId="0" fontId="29" fillId="2" borderId="0" xfId="0" applyFont="1" applyFill="1" applyAlignment="1">
      <alignment horizontal="center" vertical="center" wrapText="1" readingOrder="1"/>
    </xf>
    <xf numFmtId="49" fontId="28" fillId="2" borderId="0" xfId="0" applyNumberFormat="1" applyFont="1" applyFill="1" applyAlignment="1">
      <alignment horizontal="center" vertical="center" wrapText="1" readingOrder="1"/>
    </xf>
    <xf numFmtId="49" fontId="29" fillId="2" borderId="0" xfId="0" applyNumberFormat="1" applyFont="1" applyFill="1" applyAlignment="1">
      <alignment horizontal="center" vertical="center" wrapText="1" readingOrder="1"/>
    </xf>
    <xf numFmtId="0" fontId="14" fillId="2" borderId="0" xfId="0" applyFont="1" applyFill="1"/>
    <xf numFmtId="0" fontId="14" fillId="2" borderId="0" xfId="0" applyFont="1" applyFill="1" applyAlignment="1">
      <alignment vertical="top"/>
    </xf>
    <xf numFmtId="0" fontId="14" fillId="2" borderId="0" xfId="0" applyFont="1" applyFill="1" applyAlignment="1">
      <alignment horizontal="left"/>
    </xf>
    <xf numFmtId="0" fontId="30" fillId="0" borderId="0" xfId="0" applyFont="1" applyAlignment="1">
      <alignment horizontal="center" vertical="center"/>
    </xf>
    <xf numFmtId="0" fontId="30" fillId="0" borderId="0" xfId="0" applyFont="1" applyAlignment="1" applyProtection="1">
      <alignment horizontal="center" vertical="center"/>
      <protection locked="0"/>
    </xf>
    <xf numFmtId="0" fontId="19" fillId="2" borderId="25" xfId="0" applyFont="1" applyFill="1" applyBorder="1" applyAlignment="1">
      <alignment vertical="center"/>
    </xf>
    <xf numFmtId="0" fontId="19" fillId="2" borderId="34" xfId="0" applyFont="1" applyFill="1" applyBorder="1" applyAlignment="1">
      <alignment vertical="center"/>
    </xf>
    <xf numFmtId="0" fontId="17" fillId="10" borderId="25" xfId="0" applyFont="1" applyFill="1" applyBorder="1" applyAlignment="1">
      <alignment horizontal="center" vertical="center" wrapText="1"/>
    </xf>
    <xf numFmtId="0" fontId="17" fillId="10" borderId="36" xfId="0" applyFont="1" applyFill="1" applyBorder="1" applyAlignment="1">
      <alignment horizontal="left" vertical="center"/>
    </xf>
    <xf numFmtId="14" fontId="17" fillId="10" borderId="25" xfId="0" applyNumberFormat="1" applyFont="1" applyFill="1" applyBorder="1" applyAlignment="1">
      <alignment horizontal="center" vertical="center" wrapText="1"/>
    </xf>
    <xf numFmtId="14" fontId="18" fillId="6" borderId="5" xfId="1" applyNumberFormat="1" applyFont="1" applyFill="1" applyBorder="1" applyAlignment="1">
      <alignment horizontal="center" vertical="center" wrapText="1"/>
    </xf>
    <xf numFmtId="14" fontId="18" fillId="2" borderId="5" xfId="1" applyNumberFormat="1" applyFont="1" applyFill="1" applyBorder="1" applyAlignment="1">
      <alignment horizontal="center" vertical="center" wrapText="1"/>
    </xf>
    <xf numFmtId="0" fontId="10" fillId="2" borderId="0" xfId="0" applyFont="1" applyFill="1" applyAlignment="1">
      <alignment vertical="center" wrapText="1"/>
    </xf>
    <xf numFmtId="0" fontId="9" fillId="2" borderId="8" xfId="0" applyFont="1" applyFill="1" applyBorder="1" applyAlignment="1">
      <alignment wrapText="1"/>
    </xf>
    <xf numFmtId="49" fontId="14" fillId="2" borderId="0" xfId="0" applyNumberFormat="1" applyFont="1" applyFill="1" applyAlignment="1" applyProtection="1">
      <alignment horizontal="center" vertical="center" wrapText="1"/>
      <protection locked="0"/>
    </xf>
    <xf numFmtId="0" fontId="3" fillId="2" borderId="0" xfId="0" applyFont="1" applyFill="1" applyAlignment="1" applyProtection="1">
      <alignment wrapText="1"/>
      <protection locked="0"/>
    </xf>
    <xf numFmtId="14" fontId="17" fillId="6" borderId="5" xfId="1" applyNumberFormat="1" applyFont="1" applyFill="1" applyBorder="1" applyAlignment="1">
      <alignment horizontal="center" vertical="center" wrapText="1"/>
    </xf>
    <xf numFmtId="0" fontId="17" fillId="6" borderId="5" xfId="1" applyNumberFormat="1" applyFont="1" applyFill="1" applyBorder="1" applyAlignment="1">
      <alignment horizontal="center" vertical="center" wrapText="1"/>
    </xf>
    <xf numFmtId="1" fontId="17" fillId="6" borderId="5" xfId="0" applyNumberFormat="1" applyFont="1" applyFill="1" applyBorder="1" applyAlignment="1">
      <alignment horizontal="center" vertical="center" wrapText="1"/>
    </xf>
    <xf numFmtId="9" fontId="17" fillId="10" borderId="37" xfId="0" applyNumberFormat="1" applyFont="1" applyFill="1" applyBorder="1" applyAlignment="1">
      <alignment horizontal="center" vertical="center" wrapText="1"/>
    </xf>
    <xf numFmtId="0" fontId="15" fillId="2" borderId="0" xfId="0" applyFont="1" applyFill="1" applyAlignment="1">
      <alignment vertical="top"/>
    </xf>
    <xf numFmtId="49" fontId="32" fillId="2" borderId="0" xfId="0" applyNumberFormat="1" applyFont="1" applyFill="1" applyAlignment="1">
      <alignment horizontal="center" vertical="center" wrapText="1" readingOrder="1"/>
    </xf>
    <xf numFmtId="49" fontId="33" fillId="2" borderId="0" xfId="0" applyNumberFormat="1" applyFont="1" applyFill="1" applyAlignment="1">
      <alignment horizontal="center" vertical="center" wrapText="1" readingOrder="1"/>
    </xf>
    <xf numFmtId="0" fontId="26" fillId="2" borderId="0" xfId="0" applyFont="1" applyFill="1" applyAlignment="1">
      <alignment vertical="top"/>
    </xf>
    <xf numFmtId="0" fontId="26" fillId="0" borderId="0" xfId="0" applyFont="1" applyAlignment="1">
      <alignment vertical="top"/>
    </xf>
    <xf numFmtId="0" fontId="26" fillId="0" borderId="0" xfId="0" applyFont="1"/>
    <xf numFmtId="0" fontId="26" fillId="2" borderId="0" xfId="0" applyFont="1" applyFill="1" applyAlignment="1">
      <alignment wrapText="1"/>
    </xf>
    <xf numFmtId="0" fontId="23" fillId="5" borderId="31" xfId="0" applyFont="1" applyFill="1" applyBorder="1" applyAlignment="1">
      <alignment horizontal="center" vertical="center" wrapText="1"/>
    </xf>
    <xf numFmtId="0" fontId="35" fillId="2" borderId="0" xfId="0" applyFont="1" applyFill="1"/>
    <xf numFmtId="0" fontId="31" fillId="2" borderId="0" xfId="0" applyFont="1" applyFill="1" applyAlignment="1">
      <alignment horizontal="left" vertical="top" wrapText="1"/>
    </xf>
    <xf numFmtId="0" fontId="27" fillId="11" borderId="0" xfId="0" applyFont="1" applyFill="1" applyAlignment="1">
      <alignment vertical="center"/>
    </xf>
    <xf numFmtId="0" fontId="26" fillId="11" borderId="0" xfId="0" applyFont="1" applyFill="1" applyAlignment="1">
      <alignment vertical="center" wrapText="1"/>
    </xf>
    <xf numFmtId="0" fontId="36" fillId="2" borderId="0" xfId="0" applyFont="1" applyFill="1"/>
    <xf numFmtId="166" fontId="17" fillId="0" borderId="5" xfId="0" applyNumberFormat="1" applyFont="1" applyBorder="1" applyAlignment="1">
      <alignment horizontal="center" vertical="center" wrapText="1"/>
    </xf>
    <xf numFmtId="9" fontId="17" fillId="0" borderId="5" xfId="1" applyFont="1" applyFill="1" applyBorder="1" applyAlignment="1">
      <alignment horizontal="center" vertical="center" wrapText="1"/>
    </xf>
    <xf numFmtId="168" fontId="37" fillId="2" borderId="42" xfId="0" applyNumberFormat="1" applyFont="1" applyFill="1" applyBorder="1" applyAlignment="1">
      <alignment horizontal="center" vertical="center"/>
    </xf>
    <xf numFmtId="168" fontId="0" fillId="0" borderId="0" xfId="0" applyNumberFormat="1"/>
    <xf numFmtId="168" fontId="22" fillId="2" borderId="0" xfId="0" applyNumberFormat="1" applyFont="1" applyFill="1" applyAlignment="1">
      <alignment horizontal="center" vertical="center"/>
    </xf>
    <xf numFmtId="168" fontId="22" fillId="2" borderId="38" xfId="0" applyNumberFormat="1" applyFont="1" applyFill="1" applyBorder="1" applyAlignment="1">
      <alignment horizontal="center" vertical="center"/>
    </xf>
    <xf numFmtId="0" fontId="27" fillId="2" borderId="0" xfId="0" applyFont="1" applyFill="1" applyAlignment="1">
      <alignment horizontal="left"/>
    </xf>
    <xf numFmtId="0" fontId="31" fillId="4" borderId="0" xfId="0" applyFont="1" applyFill="1" applyAlignment="1">
      <alignment horizontal="left" vertical="top" wrapText="1"/>
    </xf>
    <xf numFmtId="0" fontId="26" fillId="2" borderId="0" xfId="0" applyFont="1" applyFill="1" applyAlignment="1">
      <alignment horizontal="left" vertical="top" wrapText="1"/>
    </xf>
    <xf numFmtId="0" fontId="9" fillId="2" borderId="0" xfId="0" applyFont="1" applyFill="1" applyAlignment="1">
      <alignment horizontal="left" vertical="top" wrapText="1"/>
    </xf>
    <xf numFmtId="0" fontId="14" fillId="2" borderId="0" xfId="0" applyFont="1" applyFill="1" applyAlignment="1">
      <alignment horizontal="left" vertical="top" wrapText="1"/>
    </xf>
    <xf numFmtId="0" fontId="26" fillId="11" borderId="0" xfId="0" applyFont="1" applyFill="1" applyAlignment="1">
      <alignment horizontal="left" vertical="center" wrapText="1"/>
    </xf>
    <xf numFmtId="0" fontId="14" fillId="2" borderId="0" xfId="0" applyFont="1" applyFill="1" applyAlignment="1">
      <alignment horizontal="center" vertical="center"/>
    </xf>
    <xf numFmtId="49" fontId="14" fillId="4" borderId="6" xfId="0" applyNumberFormat="1" applyFont="1" applyFill="1" applyBorder="1" applyAlignment="1" applyProtection="1">
      <alignment horizontal="center" vertical="center"/>
      <protection locked="0"/>
    </xf>
    <xf numFmtId="49" fontId="14" fillId="4" borderId="5" xfId="0" applyNumberFormat="1" applyFont="1" applyFill="1" applyBorder="1" applyAlignment="1" applyProtection="1">
      <alignment horizontal="center" vertical="center"/>
      <protection locked="0"/>
    </xf>
    <xf numFmtId="49" fontId="14" fillId="4" borderId="35" xfId="0" applyNumberFormat="1" applyFont="1" applyFill="1" applyBorder="1" applyAlignment="1" applyProtection="1">
      <alignment horizontal="center" vertical="center"/>
      <protection locked="0"/>
    </xf>
    <xf numFmtId="14" fontId="14" fillId="4" borderId="11" xfId="0" applyNumberFormat="1" applyFont="1" applyFill="1" applyBorder="1" applyAlignment="1" applyProtection="1">
      <alignment horizontal="center" vertical="center"/>
      <protection locked="0"/>
    </xf>
    <xf numFmtId="14" fontId="14" fillId="4" borderId="12" xfId="0" applyNumberFormat="1" applyFont="1" applyFill="1" applyBorder="1" applyAlignment="1" applyProtection="1">
      <alignment horizontal="center" vertical="center"/>
      <protection locked="0"/>
    </xf>
    <xf numFmtId="49" fontId="14" fillId="4" borderId="11" xfId="0" applyNumberFormat="1" applyFont="1" applyFill="1" applyBorder="1" applyAlignment="1" applyProtection="1">
      <alignment horizontal="center" vertical="center"/>
      <protection locked="0"/>
    </xf>
    <xf numFmtId="49" fontId="14" fillId="4" borderId="12" xfId="0" applyNumberFormat="1" applyFont="1" applyFill="1" applyBorder="1" applyAlignment="1" applyProtection="1">
      <alignment horizontal="center" vertical="center"/>
      <protection locked="0"/>
    </xf>
    <xf numFmtId="0" fontId="19" fillId="2" borderId="9" xfId="0" applyFont="1" applyFill="1" applyBorder="1" applyAlignment="1">
      <alignment horizontal="left" vertical="center"/>
    </xf>
    <xf numFmtId="0" fontId="19" fillId="2" borderId="0" xfId="0" applyFont="1" applyFill="1" applyAlignment="1">
      <alignment horizontal="left" vertical="center"/>
    </xf>
    <xf numFmtId="0" fontId="8" fillId="2" borderId="9" xfId="0" applyFont="1" applyFill="1" applyBorder="1" applyAlignment="1" applyProtection="1">
      <alignment horizontal="left" vertical="center"/>
      <protection locked="0"/>
    </xf>
    <xf numFmtId="0" fontId="8" fillId="2" borderId="23" xfId="0" applyFont="1" applyFill="1" applyBorder="1" applyAlignment="1" applyProtection="1">
      <alignment horizontal="left" vertical="center"/>
      <protection locked="0"/>
    </xf>
    <xf numFmtId="164" fontId="7" fillId="4" borderId="11" xfId="0" applyNumberFormat="1" applyFont="1" applyFill="1" applyBorder="1" applyAlignment="1">
      <alignment horizontal="center" vertical="center"/>
    </xf>
    <xf numFmtId="164" fontId="7" fillId="4" borderId="33" xfId="0" applyNumberFormat="1" applyFont="1" applyFill="1" applyBorder="1" applyAlignment="1">
      <alignment horizontal="center" vertical="center"/>
    </xf>
    <xf numFmtId="164" fontId="7" fillId="4" borderId="12" xfId="0" applyNumberFormat="1" applyFont="1" applyFill="1" applyBorder="1" applyAlignment="1">
      <alignment horizontal="center" vertical="center"/>
    </xf>
    <xf numFmtId="165" fontId="24" fillId="7" borderId="24" xfId="0" applyNumberFormat="1" applyFont="1" applyFill="1" applyBorder="1" applyAlignment="1">
      <alignment horizontal="center" vertical="center" wrapText="1"/>
    </xf>
    <xf numFmtId="165" fontId="24" fillId="7" borderId="25" xfId="0" applyNumberFormat="1" applyFont="1" applyFill="1" applyBorder="1" applyAlignment="1">
      <alignment horizontal="center" vertical="center" wrapText="1"/>
    </xf>
    <xf numFmtId="0" fontId="17" fillId="5" borderId="40" xfId="0" applyFont="1" applyFill="1" applyBorder="1" applyAlignment="1">
      <alignment horizontal="center" vertical="center" wrapText="1"/>
    </xf>
    <xf numFmtId="0" fontId="17" fillId="5" borderId="25" xfId="0" applyFont="1" applyFill="1" applyBorder="1" applyAlignment="1">
      <alignment horizontal="center" vertical="center" wrapText="1"/>
    </xf>
    <xf numFmtId="0" fontId="17" fillId="5" borderId="41" xfId="0" applyFont="1" applyFill="1" applyBorder="1" applyAlignment="1">
      <alignment horizontal="center" vertical="center" wrapText="1"/>
    </xf>
    <xf numFmtId="0" fontId="17" fillId="5" borderId="37" xfId="0" applyFont="1" applyFill="1" applyBorder="1" applyAlignment="1">
      <alignment horizontal="center" vertical="center" wrapText="1"/>
    </xf>
    <xf numFmtId="14" fontId="13" fillId="2" borderId="0" xfId="0" applyNumberFormat="1" applyFont="1" applyFill="1" applyAlignment="1">
      <alignment horizontal="center" vertical="center"/>
    </xf>
    <xf numFmtId="0" fontId="17" fillId="5" borderId="39" xfId="0" applyFont="1" applyFill="1" applyBorder="1" applyAlignment="1">
      <alignment horizontal="center" vertical="center" wrapText="1"/>
    </xf>
    <xf numFmtId="0" fontId="17" fillId="5" borderId="36" xfId="0" applyFont="1" applyFill="1" applyBorder="1" applyAlignment="1">
      <alignment horizontal="center" vertical="center" wrapText="1"/>
    </xf>
    <xf numFmtId="0" fontId="40" fillId="0" borderId="39" xfId="0" quotePrefix="1" applyFont="1" applyBorder="1" applyAlignment="1">
      <alignment horizontal="center" vertical="center"/>
    </xf>
    <xf numFmtId="0" fontId="39" fillId="0" borderId="40" xfId="0" quotePrefix="1" applyFont="1" applyBorder="1" applyAlignment="1">
      <alignment horizontal="center" vertical="center"/>
    </xf>
    <xf numFmtId="0" fontId="39" fillId="0" borderId="41" xfId="0" quotePrefix="1" applyFont="1" applyBorder="1" applyAlignment="1">
      <alignment horizontal="center" vertical="center"/>
    </xf>
    <xf numFmtId="0" fontId="39" fillId="0" borderId="42" xfId="0" quotePrefix="1" applyFont="1" applyBorder="1" applyAlignment="1">
      <alignment horizontal="center" vertical="center"/>
    </xf>
    <xf numFmtId="0" fontId="39" fillId="0" borderId="43" xfId="0" quotePrefix="1" applyFont="1" applyBorder="1" applyAlignment="1">
      <alignment horizontal="center" vertical="center"/>
    </xf>
    <xf numFmtId="0" fontId="39" fillId="0" borderId="44" xfId="0" quotePrefix="1" applyFont="1" applyBorder="1" applyAlignment="1">
      <alignment horizontal="center" vertical="center"/>
    </xf>
    <xf numFmtId="0" fontId="41" fillId="5" borderId="39" xfId="0" applyFont="1" applyFill="1" applyBorder="1" applyAlignment="1">
      <alignment horizontal="center" vertical="center"/>
    </xf>
    <xf numFmtId="0" fontId="41" fillId="5" borderId="40" xfId="0" applyFont="1" applyFill="1" applyBorder="1" applyAlignment="1">
      <alignment horizontal="center" vertical="center"/>
    </xf>
    <xf numFmtId="0" fontId="41" fillId="5" borderId="41" xfId="0" applyFont="1" applyFill="1" applyBorder="1" applyAlignment="1">
      <alignment horizontal="center" vertical="center"/>
    </xf>
    <xf numFmtId="0" fontId="41" fillId="5" borderId="42" xfId="0" applyFont="1" applyFill="1" applyBorder="1" applyAlignment="1">
      <alignment horizontal="center" vertical="center"/>
    </xf>
    <xf numFmtId="0" fontId="41" fillId="5" borderId="43" xfId="0" applyFont="1" applyFill="1" applyBorder="1" applyAlignment="1">
      <alignment horizontal="center" vertical="center"/>
    </xf>
    <xf numFmtId="0" fontId="41" fillId="5" borderId="44" xfId="0" applyFont="1" applyFill="1" applyBorder="1" applyAlignment="1">
      <alignment horizontal="center" vertical="center"/>
    </xf>
  </cellXfs>
  <cellStyles count="3">
    <cellStyle name="Lien hypertexte" xfId="2" builtinId="8"/>
    <cellStyle name="Normal" xfId="0" builtinId="0"/>
    <cellStyle name="Pourcentage" xfId="1" builtinId="5"/>
  </cellStyles>
  <dxfs count="18">
    <dxf>
      <font>
        <b/>
        <strike val="0"/>
        <outline val="0"/>
        <shadow val="0"/>
        <u val="none"/>
        <vertAlign val="baseline"/>
        <sz val="11"/>
        <color auto="1"/>
        <name val="Calibri"/>
        <scheme val="minor"/>
      </font>
      <alignment horizontal="center" vertical="center" textRotation="0" wrapText="0" indent="0" justifyLastLine="0" shrinkToFit="0" readingOrder="0"/>
      <protection locked="0" hidden="0"/>
    </dxf>
    <dxf>
      <font>
        <b/>
        <strike val="0"/>
        <outline val="0"/>
        <shadow val="0"/>
        <u val="none"/>
        <vertAlign val="baseline"/>
        <sz val="11"/>
        <color auto="1"/>
        <name val="Calibri"/>
        <scheme val="minor"/>
      </font>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fill>
        <patternFill>
          <bgColor rgb="FFFFC7CE"/>
        </patternFill>
      </fill>
    </dxf>
    <dxf>
      <fill>
        <patternFill>
          <bgColor theme="0" tint="-0.499984740745262"/>
        </patternFill>
      </fill>
      <border>
        <left style="thin">
          <color theme="0"/>
        </left>
        <right style="thin">
          <color theme="0"/>
        </right>
        <top style="thin">
          <color theme="0"/>
        </top>
        <bottom style="thin">
          <color theme="0"/>
        </bottom>
        <vertical/>
        <horizontal/>
      </border>
    </dxf>
    <dxf>
      <fill>
        <patternFill>
          <bgColor theme="0" tint="-0.24994659260841701"/>
        </patternFill>
      </fill>
      <border>
        <left style="thin">
          <color theme="0"/>
        </left>
        <right style="thin">
          <color theme="0"/>
        </right>
        <top style="thin">
          <color theme="0"/>
        </top>
        <bottom style="thin">
          <color theme="0"/>
        </bottom>
        <vertical/>
        <horizontal/>
      </border>
    </dxf>
    <dxf>
      <font>
        <color rgb="FF9C0006"/>
      </font>
      <fill>
        <patternFill>
          <bgColor theme="0" tint="-0.499984740745262"/>
        </patternFill>
      </fill>
      <border>
        <left style="thin">
          <color theme="0"/>
        </left>
        <right style="thin">
          <color theme="0"/>
        </right>
        <top style="thin">
          <color theme="0"/>
        </top>
        <bottom style="thin">
          <color theme="0"/>
        </bottom>
      </border>
    </dxf>
    <dxf>
      <font>
        <color auto="1"/>
      </font>
      <fill>
        <patternFill>
          <bgColor theme="0" tint="-0.24994659260841701"/>
        </patternFill>
      </fill>
      <border>
        <left style="thin">
          <color theme="0"/>
        </left>
        <right style="thin">
          <color theme="0"/>
        </right>
        <top style="thin">
          <color theme="0"/>
        </top>
        <bottom style="thin">
          <color theme="0"/>
        </bottom>
      </border>
    </dxf>
    <dxf>
      <font>
        <color theme="4" tint="-0.499984740745262"/>
      </font>
      <fill>
        <patternFill>
          <bgColor theme="4" tint="0.39994506668294322"/>
        </patternFill>
      </fill>
      <border>
        <left/>
        <right/>
        <top/>
        <bottom/>
      </border>
    </dxf>
    <dxf>
      <font>
        <color auto="1"/>
      </font>
      <fill>
        <patternFill>
          <bgColor theme="9" tint="0.59996337778862885"/>
        </patternFill>
      </fill>
      <border>
        <left/>
        <right/>
        <top/>
        <bottom/>
      </border>
    </dxf>
    <dxf>
      <font>
        <color theme="1"/>
      </font>
      <fill>
        <patternFill patternType="gray0625">
          <fgColor theme="0"/>
          <bgColor rgb="FFF8CBAD"/>
        </patternFill>
      </fill>
    </dxf>
    <dxf>
      <font>
        <color rgb="FFFF0000"/>
      </font>
    </dxf>
    <dxf>
      <font>
        <color rgb="FFC00000"/>
      </font>
    </dxf>
    <dxf>
      <font>
        <color auto="1"/>
      </font>
    </dxf>
    <dxf>
      <fill>
        <patternFill>
          <bgColor rgb="FFFF0000"/>
        </patternFill>
      </fill>
    </dxf>
    <dxf>
      <fill>
        <patternFill>
          <bgColor rgb="FFFFC000"/>
        </patternFill>
      </fill>
    </dxf>
    <dxf>
      <fill>
        <patternFill patternType="none">
          <bgColor auto="1"/>
        </patternFill>
      </fill>
    </dxf>
    <dxf>
      <fill>
        <patternFill>
          <bgColor rgb="FFEF9C29"/>
        </patternFill>
      </fill>
    </dxf>
  </dxfs>
  <tableStyles count="1" defaultTableStyle="TableStyleMedium2" defaultPivotStyle="PivotStyleLight16">
    <tableStyle name="Tabellenformat 1" pivot="0" count="1" xr9:uid="{00000000-0011-0000-FFFF-FFFF00000000}">
      <tableStyleElement type="firstRowStripe" dxfId="17"/>
    </tableStyle>
  </tableStyles>
  <colors>
    <mruColors>
      <color rgb="FFFFFFFF"/>
      <color rgb="FF439B69"/>
      <color rgb="FFFFC7CE"/>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Scroll" dx="22" fmlaLink="$K$12" horiz="1" inc="4" max="1000" min="1" noThreeD="1" page="8" val="76"/>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firstButton="1" fmlaLink="L12"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895350</xdr:colOff>
      <xdr:row>5</xdr:row>
      <xdr:rowOff>57150</xdr:rowOff>
    </xdr:from>
    <xdr:to>
      <xdr:col>6</xdr:col>
      <xdr:colOff>700695</xdr:colOff>
      <xdr:row>7</xdr:row>
      <xdr:rowOff>111063</xdr:rowOff>
    </xdr:to>
    <xdr:sp macro="" textlink="">
      <xdr:nvSpPr>
        <xdr:cNvPr id="2" name="Rectangle: Rounded Corners 5">
          <a:extLst>
            <a:ext uri="{FF2B5EF4-FFF2-40B4-BE49-F238E27FC236}">
              <a16:creationId xmlns:a16="http://schemas.microsoft.com/office/drawing/2014/main" id="{00000000-0008-0000-0000-000002000000}"/>
            </a:ext>
          </a:extLst>
        </xdr:cNvPr>
        <xdr:cNvSpPr/>
      </xdr:nvSpPr>
      <xdr:spPr>
        <a:xfrm>
          <a:off x="1657350" y="1009650"/>
          <a:ext cx="5701320" cy="434913"/>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Guide d'utilisation</a:t>
          </a:r>
        </a:p>
      </xdr:txBody>
    </xdr:sp>
    <xdr:clientData/>
  </xdr:twoCellAnchor>
  <xdr:oneCellAnchor>
    <xdr:from>
      <xdr:col>0</xdr:col>
      <xdr:colOff>0</xdr:colOff>
      <xdr:row>0</xdr:row>
      <xdr:rowOff>0</xdr:rowOff>
    </xdr:from>
    <xdr:ext cx="4134602" cy="872233"/>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134602" cy="8722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723900</xdr:colOff>
      <xdr:row>11</xdr:row>
      <xdr:rowOff>76200</xdr:rowOff>
    </xdr:from>
    <xdr:ext cx="7052910" cy="1752381"/>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723900" y="2381250"/>
          <a:ext cx="7052910" cy="1752381"/>
        </a:xfrm>
        <a:prstGeom prst="rect">
          <a:avLst/>
        </a:prstGeom>
      </xdr:spPr>
    </xdr:pic>
    <xdr:clientData/>
  </xdr:oneCellAnchor>
  <xdr:twoCellAnchor editAs="oneCell">
    <xdr:from>
      <xdr:col>0</xdr:col>
      <xdr:colOff>754380</xdr:colOff>
      <xdr:row>91</xdr:row>
      <xdr:rowOff>175260</xdr:rowOff>
    </xdr:from>
    <xdr:to>
      <xdr:col>10</xdr:col>
      <xdr:colOff>7881</xdr:colOff>
      <xdr:row>96</xdr:row>
      <xdr:rowOff>3903</xdr:rowOff>
    </xdr:to>
    <xdr:pic>
      <xdr:nvPicPr>
        <xdr:cNvPr id="16" name="Imag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3"/>
        <a:stretch>
          <a:fillRect/>
        </a:stretch>
      </xdr:blipFill>
      <xdr:spPr>
        <a:xfrm>
          <a:off x="754380" y="15681960"/>
          <a:ext cx="10157721" cy="1162143"/>
        </a:xfrm>
        <a:prstGeom prst="rect">
          <a:avLst/>
        </a:prstGeom>
      </xdr:spPr>
    </xdr:pic>
    <xdr:clientData/>
  </xdr:twoCellAnchor>
  <xdr:twoCellAnchor>
    <xdr:from>
      <xdr:col>1</xdr:col>
      <xdr:colOff>0</xdr:colOff>
      <xdr:row>95</xdr:row>
      <xdr:rowOff>167640</xdr:rowOff>
    </xdr:from>
    <xdr:to>
      <xdr:col>10</xdr:col>
      <xdr:colOff>30480</xdr:colOff>
      <xdr:row>95</xdr:row>
      <xdr:rowOff>381000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784860" y="16459200"/>
          <a:ext cx="10149840" cy="21336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739140</xdr:colOff>
      <xdr:row>99</xdr:row>
      <xdr:rowOff>121920</xdr:rowOff>
    </xdr:from>
    <xdr:to>
      <xdr:col>13</xdr:col>
      <xdr:colOff>124842</xdr:colOff>
      <xdr:row>109</xdr:row>
      <xdr:rowOff>0</xdr:rowOff>
    </xdr:to>
    <xdr:grpSp>
      <xdr:nvGrpSpPr>
        <xdr:cNvPr id="24" name="Groupe 23">
          <a:extLst>
            <a:ext uri="{FF2B5EF4-FFF2-40B4-BE49-F238E27FC236}">
              <a16:creationId xmlns:a16="http://schemas.microsoft.com/office/drawing/2014/main" id="{00000000-0008-0000-0000-000018000000}"/>
            </a:ext>
          </a:extLst>
        </xdr:cNvPr>
        <xdr:cNvGrpSpPr/>
      </xdr:nvGrpSpPr>
      <xdr:grpSpPr>
        <a:xfrm>
          <a:off x="739140" y="25732740"/>
          <a:ext cx="13101702" cy="3535680"/>
          <a:chOff x="739140" y="17754600"/>
          <a:chExt cx="13101702" cy="3535680"/>
        </a:xfrm>
      </xdr:grpSpPr>
      <xdr:sp macro="" textlink="">
        <xdr:nvSpPr>
          <xdr:cNvPr id="18" name="Flèche : bas 17">
            <a:extLst>
              <a:ext uri="{FF2B5EF4-FFF2-40B4-BE49-F238E27FC236}">
                <a16:creationId xmlns:a16="http://schemas.microsoft.com/office/drawing/2014/main" id="{00000000-0008-0000-0000-000012000000}"/>
              </a:ext>
            </a:extLst>
          </xdr:cNvPr>
          <xdr:cNvSpPr/>
        </xdr:nvSpPr>
        <xdr:spPr>
          <a:xfrm>
            <a:off x="12176760" y="19347180"/>
            <a:ext cx="320040" cy="40386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3" name="Groupe 22">
            <a:extLst>
              <a:ext uri="{FF2B5EF4-FFF2-40B4-BE49-F238E27FC236}">
                <a16:creationId xmlns:a16="http://schemas.microsoft.com/office/drawing/2014/main" id="{00000000-0008-0000-0000-000017000000}"/>
              </a:ext>
            </a:extLst>
          </xdr:cNvPr>
          <xdr:cNvGrpSpPr/>
        </xdr:nvGrpSpPr>
        <xdr:grpSpPr>
          <a:xfrm>
            <a:off x="739140" y="17754600"/>
            <a:ext cx="13047238" cy="1528611"/>
            <a:chOff x="739140" y="17754600"/>
            <a:chExt cx="13047238" cy="1528611"/>
          </a:xfrm>
        </xdr:grpSpPr>
        <xdr:pic>
          <xdr:nvPicPr>
            <xdr:cNvPr id="17" name="Imag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4"/>
            <a:stretch>
              <a:fillRect/>
            </a:stretch>
          </xdr:blipFill>
          <xdr:spPr>
            <a:xfrm>
              <a:off x="739140" y="17754600"/>
              <a:ext cx="13047238" cy="1528611"/>
            </a:xfrm>
            <a:prstGeom prst="rect">
              <a:avLst/>
            </a:prstGeom>
          </xdr:spPr>
        </xdr:pic>
        <xdr:sp macro="" textlink="">
          <xdr:nvSpPr>
            <xdr:cNvPr id="19" name="Rectangle 18">
              <a:extLst>
                <a:ext uri="{FF2B5EF4-FFF2-40B4-BE49-F238E27FC236}">
                  <a16:creationId xmlns:a16="http://schemas.microsoft.com/office/drawing/2014/main" id="{00000000-0008-0000-0000-000013000000}"/>
                </a:ext>
              </a:extLst>
            </xdr:cNvPr>
            <xdr:cNvSpPr/>
          </xdr:nvSpPr>
          <xdr:spPr>
            <a:xfrm>
              <a:off x="11841480" y="18615660"/>
              <a:ext cx="1005840" cy="2590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nvGrpSpPr>
          <xdr:cNvPr id="22" name="Groupe 21">
            <a:extLst>
              <a:ext uri="{FF2B5EF4-FFF2-40B4-BE49-F238E27FC236}">
                <a16:creationId xmlns:a16="http://schemas.microsoft.com/office/drawing/2014/main" id="{00000000-0008-0000-0000-000016000000}"/>
              </a:ext>
            </a:extLst>
          </xdr:cNvPr>
          <xdr:cNvGrpSpPr/>
        </xdr:nvGrpSpPr>
        <xdr:grpSpPr>
          <a:xfrm>
            <a:off x="746759" y="19756180"/>
            <a:ext cx="13094083" cy="1534100"/>
            <a:chOff x="746759" y="19756180"/>
            <a:chExt cx="13094083" cy="1534100"/>
          </a:xfrm>
        </xdr:grpSpPr>
        <xdr:pic>
          <xdr:nvPicPr>
            <xdr:cNvPr id="20" name="Imag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5"/>
            <a:stretch>
              <a:fillRect/>
            </a:stretch>
          </xdr:blipFill>
          <xdr:spPr>
            <a:xfrm>
              <a:off x="746759" y="19756180"/>
              <a:ext cx="13094083" cy="1534100"/>
            </a:xfrm>
            <a:prstGeom prst="rect">
              <a:avLst/>
            </a:prstGeom>
          </xdr:spPr>
        </xdr:pic>
        <xdr:sp macro="" textlink="">
          <xdr:nvSpPr>
            <xdr:cNvPr id="21" name="Rectangle 20">
              <a:extLst>
                <a:ext uri="{FF2B5EF4-FFF2-40B4-BE49-F238E27FC236}">
                  <a16:creationId xmlns:a16="http://schemas.microsoft.com/office/drawing/2014/main" id="{00000000-0008-0000-0000-000015000000}"/>
                </a:ext>
              </a:extLst>
            </xdr:cNvPr>
            <xdr:cNvSpPr/>
          </xdr:nvSpPr>
          <xdr:spPr>
            <a:xfrm>
              <a:off x="11887199" y="20815360"/>
              <a:ext cx="1005840" cy="2590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clientData/>
  </xdr:twoCellAnchor>
  <xdr:twoCellAnchor>
    <xdr:from>
      <xdr:col>1</xdr:col>
      <xdr:colOff>15240</xdr:colOff>
      <xdr:row>117</xdr:row>
      <xdr:rowOff>53340</xdr:rowOff>
    </xdr:from>
    <xdr:to>
      <xdr:col>10</xdr:col>
      <xdr:colOff>1003398</xdr:colOff>
      <xdr:row>136</xdr:row>
      <xdr:rowOff>114300</xdr:rowOff>
    </xdr:to>
    <xdr:grpSp>
      <xdr:nvGrpSpPr>
        <xdr:cNvPr id="14" name="Groupe 13">
          <a:extLst>
            <a:ext uri="{FF2B5EF4-FFF2-40B4-BE49-F238E27FC236}">
              <a16:creationId xmlns:a16="http://schemas.microsoft.com/office/drawing/2014/main" id="{00000000-0008-0000-0000-00000E000000}"/>
            </a:ext>
          </a:extLst>
        </xdr:cNvPr>
        <xdr:cNvGrpSpPr/>
      </xdr:nvGrpSpPr>
      <xdr:grpSpPr>
        <a:xfrm>
          <a:off x="800100" y="31074360"/>
          <a:ext cx="11107518" cy="3649980"/>
          <a:chOff x="800100" y="24269700"/>
          <a:chExt cx="11107518" cy="3649980"/>
        </a:xfrm>
      </xdr:grpSpPr>
      <xdr:grpSp>
        <xdr:nvGrpSpPr>
          <xdr:cNvPr id="9" name="Groupe 8">
            <a:extLst>
              <a:ext uri="{FF2B5EF4-FFF2-40B4-BE49-F238E27FC236}">
                <a16:creationId xmlns:a16="http://schemas.microsoft.com/office/drawing/2014/main" id="{00000000-0008-0000-0000-000009000000}"/>
              </a:ext>
            </a:extLst>
          </xdr:cNvPr>
          <xdr:cNvGrpSpPr/>
        </xdr:nvGrpSpPr>
        <xdr:grpSpPr>
          <a:xfrm>
            <a:off x="800100" y="24269700"/>
            <a:ext cx="6333057" cy="3649980"/>
            <a:chOff x="800100" y="24269700"/>
            <a:chExt cx="6333057" cy="3649980"/>
          </a:xfrm>
        </xdr:grpSpPr>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6"/>
            <a:srcRect b="33120"/>
            <a:stretch/>
          </xdr:blipFill>
          <xdr:spPr>
            <a:xfrm>
              <a:off x="800100" y="24306033"/>
              <a:ext cx="6333057" cy="3560308"/>
            </a:xfrm>
            <a:prstGeom prst="rect">
              <a:avLst/>
            </a:prstGeom>
          </xdr:spPr>
        </xdr:pic>
        <xdr:sp macro="" textlink="">
          <xdr:nvSpPr>
            <xdr:cNvPr id="8" name="Rectangle 7">
              <a:extLst>
                <a:ext uri="{FF2B5EF4-FFF2-40B4-BE49-F238E27FC236}">
                  <a16:creationId xmlns:a16="http://schemas.microsoft.com/office/drawing/2014/main" id="{00000000-0008-0000-0000-000008000000}"/>
                </a:ext>
              </a:extLst>
            </xdr:cNvPr>
            <xdr:cNvSpPr/>
          </xdr:nvSpPr>
          <xdr:spPr>
            <a:xfrm>
              <a:off x="1600200" y="24269700"/>
              <a:ext cx="449580" cy="36499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10" name="Flèche : droite 9">
            <a:extLst>
              <a:ext uri="{FF2B5EF4-FFF2-40B4-BE49-F238E27FC236}">
                <a16:creationId xmlns:a16="http://schemas.microsoft.com/office/drawing/2014/main" id="{00000000-0008-0000-0000-00000A000000}"/>
              </a:ext>
            </a:extLst>
          </xdr:cNvPr>
          <xdr:cNvSpPr/>
        </xdr:nvSpPr>
        <xdr:spPr>
          <a:xfrm>
            <a:off x="7437120" y="25687020"/>
            <a:ext cx="579120" cy="35052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3" name="Groupe 12">
            <a:extLst>
              <a:ext uri="{FF2B5EF4-FFF2-40B4-BE49-F238E27FC236}">
                <a16:creationId xmlns:a16="http://schemas.microsoft.com/office/drawing/2014/main" id="{00000000-0008-0000-0000-00000D000000}"/>
              </a:ext>
            </a:extLst>
          </xdr:cNvPr>
          <xdr:cNvGrpSpPr/>
        </xdr:nvGrpSpPr>
        <xdr:grpSpPr>
          <a:xfrm>
            <a:off x="8382000" y="25252680"/>
            <a:ext cx="3525618" cy="1063157"/>
            <a:chOff x="8382000" y="25252680"/>
            <a:chExt cx="3525618" cy="1063157"/>
          </a:xfrm>
        </xdr:grpSpPr>
        <xdr:pic>
          <xdr:nvPicPr>
            <xdr:cNvPr id="11" name="Imag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7"/>
            <a:stretch>
              <a:fillRect/>
            </a:stretch>
          </xdr:blipFill>
          <xdr:spPr>
            <a:xfrm>
              <a:off x="8382000" y="25252680"/>
              <a:ext cx="3525618" cy="1063157"/>
            </a:xfrm>
            <a:prstGeom prst="rect">
              <a:avLst/>
            </a:prstGeom>
          </xdr:spPr>
        </xdr:pic>
        <xdr:sp macro="" textlink="">
          <xdr:nvSpPr>
            <xdr:cNvPr id="12" name="Rectangle 11">
              <a:extLst>
                <a:ext uri="{FF2B5EF4-FFF2-40B4-BE49-F238E27FC236}">
                  <a16:creationId xmlns:a16="http://schemas.microsoft.com/office/drawing/2014/main" id="{00000000-0008-0000-0000-00000C000000}"/>
                </a:ext>
              </a:extLst>
            </xdr:cNvPr>
            <xdr:cNvSpPr/>
          </xdr:nvSpPr>
          <xdr:spPr>
            <a:xfrm>
              <a:off x="10637520" y="25679400"/>
              <a:ext cx="1158240" cy="22098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clientData/>
  </xdr:twoCellAnchor>
  <xdr:twoCellAnchor>
    <xdr:from>
      <xdr:col>1</xdr:col>
      <xdr:colOff>1821180</xdr:colOff>
      <xdr:row>27</xdr:row>
      <xdr:rowOff>91440</xdr:rowOff>
    </xdr:from>
    <xdr:to>
      <xdr:col>10</xdr:col>
      <xdr:colOff>1162056</xdr:colOff>
      <xdr:row>36</xdr:row>
      <xdr:rowOff>60276</xdr:rowOff>
    </xdr:to>
    <xdr:grpSp>
      <xdr:nvGrpSpPr>
        <xdr:cNvPr id="15" name="Groupe 14">
          <a:extLst>
            <a:ext uri="{FF2B5EF4-FFF2-40B4-BE49-F238E27FC236}">
              <a16:creationId xmlns:a16="http://schemas.microsoft.com/office/drawing/2014/main" id="{00000000-0008-0000-0000-00000F000000}"/>
            </a:ext>
          </a:extLst>
        </xdr:cNvPr>
        <xdr:cNvGrpSpPr/>
      </xdr:nvGrpSpPr>
      <xdr:grpSpPr>
        <a:xfrm>
          <a:off x="2606040" y="8587740"/>
          <a:ext cx="9460236" cy="1751916"/>
          <a:chOff x="2613660" y="4475133"/>
          <a:chExt cx="10252716" cy="2140536"/>
        </a:xfrm>
      </xdr:grpSpPr>
      <xdr:pic>
        <xdr:nvPicPr>
          <xdr:cNvPr id="27" name="Image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8"/>
          <a:stretch>
            <a:fillRect/>
          </a:stretch>
        </xdr:blipFill>
        <xdr:spPr>
          <a:xfrm>
            <a:off x="2613660" y="4475133"/>
            <a:ext cx="10252716" cy="2140536"/>
          </a:xfrm>
          <a:prstGeom prst="rect">
            <a:avLst/>
          </a:prstGeom>
        </xdr:spPr>
      </xdr:pic>
      <xdr:sp macro="" textlink="">
        <xdr:nvSpPr>
          <xdr:cNvPr id="28" name="Rectangle 27">
            <a:extLst>
              <a:ext uri="{FF2B5EF4-FFF2-40B4-BE49-F238E27FC236}">
                <a16:creationId xmlns:a16="http://schemas.microsoft.com/office/drawing/2014/main" id="{00000000-0008-0000-0000-00001C000000}"/>
              </a:ext>
            </a:extLst>
          </xdr:cNvPr>
          <xdr:cNvSpPr/>
        </xdr:nvSpPr>
        <xdr:spPr>
          <a:xfrm>
            <a:off x="4396740" y="4503420"/>
            <a:ext cx="762000" cy="13716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9" name="Rectangle 28">
            <a:extLst>
              <a:ext uri="{FF2B5EF4-FFF2-40B4-BE49-F238E27FC236}">
                <a16:creationId xmlns:a16="http://schemas.microsoft.com/office/drawing/2014/main" id="{00000000-0008-0000-0000-00001D000000}"/>
              </a:ext>
            </a:extLst>
          </xdr:cNvPr>
          <xdr:cNvSpPr/>
        </xdr:nvSpPr>
        <xdr:spPr>
          <a:xfrm>
            <a:off x="2644140" y="5433060"/>
            <a:ext cx="1165860" cy="28956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2</xdr:col>
      <xdr:colOff>45720</xdr:colOff>
      <xdr:row>47</xdr:row>
      <xdr:rowOff>220980</xdr:rowOff>
    </xdr:from>
    <xdr:to>
      <xdr:col>11</xdr:col>
      <xdr:colOff>680087</xdr:colOff>
      <xdr:row>55</xdr:row>
      <xdr:rowOff>154689</xdr:rowOff>
    </xdr:to>
    <xdr:pic>
      <xdr:nvPicPr>
        <xdr:cNvPr id="30" name="Image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9"/>
        <a:stretch>
          <a:fillRect/>
        </a:stretch>
      </xdr:blipFill>
      <xdr:spPr>
        <a:xfrm>
          <a:off x="2659380" y="13434060"/>
          <a:ext cx="10166987" cy="2394969"/>
        </a:xfrm>
        <a:prstGeom prst="rect">
          <a:avLst/>
        </a:prstGeom>
      </xdr:spPr>
    </xdr:pic>
    <xdr:clientData/>
  </xdr:twoCellAnchor>
  <xdr:twoCellAnchor>
    <xdr:from>
      <xdr:col>2</xdr:col>
      <xdr:colOff>45720</xdr:colOff>
      <xdr:row>51</xdr:row>
      <xdr:rowOff>106680</xdr:rowOff>
    </xdr:from>
    <xdr:to>
      <xdr:col>11</xdr:col>
      <xdr:colOff>647700</xdr:colOff>
      <xdr:row>54</xdr:row>
      <xdr:rowOff>198637</xdr:rowOff>
    </xdr:to>
    <xdr:sp macro="" textlink="">
      <xdr:nvSpPr>
        <xdr:cNvPr id="31" name="Rectangle 30">
          <a:extLst>
            <a:ext uri="{FF2B5EF4-FFF2-40B4-BE49-F238E27FC236}">
              <a16:creationId xmlns:a16="http://schemas.microsoft.com/office/drawing/2014/main" id="{00000000-0008-0000-0000-00001F000000}"/>
            </a:ext>
          </a:extLst>
        </xdr:cNvPr>
        <xdr:cNvSpPr/>
      </xdr:nvSpPr>
      <xdr:spPr>
        <a:xfrm>
          <a:off x="2659380" y="14287500"/>
          <a:ext cx="10134600" cy="724417"/>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30480</xdr:colOff>
      <xdr:row>56</xdr:row>
      <xdr:rowOff>99060</xdr:rowOff>
    </xdr:from>
    <xdr:to>
      <xdr:col>10</xdr:col>
      <xdr:colOff>956311</xdr:colOff>
      <xdr:row>68</xdr:row>
      <xdr:rowOff>61743</xdr:rowOff>
    </xdr:to>
    <xdr:grpSp>
      <xdr:nvGrpSpPr>
        <xdr:cNvPr id="35" name="Groupe 34">
          <a:extLst>
            <a:ext uri="{FF2B5EF4-FFF2-40B4-BE49-F238E27FC236}">
              <a16:creationId xmlns:a16="http://schemas.microsoft.com/office/drawing/2014/main" id="{00000000-0008-0000-0000-000023000000}"/>
            </a:ext>
          </a:extLst>
        </xdr:cNvPr>
        <xdr:cNvGrpSpPr/>
      </xdr:nvGrpSpPr>
      <xdr:grpSpPr>
        <a:xfrm>
          <a:off x="2644140" y="16169640"/>
          <a:ext cx="9216391" cy="2340123"/>
          <a:chOff x="2674620" y="9885683"/>
          <a:chExt cx="9216391" cy="2340123"/>
        </a:xfrm>
      </xdr:grpSpPr>
      <xdr:pic>
        <xdr:nvPicPr>
          <xdr:cNvPr id="36" name="Imag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10"/>
          <a:stretch>
            <a:fillRect/>
          </a:stretch>
        </xdr:blipFill>
        <xdr:spPr>
          <a:xfrm>
            <a:off x="2674620" y="9885683"/>
            <a:ext cx="9216391" cy="2340123"/>
          </a:xfrm>
          <a:prstGeom prst="rect">
            <a:avLst/>
          </a:prstGeom>
        </xdr:spPr>
      </xdr:pic>
      <xdr:sp macro="" textlink="">
        <xdr:nvSpPr>
          <xdr:cNvPr id="37" name="Rectangle 36">
            <a:extLst>
              <a:ext uri="{FF2B5EF4-FFF2-40B4-BE49-F238E27FC236}">
                <a16:creationId xmlns:a16="http://schemas.microsoft.com/office/drawing/2014/main" id="{00000000-0008-0000-0000-000025000000}"/>
              </a:ext>
            </a:extLst>
          </xdr:cNvPr>
          <xdr:cNvSpPr/>
        </xdr:nvSpPr>
        <xdr:spPr>
          <a:xfrm>
            <a:off x="7117080" y="10058400"/>
            <a:ext cx="449580" cy="46482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xdr:col>
      <xdr:colOff>1821180</xdr:colOff>
      <xdr:row>70</xdr:row>
      <xdr:rowOff>53340</xdr:rowOff>
    </xdr:from>
    <xdr:to>
      <xdr:col>11</xdr:col>
      <xdr:colOff>626747</xdr:colOff>
      <xdr:row>81</xdr:row>
      <xdr:rowOff>57868</xdr:rowOff>
    </xdr:to>
    <xdr:grpSp>
      <xdr:nvGrpSpPr>
        <xdr:cNvPr id="41" name="Groupe 40">
          <a:extLst>
            <a:ext uri="{FF2B5EF4-FFF2-40B4-BE49-F238E27FC236}">
              <a16:creationId xmlns:a16="http://schemas.microsoft.com/office/drawing/2014/main" id="{00000000-0008-0000-0000-000029000000}"/>
            </a:ext>
          </a:extLst>
        </xdr:cNvPr>
        <xdr:cNvGrpSpPr/>
      </xdr:nvGrpSpPr>
      <xdr:grpSpPr>
        <a:xfrm>
          <a:off x="2606040" y="18897600"/>
          <a:ext cx="10166987" cy="2244808"/>
          <a:chOff x="2651760" y="7259819"/>
          <a:chExt cx="10166987" cy="2505309"/>
        </a:xfrm>
      </xdr:grpSpPr>
      <xdr:pic>
        <xdr:nvPicPr>
          <xdr:cNvPr id="42" name="Imag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9"/>
          <a:stretch>
            <a:fillRect/>
          </a:stretch>
        </xdr:blipFill>
        <xdr:spPr>
          <a:xfrm>
            <a:off x="2651760" y="7259819"/>
            <a:ext cx="10166987" cy="2494029"/>
          </a:xfrm>
          <a:prstGeom prst="rect">
            <a:avLst/>
          </a:prstGeom>
        </xdr:spPr>
      </xdr:pic>
      <xdr:sp macro="" textlink="">
        <xdr:nvSpPr>
          <xdr:cNvPr id="43" name="Rectangle 42">
            <a:extLst>
              <a:ext uri="{FF2B5EF4-FFF2-40B4-BE49-F238E27FC236}">
                <a16:creationId xmlns:a16="http://schemas.microsoft.com/office/drawing/2014/main" id="{00000000-0008-0000-0000-00002B000000}"/>
              </a:ext>
            </a:extLst>
          </xdr:cNvPr>
          <xdr:cNvSpPr/>
        </xdr:nvSpPr>
        <xdr:spPr>
          <a:xfrm>
            <a:off x="7223760" y="8860900"/>
            <a:ext cx="251460" cy="90422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1670974</xdr:colOff>
      <xdr:row>4</xdr:row>
      <xdr:rowOff>118532</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145793" cy="880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1447240</xdr:colOff>
      <xdr:row>3</xdr:row>
      <xdr:rowOff>14023</xdr:rowOff>
    </xdr:from>
    <xdr:to>
      <xdr:col>9</xdr:col>
      <xdr:colOff>828675</xdr:colOff>
      <xdr:row>4</xdr:row>
      <xdr:rowOff>180975</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3923740" y="642673"/>
          <a:ext cx="5239310" cy="376502"/>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Ressources impliquées dans le projet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85725</xdr:rowOff>
    </xdr:from>
    <xdr:to>
      <xdr:col>1</xdr:col>
      <xdr:colOff>1581150</xdr:colOff>
      <xdr:row>2</xdr:row>
      <xdr:rowOff>230853</xdr:rowOff>
    </xdr:to>
    <xdr:pic>
      <xdr:nvPicPr>
        <xdr:cNvPr id="5" name="Picture 4">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5725"/>
          <a:ext cx="2143125" cy="6690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389965</xdr:colOff>
      <xdr:row>2</xdr:row>
      <xdr:rowOff>42598</xdr:rowOff>
    </xdr:from>
    <xdr:to>
      <xdr:col>6</xdr:col>
      <xdr:colOff>809625</xdr:colOff>
      <xdr:row>3</xdr:row>
      <xdr:rowOff>133350</xdr:rowOff>
    </xdr:to>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2771215" y="461698"/>
          <a:ext cx="5010710" cy="300302"/>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Plan de charge</a:t>
          </a:r>
        </a:p>
      </xdr:txBody>
    </xdr:sp>
    <xdr:clientData/>
  </xdr:twoCellAnchor>
  <mc:AlternateContent xmlns:mc="http://schemas.openxmlformats.org/markup-compatibility/2006">
    <mc:Choice xmlns:a14="http://schemas.microsoft.com/office/drawing/2010/main" Requires="a14">
      <xdr:twoCellAnchor editAs="oneCell">
        <xdr:from>
          <xdr:col>9</xdr:col>
          <xdr:colOff>45720</xdr:colOff>
          <xdr:row>10</xdr:row>
          <xdr:rowOff>114300</xdr:rowOff>
        </xdr:from>
        <xdr:to>
          <xdr:col>62</xdr:col>
          <xdr:colOff>251460</xdr:colOff>
          <xdr:row>12</xdr:row>
          <xdr:rowOff>0</xdr:rowOff>
        </xdr:to>
        <xdr:sp macro="" textlink="">
          <xdr:nvSpPr>
            <xdr:cNvPr id="3074" name="scrollBAR"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37</xdr:col>
      <xdr:colOff>7620</xdr:colOff>
      <xdr:row>6</xdr:row>
      <xdr:rowOff>28575</xdr:rowOff>
    </xdr:from>
    <xdr:to>
      <xdr:col>43</xdr:col>
      <xdr:colOff>104775</xdr:colOff>
      <xdr:row>8</xdr:row>
      <xdr:rowOff>171450</xdr:rowOff>
    </xdr:to>
    <xdr:sp macro="[0]!afficherBarre" textlink="">
      <xdr:nvSpPr>
        <xdr:cNvPr id="7" name="Rectangle à coins arrondis 6">
          <a:extLst>
            <a:ext uri="{FF2B5EF4-FFF2-40B4-BE49-F238E27FC236}">
              <a16:creationId xmlns:a16="http://schemas.microsoft.com/office/drawing/2014/main" id="{00000000-0008-0000-0200-000007000000}"/>
            </a:ext>
          </a:extLst>
        </xdr:cNvPr>
        <xdr:cNvSpPr/>
      </xdr:nvSpPr>
      <xdr:spPr>
        <a:xfrm>
          <a:off x="20032980" y="1674495"/>
          <a:ext cx="1697355" cy="508635"/>
        </a:xfrm>
        <a:prstGeom prst="roundRect">
          <a:avLst/>
        </a:prstGeom>
        <a:solidFill>
          <a:srgbClr val="439B69"/>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200"/>
            <a:t>Afficher la date du</a:t>
          </a:r>
          <a:r>
            <a:rPr lang="fr-FR" sz="1200" baseline="0"/>
            <a:t> jour</a:t>
          </a:r>
          <a:endParaRPr lang="fr-FR" sz="1200"/>
        </a:p>
      </xdr:txBody>
    </xdr:sp>
    <xdr:clientData/>
  </xdr:twoCellAnchor>
  <mc:AlternateContent xmlns:mc="http://schemas.openxmlformats.org/markup-compatibility/2006">
    <mc:Choice xmlns:a14="http://schemas.microsoft.com/office/drawing/2010/main" Requires="a14">
      <xdr:twoCellAnchor editAs="oneCell">
        <xdr:from>
          <xdr:col>32</xdr:col>
          <xdr:colOff>190500</xdr:colOff>
          <xdr:row>4</xdr:row>
          <xdr:rowOff>274320</xdr:rowOff>
        </xdr:from>
        <xdr:to>
          <xdr:col>44</xdr:col>
          <xdr:colOff>76200</xdr:colOff>
          <xdr:row>9</xdr:row>
          <xdr:rowOff>137160</xdr:rowOff>
        </xdr:to>
        <xdr:sp macro="" textlink="">
          <xdr:nvSpPr>
            <xdr:cNvPr id="3075" name="Group Box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fr-FR" sz="800" b="0" i="0" u="none" strike="noStrike" baseline="0">
                  <a:solidFill>
                    <a:srgbClr val="000000"/>
                  </a:solidFill>
                  <a:latin typeface="Segoe UI"/>
                  <a:cs typeface="Segoe UI"/>
                </a:rPr>
                <a:t>Échelle de temps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121920</xdr:colOff>
          <xdr:row>5</xdr:row>
          <xdr:rowOff>160020</xdr:rowOff>
        </xdr:from>
        <xdr:to>
          <xdr:col>36</xdr:col>
          <xdr:colOff>45720</xdr:colOff>
          <xdr:row>7</xdr:row>
          <xdr:rowOff>22860</xdr:rowOff>
        </xdr:to>
        <xdr:sp macro="" textlink="">
          <xdr:nvSpPr>
            <xdr:cNvPr id="3077" name="Option 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Jour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121920</xdr:colOff>
          <xdr:row>6</xdr:row>
          <xdr:rowOff>182880</xdr:rowOff>
        </xdr:from>
        <xdr:to>
          <xdr:col>36</xdr:col>
          <xdr:colOff>45720</xdr:colOff>
          <xdr:row>8</xdr:row>
          <xdr:rowOff>38100</xdr:rowOff>
        </xdr:to>
        <xdr:sp macro="" textlink="">
          <xdr:nvSpPr>
            <xdr:cNvPr id="3078" name="Option 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Semaine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121920</xdr:colOff>
          <xdr:row>8</xdr:row>
          <xdr:rowOff>7620</xdr:rowOff>
        </xdr:from>
        <xdr:to>
          <xdr:col>36</xdr:col>
          <xdr:colOff>45720</xdr:colOff>
          <xdr:row>9</xdr:row>
          <xdr:rowOff>60960</xdr:rowOff>
        </xdr:to>
        <xdr:sp macro="" textlink="">
          <xdr:nvSpPr>
            <xdr:cNvPr id="3079" name="Option 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Mois</a:t>
              </a:r>
            </a:p>
          </xdr:txBody>
        </xdr:sp>
        <xdr:clientData/>
      </xdr:twoCellAnchor>
    </mc:Choice>
    <mc:Fallback/>
  </mc:AlternateContent>
  <xdr:twoCellAnchor>
    <xdr:from>
      <xdr:col>33</xdr:col>
      <xdr:colOff>95250</xdr:colOff>
      <xdr:row>5</xdr:row>
      <xdr:rowOff>190499</xdr:rowOff>
    </xdr:from>
    <xdr:to>
      <xdr:col>37</xdr:col>
      <xdr:colOff>76200</xdr:colOff>
      <xdr:row>6</xdr:row>
      <xdr:rowOff>171450</xdr:rowOff>
    </xdr:to>
    <xdr:sp macro="[0]!jourrrrr" textlink="">
      <xdr:nvSpPr>
        <xdr:cNvPr id="2" name="Rectangle 1">
          <a:extLst>
            <a:ext uri="{FF2B5EF4-FFF2-40B4-BE49-F238E27FC236}">
              <a16:creationId xmlns:a16="http://schemas.microsoft.com/office/drawing/2014/main" id="{00000000-0008-0000-0200-000002000000}"/>
            </a:ext>
          </a:extLst>
        </xdr:cNvPr>
        <xdr:cNvSpPr/>
      </xdr:nvSpPr>
      <xdr:spPr>
        <a:xfrm>
          <a:off x="16906875" y="1676399"/>
          <a:ext cx="752475" cy="171451"/>
        </a:xfrm>
        <a:prstGeom prst="rect">
          <a:avLst/>
        </a:prstGeom>
        <a:solidFill>
          <a:srgbClr val="FFFFFF">
            <a:alpha val="10196"/>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33</xdr:col>
      <xdr:colOff>95250</xdr:colOff>
      <xdr:row>7</xdr:row>
      <xdr:rowOff>9526</xdr:rowOff>
    </xdr:from>
    <xdr:to>
      <xdr:col>37</xdr:col>
      <xdr:colOff>76200</xdr:colOff>
      <xdr:row>8</xdr:row>
      <xdr:rowOff>9526</xdr:rowOff>
    </xdr:to>
    <xdr:sp macro="[0]!semainnnnnnnnnnnnnnnnne" textlink="">
      <xdr:nvSpPr>
        <xdr:cNvPr id="15" name="Rectangle 14">
          <a:extLst>
            <a:ext uri="{FF2B5EF4-FFF2-40B4-BE49-F238E27FC236}">
              <a16:creationId xmlns:a16="http://schemas.microsoft.com/office/drawing/2014/main" id="{00000000-0008-0000-0200-00000F000000}"/>
            </a:ext>
          </a:extLst>
        </xdr:cNvPr>
        <xdr:cNvSpPr/>
      </xdr:nvSpPr>
      <xdr:spPr>
        <a:xfrm>
          <a:off x="16906875" y="1876426"/>
          <a:ext cx="752475" cy="190500"/>
        </a:xfrm>
        <a:prstGeom prst="rect">
          <a:avLst/>
        </a:prstGeom>
        <a:solidFill>
          <a:srgbClr val="FFFFFF">
            <a:alpha val="10196"/>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33</xdr:col>
      <xdr:colOff>95250</xdr:colOff>
      <xdr:row>8</xdr:row>
      <xdr:rowOff>47625</xdr:rowOff>
    </xdr:from>
    <xdr:to>
      <xdr:col>37</xdr:col>
      <xdr:colOff>76200</xdr:colOff>
      <xdr:row>9</xdr:row>
      <xdr:rowOff>38100</xdr:rowOff>
    </xdr:to>
    <xdr:sp macro="[0]!moissssssssssss" textlink="">
      <xdr:nvSpPr>
        <xdr:cNvPr id="16" name="Rectangle 15">
          <a:extLst>
            <a:ext uri="{FF2B5EF4-FFF2-40B4-BE49-F238E27FC236}">
              <a16:creationId xmlns:a16="http://schemas.microsoft.com/office/drawing/2014/main" id="{00000000-0008-0000-0200-000010000000}"/>
            </a:ext>
          </a:extLst>
        </xdr:cNvPr>
        <xdr:cNvSpPr/>
      </xdr:nvSpPr>
      <xdr:spPr>
        <a:xfrm>
          <a:off x="16906875" y="2105025"/>
          <a:ext cx="752475" cy="180975"/>
        </a:xfrm>
        <a:prstGeom prst="rect">
          <a:avLst/>
        </a:prstGeom>
        <a:solidFill>
          <a:srgbClr val="FFFFFF">
            <a:alpha val="10196"/>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53</xdr:col>
      <xdr:colOff>114301</xdr:colOff>
      <xdr:row>16</xdr:row>
      <xdr:rowOff>0</xdr:rowOff>
    </xdr:from>
    <xdr:to>
      <xdr:col>53</xdr:col>
      <xdr:colOff>114301</xdr:colOff>
      <xdr:row>158</xdr:row>
      <xdr:rowOff>0</xdr:rowOff>
    </xdr:to>
    <xdr:cxnSp macro="">
      <xdr:nvCxnSpPr>
        <xdr:cNvPr id="17" name="todayBar">
          <a:extLst>
            <a:ext uri="{FF2B5EF4-FFF2-40B4-BE49-F238E27FC236}">
              <a16:creationId xmlns:a16="http://schemas.microsoft.com/office/drawing/2014/main" id="{00000000-0008-0000-0200-000011000000}"/>
            </a:ext>
          </a:extLst>
        </xdr:cNvPr>
        <xdr:cNvCxnSpPr/>
      </xdr:nvCxnSpPr>
      <xdr:spPr>
        <a:xfrm>
          <a:off x="24406861" y="3520440"/>
          <a:ext cx="0" cy="28270200"/>
        </a:xfrm>
        <a:prstGeom prst="line">
          <a:avLst/>
        </a:prstGeom>
        <a:ln w="19050">
          <a:solidFill>
            <a:srgbClr val="F8CBAD"/>
          </a:solidFill>
        </a:ln>
        <a:effectLst>
          <a:glow rad="88900">
            <a:srgbClr val="FFFF00">
              <a:alpha val="30000"/>
            </a:srgbClr>
          </a:glow>
          <a:outerShdw blurRad="50800" dist="38100" dir="8100000" algn="tr" rotWithShape="0">
            <a:prstClr val="black">
              <a:alpha val="40000"/>
            </a:prstClr>
          </a:outerShdw>
        </a:effectLst>
      </xdr:spPr>
      <xdr:style>
        <a:lnRef idx="1">
          <a:schemeClr val="accent2"/>
        </a:lnRef>
        <a:fillRef idx="0">
          <a:schemeClr val="accent2"/>
        </a:fillRef>
        <a:effectRef idx="0">
          <a:schemeClr val="accent2"/>
        </a:effectRef>
        <a:fontRef idx="minor">
          <a:schemeClr val="tx1"/>
        </a:fontRef>
      </xdr:style>
    </xdr:cxn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C4:D5" totalsRowShown="0" tableBorderDxfId="2">
  <autoFilter ref="C4:D5" xr:uid="{00000000-0009-0000-0100-000002000000}">
    <filterColumn colId="0" hiddenButton="1"/>
    <filterColumn colId="1" hiddenButton="1"/>
  </autoFilter>
  <tableColumns count="2">
    <tableColumn id="1" xr3:uid="{00000000-0010-0000-0000-000001000000}" name="Colonne des noms" dataDxfId="1"/>
    <tableColumn id="2" xr3:uid="{00000000-0010-0000-0000-000002000000}" name="3" dataDxfId="0"/>
  </tableColumns>
  <tableStyleInfo name="TableStyleLight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mailto:SaulnierH@confassis.com" TargetMode="External"/><Relationship Id="rId13" Type="http://schemas.openxmlformats.org/officeDocument/2006/relationships/printerSettings" Target="../printerSettings/printerSettings2.bin"/><Relationship Id="rId3" Type="http://schemas.openxmlformats.org/officeDocument/2006/relationships/hyperlink" Target="mailto:LourteG@confassis.com" TargetMode="External"/><Relationship Id="rId7" Type="http://schemas.openxmlformats.org/officeDocument/2006/relationships/hyperlink" Target="mailto:RefourC@confassis.com" TargetMode="External"/><Relationship Id="rId12" Type="http://schemas.openxmlformats.org/officeDocument/2006/relationships/hyperlink" Target="mailto:ClonetG@confassis.com" TargetMode="External"/><Relationship Id="rId2" Type="http://schemas.openxmlformats.org/officeDocument/2006/relationships/hyperlink" Target="mailto:AnselmeM@confassis.com" TargetMode="External"/><Relationship Id="rId1" Type="http://schemas.openxmlformats.org/officeDocument/2006/relationships/hyperlink" Target="mailto:DupuisB@confassis.com" TargetMode="External"/><Relationship Id="rId6" Type="http://schemas.openxmlformats.org/officeDocument/2006/relationships/hyperlink" Target="mailto:LeperreE@confassis.com" TargetMode="External"/><Relationship Id="rId11" Type="http://schemas.openxmlformats.org/officeDocument/2006/relationships/hyperlink" Target="mailto:FleurA@confassis.com" TargetMode="External"/><Relationship Id="rId5" Type="http://schemas.openxmlformats.org/officeDocument/2006/relationships/hyperlink" Target="mailto:TassinB@confassis.com" TargetMode="External"/><Relationship Id="rId10" Type="http://schemas.openxmlformats.org/officeDocument/2006/relationships/hyperlink" Target="mailto:BinotJ@confassis.com" TargetMode="External"/><Relationship Id="rId4" Type="http://schemas.openxmlformats.org/officeDocument/2006/relationships/hyperlink" Target="mailto:PosteM@confassis.com" TargetMode="External"/><Relationship Id="rId9" Type="http://schemas.openxmlformats.org/officeDocument/2006/relationships/hyperlink" Target="mailto:EllinM@confassis.com" TargetMode="External"/><Relationship Id="rId1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723"/>
  <sheetViews>
    <sheetView topLeftCell="A37" workbookViewId="0">
      <selection activeCell="D148" sqref="D148"/>
    </sheetView>
  </sheetViews>
  <sheetFormatPr baseColWidth="10" defaultColWidth="11.44140625" defaultRowHeight="14.4" x14ac:dyDescent="0.3"/>
  <cols>
    <col min="1" max="1" width="11.44140625" style="79"/>
    <col min="2" max="2" width="26.6640625" style="79" customWidth="1"/>
    <col min="3" max="3" width="15.88671875" style="79" customWidth="1"/>
    <col min="4" max="4" width="16" style="79" customWidth="1"/>
    <col min="5" max="5" width="11.44140625" style="79"/>
    <col min="6" max="6" width="18.44140625" style="79" customWidth="1"/>
    <col min="7" max="7" width="11.44140625" style="79"/>
    <col min="8" max="8" width="15.33203125" style="79" customWidth="1"/>
    <col min="9" max="9" width="20.88671875" style="79" customWidth="1"/>
    <col min="10" max="10" width="11.44140625" style="79"/>
    <col min="11" max="11" width="18.109375" style="79" customWidth="1"/>
    <col min="12" max="16384" width="11.44140625" style="79"/>
  </cols>
  <sheetData>
    <row r="1" spans="1:38" x14ac:dyDescent="0.3">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row>
    <row r="2" spans="1:38" x14ac:dyDescent="0.3">
      <c r="A2" s="12"/>
      <c r="B2" s="12"/>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row>
    <row r="3" spans="1:38" x14ac:dyDescent="0.3">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row>
    <row r="4" spans="1:38" x14ac:dyDescent="0.3">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row>
    <row r="5" spans="1:38" x14ac:dyDescent="0.3">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row>
    <row r="6" spans="1:38" x14ac:dyDescent="0.3">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row>
    <row r="7" spans="1:38" x14ac:dyDescent="0.3">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row>
    <row r="8" spans="1:38" x14ac:dyDescent="0.3">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row>
    <row r="9" spans="1:38" x14ac:dyDescent="0.3">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row>
    <row r="10" spans="1:38" ht="23.4" x14ac:dyDescent="0.45">
      <c r="A10" s="12"/>
      <c r="B10" s="81" t="s">
        <v>66</v>
      </c>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row>
    <row r="11" spans="1:38" ht="23.4" x14ac:dyDescent="0.45">
      <c r="A11" s="12"/>
      <c r="B11" s="111" t="s">
        <v>64</v>
      </c>
      <c r="C11" s="81"/>
      <c r="D11" s="81"/>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row>
    <row r="12" spans="1:38" s="83" customFormat="1" ht="172.5" customHeight="1" x14ac:dyDescent="0.3">
      <c r="A12" s="82"/>
      <c r="C12" s="82"/>
      <c r="D12" s="82"/>
      <c r="E12" s="82"/>
      <c r="F12" s="82"/>
      <c r="G12" s="82"/>
      <c r="H12" s="82"/>
      <c r="I12" s="82"/>
      <c r="J12" s="82"/>
      <c r="K12" s="82"/>
      <c r="L12" s="82"/>
      <c r="M12" s="82"/>
      <c r="N12" s="82"/>
      <c r="O12" s="82"/>
      <c r="P12" s="82"/>
      <c r="Q12" s="82"/>
      <c r="R12" s="82"/>
      <c r="S12" s="82"/>
      <c r="T12" s="82"/>
      <c r="U12" s="82"/>
      <c r="V12" s="82"/>
      <c r="W12" s="82"/>
      <c r="X12" s="82"/>
      <c r="Y12" s="82"/>
      <c r="Z12" s="82"/>
      <c r="AA12" s="82"/>
      <c r="AB12" s="82"/>
      <c r="AC12" s="82"/>
      <c r="AD12" s="82"/>
      <c r="AE12" s="82"/>
      <c r="AF12" s="82"/>
      <c r="AG12" s="82"/>
      <c r="AH12" s="82"/>
      <c r="AI12" s="82"/>
      <c r="AJ12" s="82"/>
      <c r="AK12" s="82"/>
      <c r="AL12" s="82"/>
    </row>
    <row r="13" spans="1:38" s="83" customFormat="1" ht="20.399999999999999" customHeight="1" x14ac:dyDescent="0.3">
      <c r="A13" s="82"/>
      <c r="B13" s="131" t="s">
        <v>377</v>
      </c>
      <c r="C13" s="131"/>
      <c r="D13" s="131"/>
      <c r="E13" s="131"/>
      <c r="F13" s="131"/>
      <c r="G13" s="131"/>
      <c r="H13" s="131"/>
      <c r="I13" s="131"/>
      <c r="J13" s="131"/>
      <c r="K13" s="131"/>
      <c r="L13" s="131"/>
      <c r="M13" s="131"/>
      <c r="N13" s="12"/>
      <c r="O13" s="12"/>
      <c r="P13" s="12"/>
      <c r="Q13" s="12"/>
      <c r="R13" s="82"/>
      <c r="S13" s="82"/>
      <c r="T13" s="82"/>
      <c r="U13" s="82"/>
      <c r="V13" s="82"/>
      <c r="W13" s="82"/>
      <c r="X13" s="82"/>
      <c r="Y13" s="82"/>
      <c r="Z13" s="82"/>
      <c r="AA13" s="82"/>
      <c r="AB13" s="82"/>
      <c r="AC13" s="82"/>
      <c r="AD13" s="82"/>
      <c r="AE13" s="82"/>
      <c r="AF13" s="82"/>
      <c r="AG13" s="82"/>
      <c r="AH13" s="82"/>
      <c r="AI13" s="82"/>
      <c r="AJ13" s="82"/>
      <c r="AK13" s="82"/>
      <c r="AL13" s="82"/>
    </row>
    <row r="14" spans="1:38" s="115" customFormat="1" ht="15.6" x14ac:dyDescent="0.3">
      <c r="A14" s="114"/>
      <c r="B14" s="85" t="s">
        <v>387</v>
      </c>
      <c r="C14" s="114"/>
      <c r="D14" s="114"/>
      <c r="E14" s="114"/>
      <c r="F14" s="114"/>
      <c r="G14" s="114"/>
      <c r="H14" s="114"/>
      <c r="I14" s="114"/>
      <c r="J14" s="114"/>
      <c r="K14" s="114"/>
      <c r="L14" s="114"/>
      <c r="M14" s="114"/>
      <c r="N14" s="114"/>
      <c r="O14" s="114"/>
      <c r="P14" s="114"/>
      <c r="Q14" s="114"/>
      <c r="R14" s="114"/>
      <c r="S14" s="114"/>
      <c r="T14" s="114"/>
      <c r="U14" s="114"/>
      <c r="V14" s="114"/>
      <c r="W14" s="114"/>
      <c r="X14" s="114"/>
      <c r="Y14" s="114"/>
      <c r="Z14" s="114"/>
      <c r="AA14" s="114"/>
      <c r="AB14" s="114"/>
      <c r="AC14" s="114"/>
      <c r="AD14" s="114"/>
      <c r="AE14" s="114"/>
      <c r="AF14" s="114"/>
      <c r="AG14" s="114"/>
      <c r="AH14" s="114"/>
      <c r="AI14" s="114"/>
      <c r="AJ14" s="114"/>
      <c r="AK14" s="114"/>
      <c r="AL14" s="114"/>
    </row>
    <row r="15" spans="1:38" s="115" customFormat="1" ht="26.25" customHeight="1" x14ac:dyDescent="0.3">
      <c r="A15" s="114"/>
      <c r="B15" s="86" t="s">
        <v>74</v>
      </c>
      <c r="C15" s="114" t="s">
        <v>373</v>
      </c>
      <c r="D15" s="114"/>
      <c r="E15" s="114"/>
      <c r="F15" s="114"/>
      <c r="G15" s="114"/>
      <c r="H15" s="114"/>
      <c r="I15" s="114"/>
      <c r="J15" s="114"/>
      <c r="K15" s="114"/>
      <c r="L15" s="114"/>
      <c r="M15" s="114"/>
      <c r="N15" s="114"/>
      <c r="O15" s="114"/>
      <c r="P15" s="114"/>
      <c r="Q15" s="114"/>
      <c r="R15" s="114"/>
      <c r="S15" s="114"/>
      <c r="T15" s="114"/>
      <c r="U15" s="114"/>
      <c r="V15" s="114"/>
      <c r="W15" s="114"/>
      <c r="X15" s="114"/>
      <c r="Y15" s="114"/>
      <c r="Z15" s="114"/>
      <c r="AA15" s="114"/>
      <c r="AB15" s="114"/>
      <c r="AC15" s="114"/>
      <c r="AD15" s="114"/>
      <c r="AE15" s="114"/>
      <c r="AF15" s="114"/>
      <c r="AG15" s="114"/>
      <c r="AH15" s="114"/>
      <c r="AI15" s="114"/>
      <c r="AJ15" s="114"/>
      <c r="AK15" s="114"/>
      <c r="AL15" s="114"/>
    </row>
    <row r="16" spans="1:38" s="115" customFormat="1" ht="19.5" customHeight="1" x14ac:dyDescent="0.3">
      <c r="A16" s="114"/>
      <c r="B16" s="86" t="s">
        <v>75</v>
      </c>
      <c r="C16" s="114" t="s">
        <v>76</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4"/>
      <c r="AB16" s="114"/>
      <c r="AC16" s="114"/>
      <c r="AD16" s="114"/>
      <c r="AE16" s="114"/>
      <c r="AF16" s="114"/>
      <c r="AG16" s="114"/>
      <c r="AH16" s="114"/>
      <c r="AI16" s="114"/>
      <c r="AJ16" s="114"/>
      <c r="AK16" s="114"/>
      <c r="AL16" s="114"/>
    </row>
    <row r="17" spans="1:38" s="115" customFormat="1" ht="24" customHeight="1" x14ac:dyDescent="0.3">
      <c r="A17" s="114"/>
      <c r="B17" s="86" t="s">
        <v>77</v>
      </c>
      <c r="C17" s="114" t="s">
        <v>372</v>
      </c>
      <c r="D17" s="114"/>
      <c r="E17" s="114"/>
      <c r="F17" s="114"/>
      <c r="G17" s="114"/>
      <c r="H17" s="114"/>
      <c r="I17" s="114"/>
      <c r="J17" s="114"/>
      <c r="K17" s="114"/>
      <c r="L17" s="114"/>
      <c r="M17" s="114"/>
      <c r="N17" s="114"/>
      <c r="O17" s="114"/>
      <c r="P17" s="114"/>
      <c r="Q17" s="114"/>
      <c r="R17" s="114"/>
      <c r="S17" s="114"/>
      <c r="T17" s="114"/>
      <c r="U17" s="114"/>
      <c r="V17" s="114"/>
      <c r="W17" s="114"/>
      <c r="X17" s="114"/>
      <c r="Y17" s="114"/>
      <c r="Z17" s="114"/>
      <c r="AA17" s="114"/>
      <c r="AB17" s="114"/>
      <c r="AC17" s="114"/>
      <c r="AD17" s="114"/>
      <c r="AE17" s="114"/>
      <c r="AF17" s="114"/>
      <c r="AG17" s="114"/>
      <c r="AH17" s="114"/>
      <c r="AI17" s="114"/>
      <c r="AJ17" s="114"/>
      <c r="AK17" s="114"/>
      <c r="AL17" s="114"/>
    </row>
    <row r="18" spans="1:38" s="115" customFormat="1" ht="18" customHeight="1" x14ac:dyDescent="0.3">
      <c r="A18" s="114"/>
      <c r="B18" s="86" t="s">
        <v>78</v>
      </c>
      <c r="C18" s="114" t="s">
        <v>365</v>
      </c>
      <c r="D18" s="114"/>
      <c r="E18" s="114"/>
      <c r="F18" s="114"/>
      <c r="G18" s="114"/>
      <c r="H18" s="114"/>
      <c r="I18" s="114"/>
      <c r="J18" s="114"/>
      <c r="K18" s="114"/>
      <c r="L18" s="114"/>
      <c r="M18" s="114"/>
      <c r="N18" s="114"/>
      <c r="O18" s="114"/>
      <c r="P18" s="114"/>
      <c r="Q18" s="114"/>
      <c r="R18" s="114"/>
      <c r="S18" s="114"/>
      <c r="T18" s="114"/>
      <c r="U18" s="114"/>
      <c r="V18" s="114"/>
      <c r="W18" s="114"/>
      <c r="X18" s="114"/>
      <c r="Y18" s="114"/>
      <c r="Z18" s="114"/>
      <c r="AA18" s="114"/>
      <c r="AB18" s="114"/>
      <c r="AC18" s="114"/>
      <c r="AD18" s="114"/>
      <c r="AE18" s="114"/>
      <c r="AF18" s="114"/>
      <c r="AG18" s="114"/>
      <c r="AH18" s="114"/>
      <c r="AI18" s="114"/>
      <c r="AJ18" s="114"/>
      <c r="AK18" s="114"/>
      <c r="AL18" s="114"/>
    </row>
    <row r="19" spans="1:38" s="115" customFormat="1" ht="21.75" customHeight="1" x14ac:dyDescent="0.3">
      <c r="A19" s="114"/>
      <c r="B19" s="86" t="s">
        <v>79</v>
      </c>
      <c r="C19" s="114" t="s">
        <v>366</v>
      </c>
      <c r="D19" s="114"/>
      <c r="E19" s="114"/>
      <c r="F19" s="114"/>
      <c r="G19" s="114"/>
      <c r="H19" s="114"/>
      <c r="I19" s="114"/>
      <c r="J19" s="114"/>
      <c r="K19" s="114"/>
      <c r="L19" s="114"/>
      <c r="M19" s="114"/>
      <c r="N19" s="114"/>
      <c r="O19" s="114"/>
      <c r="P19" s="114"/>
      <c r="Q19" s="114"/>
      <c r="R19" s="114"/>
      <c r="S19" s="114"/>
      <c r="T19" s="114"/>
      <c r="U19" s="114"/>
      <c r="V19" s="114"/>
      <c r="W19" s="114"/>
      <c r="X19" s="114"/>
      <c r="Y19" s="114"/>
      <c r="Z19" s="114"/>
      <c r="AA19" s="114"/>
      <c r="AB19" s="114"/>
      <c r="AC19" s="114"/>
      <c r="AD19" s="114"/>
      <c r="AE19" s="114"/>
      <c r="AF19" s="114"/>
      <c r="AG19" s="114"/>
      <c r="AH19" s="114"/>
      <c r="AI19" s="114"/>
      <c r="AJ19" s="114"/>
      <c r="AK19" s="114"/>
      <c r="AL19" s="114"/>
    </row>
    <row r="20" spans="1:38" s="115" customFormat="1" ht="24" customHeight="1" x14ac:dyDescent="0.3">
      <c r="A20" s="114"/>
      <c r="B20" s="86" t="s">
        <v>80</v>
      </c>
      <c r="C20" s="114" t="s">
        <v>389</v>
      </c>
      <c r="D20" s="114"/>
      <c r="E20" s="114"/>
      <c r="F20" s="114"/>
      <c r="G20" s="114"/>
      <c r="H20" s="114"/>
      <c r="I20" s="114"/>
      <c r="J20" s="114"/>
      <c r="K20" s="114"/>
      <c r="L20" s="114"/>
      <c r="M20" s="114"/>
      <c r="N20" s="114"/>
      <c r="O20" s="114"/>
      <c r="P20" s="114"/>
      <c r="Q20" s="114"/>
      <c r="R20" s="114"/>
      <c r="S20" s="114"/>
      <c r="T20" s="114"/>
      <c r="U20" s="114"/>
      <c r="V20" s="114"/>
      <c r="W20" s="114"/>
      <c r="X20" s="114"/>
      <c r="Y20" s="114"/>
      <c r="Z20" s="114"/>
      <c r="AA20" s="114"/>
      <c r="AB20" s="114"/>
      <c r="AC20" s="114"/>
      <c r="AD20" s="114"/>
      <c r="AE20" s="114"/>
      <c r="AF20" s="114"/>
      <c r="AG20" s="114"/>
      <c r="AH20" s="114"/>
      <c r="AI20" s="114"/>
      <c r="AJ20" s="114"/>
      <c r="AK20" s="114"/>
      <c r="AL20" s="114"/>
    </row>
    <row r="21" spans="1:38" s="115" customFormat="1" ht="25.5" customHeight="1" x14ac:dyDescent="0.3">
      <c r="A21" s="114"/>
      <c r="B21" s="86" t="s">
        <v>81</v>
      </c>
      <c r="C21" s="114" t="s">
        <v>376</v>
      </c>
      <c r="D21" s="114"/>
      <c r="E21" s="114"/>
      <c r="F21" s="114"/>
      <c r="G21" s="114"/>
      <c r="H21" s="114"/>
      <c r="I21" s="114"/>
      <c r="J21" s="114"/>
      <c r="K21" s="114"/>
      <c r="L21" s="114"/>
      <c r="M21" s="114"/>
      <c r="N21" s="114"/>
      <c r="O21" s="114"/>
      <c r="P21" s="114"/>
      <c r="Q21" s="114"/>
      <c r="R21" s="114"/>
      <c r="S21" s="114"/>
      <c r="T21" s="114"/>
      <c r="U21" s="114"/>
      <c r="V21" s="114"/>
      <c r="W21" s="114"/>
      <c r="X21" s="114"/>
      <c r="Y21" s="114"/>
      <c r="Z21" s="114"/>
      <c r="AA21" s="114"/>
      <c r="AB21" s="114"/>
      <c r="AC21" s="114"/>
      <c r="AD21" s="114"/>
      <c r="AE21" s="114"/>
      <c r="AF21" s="114"/>
      <c r="AG21" s="114"/>
      <c r="AH21" s="114"/>
      <c r="AI21" s="114"/>
      <c r="AJ21" s="114"/>
      <c r="AK21" s="114"/>
      <c r="AL21" s="114"/>
    </row>
    <row r="22" spans="1:38" s="115" customFormat="1" ht="22.65" customHeight="1" x14ac:dyDescent="0.3">
      <c r="A22" s="114"/>
      <c r="B22" s="86" t="s">
        <v>82</v>
      </c>
      <c r="C22" s="114" t="s">
        <v>374</v>
      </c>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114"/>
      <c r="AB22" s="114"/>
      <c r="AC22" s="114"/>
      <c r="AD22" s="114"/>
      <c r="AE22" s="114"/>
      <c r="AF22" s="114"/>
      <c r="AG22" s="114"/>
      <c r="AH22" s="114"/>
      <c r="AI22" s="114"/>
      <c r="AJ22" s="114"/>
      <c r="AK22" s="114"/>
      <c r="AL22" s="114"/>
    </row>
    <row r="23" spans="1:38" s="115" customFormat="1" ht="24.75" customHeight="1" x14ac:dyDescent="0.3">
      <c r="A23" s="114"/>
      <c r="B23" s="86"/>
      <c r="C23" s="114" t="s">
        <v>83</v>
      </c>
      <c r="D23" s="114"/>
      <c r="E23" s="114"/>
      <c r="F23" s="114"/>
      <c r="G23" s="114"/>
      <c r="H23" s="114"/>
      <c r="I23" s="114"/>
      <c r="J23" s="114"/>
      <c r="K23" s="114"/>
      <c r="L23" s="114"/>
      <c r="M23" s="114"/>
      <c r="N23" s="114"/>
      <c r="O23" s="114"/>
      <c r="P23" s="114"/>
      <c r="Q23" s="114"/>
      <c r="R23" s="114"/>
      <c r="S23" s="114"/>
      <c r="T23" s="114"/>
      <c r="U23" s="114"/>
      <c r="V23" s="114"/>
      <c r="W23" s="114"/>
      <c r="X23" s="114"/>
      <c r="Y23" s="114"/>
      <c r="Z23" s="114"/>
      <c r="AA23" s="114"/>
      <c r="AB23" s="114"/>
      <c r="AC23" s="114"/>
      <c r="AD23" s="114"/>
      <c r="AE23" s="114"/>
      <c r="AF23" s="114"/>
      <c r="AG23" s="114"/>
      <c r="AH23" s="114"/>
      <c r="AI23" s="114"/>
      <c r="AJ23" s="114"/>
      <c r="AK23" s="114"/>
      <c r="AL23" s="114"/>
    </row>
    <row r="24" spans="1:38" s="115" customFormat="1" ht="33" customHeight="1" x14ac:dyDescent="0.3">
      <c r="A24" s="114"/>
      <c r="B24" s="86" t="s">
        <v>29</v>
      </c>
      <c r="C24" s="132" t="s">
        <v>390</v>
      </c>
      <c r="D24" s="132"/>
      <c r="E24" s="132"/>
      <c r="F24" s="132"/>
      <c r="G24" s="132"/>
      <c r="H24" s="132"/>
      <c r="I24" s="132"/>
      <c r="J24" s="132"/>
      <c r="K24" s="132"/>
      <c r="L24" s="132"/>
      <c r="M24" s="132"/>
      <c r="N24" s="114"/>
      <c r="O24" s="114"/>
      <c r="P24" s="114"/>
      <c r="Q24" s="114"/>
      <c r="R24" s="114"/>
      <c r="S24" s="114"/>
      <c r="T24" s="114"/>
      <c r="U24" s="114"/>
      <c r="V24" s="114"/>
      <c r="W24" s="114"/>
      <c r="X24" s="114"/>
      <c r="Y24" s="114"/>
      <c r="Z24" s="114"/>
      <c r="AA24" s="114"/>
      <c r="AB24" s="114"/>
      <c r="AC24" s="114"/>
      <c r="AD24" s="114"/>
      <c r="AE24" s="114"/>
      <c r="AF24" s="114"/>
      <c r="AG24" s="114"/>
      <c r="AH24" s="114"/>
      <c r="AI24" s="114"/>
      <c r="AJ24" s="114"/>
      <c r="AK24" s="114"/>
      <c r="AL24" s="114"/>
    </row>
    <row r="25" spans="1:38" s="116" customFormat="1" ht="15.6" x14ac:dyDescent="0.3">
      <c r="A25" s="84"/>
      <c r="B25" s="85" t="s">
        <v>388</v>
      </c>
      <c r="C25" s="85"/>
      <c r="D25" s="85"/>
      <c r="E25" s="85"/>
      <c r="F25" s="85"/>
      <c r="G25" s="85"/>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row>
    <row r="26" spans="1:38" s="116" customFormat="1" ht="15.6" x14ac:dyDescent="0.3">
      <c r="A26" s="84"/>
      <c r="B26" s="84" t="s">
        <v>67</v>
      </c>
      <c r="C26" s="84"/>
      <c r="D26" s="84"/>
      <c r="E26" s="84"/>
      <c r="F26" s="84"/>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row>
    <row r="27" spans="1:38" s="116" customFormat="1" ht="15.6" x14ac:dyDescent="0.3">
      <c r="A27" s="84"/>
      <c r="B27" s="85" t="s">
        <v>414</v>
      </c>
      <c r="C27" s="84" t="s">
        <v>415</v>
      </c>
      <c r="D27" s="84"/>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row>
    <row r="28" spans="1:38" s="116" customFormat="1" ht="15.6" x14ac:dyDescent="0.3">
      <c r="A28" s="84"/>
      <c r="B28" s="84"/>
      <c r="C28" s="84"/>
      <c r="D28" s="84"/>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row>
    <row r="29" spans="1:38" s="116" customFormat="1" ht="15.6" x14ac:dyDescent="0.3">
      <c r="A29" s="84"/>
      <c r="B29" s="84"/>
      <c r="C29" s="84"/>
      <c r="D29" s="84"/>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row>
    <row r="30" spans="1:38" s="116" customFormat="1" ht="15.6" x14ac:dyDescent="0.3">
      <c r="A30" s="84"/>
      <c r="B30" s="84"/>
      <c r="C30" s="84"/>
      <c r="D30" s="84"/>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c r="AF30" s="84"/>
      <c r="AG30" s="84"/>
      <c r="AH30" s="84"/>
      <c r="AI30" s="84"/>
      <c r="AJ30" s="84"/>
      <c r="AK30" s="84"/>
      <c r="AL30" s="84"/>
    </row>
    <row r="31" spans="1:38" s="116" customFormat="1" ht="15.6" x14ac:dyDescent="0.3">
      <c r="A31" s="84"/>
      <c r="B31" s="84"/>
      <c r="C31" s="84"/>
      <c r="D31" s="84"/>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84"/>
      <c r="AL31" s="84"/>
    </row>
    <row r="32" spans="1:38" s="116" customFormat="1" ht="15.6" x14ac:dyDescent="0.3">
      <c r="A32" s="84"/>
      <c r="B32" s="84"/>
      <c r="C32" s="84"/>
      <c r="D32" s="84"/>
      <c r="E32" s="84"/>
      <c r="F32" s="84"/>
      <c r="G32" s="84"/>
      <c r="H32" s="84"/>
      <c r="I32" s="84"/>
      <c r="J32" s="84"/>
      <c r="K32" s="84"/>
      <c r="L32" s="84"/>
      <c r="M32" s="84"/>
      <c r="N32" s="84"/>
      <c r="O32" s="84"/>
      <c r="P32" s="84"/>
      <c r="Q32" s="84"/>
      <c r="R32" s="84"/>
      <c r="S32" s="84"/>
      <c r="T32" s="84"/>
      <c r="U32" s="84"/>
      <c r="V32" s="84"/>
      <c r="W32" s="84"/>
      <c r="X32" s="84"/>
      <c r="Y32" s="84"/>
      <c r="Z32" s="84"/>
      <c r="AA32" s="84"/>
      <c r="AB32" s="84"/>
      <c r="AC32" s="84"/>
      <c r="AD32" s="84"/>
      <c r="AE32" s="84"/>
      <c r="AF32" s="84"/>
      <c r="AG32" s="84"/>
      <c r="AH32" s="84"/>
      <c r="AI32" s="84"/>
      <c r="AJ32" s="84"/>
      <c r="AK32" s="84"/>
      <c r="AL32" s="84"/>
    </row>
    <row r="33" spans="1:38" s="116" customFormat="1" ht="15.6" x14ac:dyDescent="0.3">
      <c r="A33" s="84"/>
      <c r="B33" s="84"/>
      <c r="C33" s="84"/>
      <c r="D33" s="84"/>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c r="AF33" s="84"/>
      <c r="AG33" s="84"/>
      <c r="AH33" s="84"/>
      <c r="AI33" s="84"/>
      <c r="AJ33" s="84"/>
      <c r="AK33" s="84"/>
      <c r="AL33" s="84"/>
    </row>
    <row r="34" spans="1:38" s="116" customFormat="1" ht="15.6" x14ac:dyDescent="0.3">
      <c r="A34" s="84"/>
      <c r="B34" s="84"/>
      <c r="C34" s="84"/>
      <c r="D34" s="84"/>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c r="AF34" s="84"/>
      <c r="AG34" s="84"/>
      <c r="AH34" s="84"/>
      <c r="AI34" s="84"/>
      <c r="AJ34" s="84"/>
      <c r="AK34" s="84"/>
      <c r="AL34" s="84"/>
    </row>
    <row r="35" spans="1:38" s="116" customFormat="1" ht="15.6" x14ac:dyDescent="0.3">
      <c r="A35" s="84"/>
      <c r="B35" s="84"/>
      <c r="C35" s="84"/>
      <c r="D35" s="84"/>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c r="AF35" s="84"/>
      <c r="AG35" s="84"/>
      <c r="AH35" s="84"/>
      <c r="AI35" s="84"/>
      <c r="AJ35" s="84"/>
      <c r="AK35" s="84"/>
      <c r="AL35" s="84"/>
    </row>
    <row r="36" spans="1:38" s="116" customFormat="1" ht="15.6" x14ac:dyDescent="0.3">
      <c r="A36" s="84"/>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84"/>
      <c r="AL36" s="84"/>
    </row>
    <row r="37" spans="1:38" s="116" customFormat="1" ht="15.6" x14ac:dyDescent="0.3">
      <c r="A37" s="84"/>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c r="AF37" s="84"/>
      <c r="AG37" s="84"/>
      <c r="AH37" s="84"/>
      <c r="AI37" s="84"/>
      <c r="AJ37" s="84"/>
      <c r="AK37" s="84"/>
      <c r="AL37" s="84"/>
    </row>
    <row r="38" spans="1:38" s="116" customFormat="1" ht="15.6" x14ac:dyDescent="0.3">
      <c r="A38" s="84"/>
      <c r="B38" s="84"/>
      <c r="C38" s="84"/>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c r="AF38" s="84"/>
      <c r="AG38" s="84"/>
      <c r="AH38" s="84"/>
      <c r="AI38" s="84"/>
      <c r="AJ38" s="84"/>
      <c r="AK38" s="84"/>
      <c r="AL38" s="84"/>
    </row>
    <row r="39" spans="1:38" s="116" customFormat="1" ht="15.6" x14ac:dyDescent="0.3">
      <c r="A39" s="84"/>
      <c r="B39" s="85" t="s">
        <v>65</v>
      </c>
      <c r="C39" s="84" t="s">
        <v>364</v>
      </c>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84"/>
      <c r="AL39" s="84"/>
    </row>
    <row r="40" spans="1:38" s="116" customFormat="1" ht="18.75" customHeight="1" x14ac:dyDescent="0.3">
      <c r="A40" s="84"/>
      <c r="B40" s="86" t="s">
        <v>68</v>
      </c>
      <c r="C40" s="132" t="s">
        <v>386</v>
      </c>
      <c r="D40" s="132"/>
      <c r="E40" s="132"/>
      <c r="F40" s="132"/>
      <c r="G40" s="132"/>
      <c r="H40" s="132"/>
      <c r="I40" s="132"/>
      <c r="J40" s="132"/>
      <c r="K40" s="132"/>
      <c r="L40" s="132"/>
      <c r="M40" s="132"/>
      <c r="N40" s="84"/>
      <c r="O40" s="84"/>
      <c r="P40" s="84"/>
      <c r="Q40" s="84"/>
      <c r="R40" s="84"/>
      <c r="S40" s="84"/>
      <c r="T40" s="84"/>
      <c r="U40" s="84"/>
      <c r="V40" s="84"/>
      <c r="W40" s="84"/>
      <c r="X40" s="84"/>
      <c r="Y40" s="84"/>
      <c r="Z40" s="84"/>
      <c r="AA40" s="84"/>
      <c r="AB40" s="84"/>
      <c r="AC40" s="84"/>
      <c r="AD40" s="84"/>
      <c r="AE40" s="84"/>
      <c r="AF40" s="84"/>
      <c r="AG40" s="84"/>
      <c r="AH40" s="84"/>
      <c r="AI40" s="84"/>
      <c r="AJ40" s="84"/>
      <c r="AK40" s="84"/>
      <c r="AL40" s="84"/>
    </row>
    <row r="41" spans="1:38" s="116" customFormat="1" ht="15.6" x14ac:dyDescent="0.3">
      <c r="A41" s="84"/>
      <c r="B41" s="85" t="s">
        <v>69</v>
      </c>
      <c r="C41" s="84" t="s">
        <v>383</v>
      </c>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84"/>
      <c r="AL41" s="84"/>
    </row>
    <row r="42" spans="1:38" s="116" customFormat="1" ht="35.85" customHeight="1" x14ac:dyDescent="0.3">
      <c r="A42" s="84"/>
      <c r="B42" s="86" t="s">
        <v>70</v>
      </c>
      <c r="C42" s="132" t="s">
        <v>384</v>
      </c>
      <c r="D42" s="132"/>
      <c r="E42" s="132"/>
      <c r="F42" s="132"/>
      <c r="G42" s="132"/>
      <c r="H42" s="132"/>
      <c r="I42" s="132"/>
      <c r="J42" s="132"/>
      <c r="K42" s="132"/>
      <c r="L42" s="132"/>
      <c r="M42" s="132"/>
      <c r="N42" s="84"/>
      <c r="O42" s="84"/>
      <c r="P42" s="84"/>
      <c r="Q42" s="84"/>
      <c r="R42" s="84"/>
      <c r="S42" s="84"/>
      <c r="T42" s="84"/>
      <c r="U42" s="84"/>
      <c r="V42" s="84"/>
      <c r="W42" s="84"/>
      <c r="X42" s="84"/>
      <c r="Y42" s="84"/>
      <c r="Z42" s="84"/>
      <c r="AA42" s="84"/>
      <c r="AB42" s="84"/>
      <c r="AC42" s="84"/>
      <c r="AD42" s="84"/>
      <c r="AE42" s="84"/>
      <c r="AF42" s="84"/>
      <c r="AG42" s="84"/>
      <c r="AH42" s="84"/>
      <c r="AI42" s="84"/>
      <c r="AJ42" s="84"/>
      <c r="AK42" s="84"/>
      <c r="AL42" s="84"/>
    </row>
    <row r="43" spans="1:38" s="116" customFormat="1" ht="23.25" customHeight="1" x14ac:dyDescent="0.3">
      <c r="A43" s="84"/>
      <c r="B43" s="86" t="s">
        <v>71</v>
      </c>
      <c r="C43" s="132" t="s">
        <v>368</v>
      </c>
      <c r="D43" s="132"/>
      <c r="E43" s="132"/>
      <c r="F43" s="132"/>
      <c r="G43" s="132"/>
      <c r="H43" s="132"/>
      <c r="I43" s="132"/>
      <c r="J43" s="117"/>
      <c r="K43" s="117"/>
      <c r="L43" s="84"/>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84"/>
      <c r="AL43" s="84"/>
    </row>
    <row r="44" spans="1:38" s="116" customFormat="1" ht="25.5" customHeight="1" x14ac:dyDescent="0.3">
      <c r="A44" s="84"/>
      <c r="B44" s="86" t="s">
        <v>3</v>
      </c>
      <c r="C44" s="132" t="s">
        <v>367</v>
      </c>
      <c r="D44" s="132"/>
      <c r="E44" s="132"/>
      <c r="F44" s="132"/>
      <c r="G44" s="132"/>
      <c r="H44" s="132"/>
      <c r="I44" s="132"/>
      <c r="J44" s="117"/>
      <c r="K44" s="117"/>
      <c r="L44" s="84"/>
      <c r="M44" s="84"/>
      <c r="N44" s="84"/>
      <c r="O44" s="84"/>
      <c r="P44" s="84"/>
      <c r="Q44" s="84"/>
      <c r="R44" s="84"/>
      <c r="S44" s="84"/>
      <c r="T44" s="84"/>
      <c r="U44" s="84"/>
      <c r="V44" s="84"/>
      <c r="W44" s="84"/>
      <c r="X44" s="84"/>
      <c r="Y44" s="84"/>
      <c r="Z44" s="84"/>
      <c r="AA44" s="84"/>
      <c r="AB44" s="84"/>
      <c r="AC44" s="84"/>
      <c r="AD44" s="84"/>
      <c r="AE44" s="84"/>
      <c r="AF44" s="84"/>
      <c r="AG44" s="84"/>
      <c r="AH44" s="84"/>
      <c r="AI44" s="84"/>
      <c r="AJ44" s="84"/>
      <c r="AK44" s="84"/>
      <c r="AL44" s="84"/>
    </row>
    <row r="45" spans="1:38" s="116" customFormat="1" ht="23.25" customHeight="1" x14ac:dyDescent="0.3">
      <c r="A45" s="84"/>
      <c r="B45" s="86" t="s">
        <v>72</v>
      </c>
      <c r="C45" s="132" t="s">
        <v>375</v>
      </c>
      <c r="D45" s="132"/>
      <c r="E45" s="132"/>
      <c r="F45" s="132"/>
      <c r="G45" s="132"/>
      <c r="H45" s="132"/>
      <c r="I45" s="132"/>
      <c r="J45" s="117"/>
      <c r="K45" s="117"/>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row>
    <row r="46" spans="1:38" s="116" customFormat="1" ht="28.5" customHeight="1" x14ac:dyDescent="0.3">
      <c r="A46" s="84"/>
      <c r="B46" s="86" t="s">
        <v>73</v>
      </c>
      <c r="C46" s="132" t="s">
        <v>369</v>
      </c>
      <c r="D46" s="132"/>
      <c r="E46" s="132"/>
      <c r="F46" s="132"/>
      <c r="G46" s="132"/>
      <c r="H46" s="132"/>
      <c r="I46" s="132"/>
      <c r="J46" s="132"/>
      <c r="K46" s="132"/>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row>
    <row r="47" spans="1:38" s="116" customFormat="1" ht="15.6" x14ac:dyDescent="0.3">
      <c r="A47" s="84"/>
      <c r="B47" s="86" t="s">
        <v>5</v>
      </c>
      <c r="C47" s="132" t="s">
        <v>371</v>
      </c>
      <c r="D47" s="132"/>
      <c r="E47" s="132"/>
      <c r="F47" s="132"/>
      <c r="G47" s="132"/>
      <c r="H47" s="132"/>
      <c r="I47" s="132"/>
      <c r="J47" s="132"/>
      <c r="K47" s="132"/>
      <c r="L47" s="84"/>
      <c r="M47" s="84"/>
      <c r="N47" s="84"/>
      <c r="O47" s="84"/>
      <c r="P47" s="84"/>
      <c r="Q47" s="84"/>
      <c r="R47" s="84"/>
      <c r="S47" s="84"/>
      <c r="T47" s="84"/>
      <c r="U47" s="84"/>
      <c r="V47" s="84"/>
      <c r="W47" s="84"/>
      <c r="X47" s="84"/>
      <c r="Y47" s="84"/>
      <c r="Z47" s="84"/>
      <c r="AA47" s="84"/>
      <c r="AB47" s="84"/>
      <c r="AC47" s="84"/>
      <c r="AD47" s="84"/>
      <c r="AE47" s="84"/>
      <c r="AF47" s="84"/>
      <c r="AG47" s="84"/>
      <c r="AH47" s="84"/>
      <c r="AI47" s="84"/>
      <c r="AJ47" s="84"/>
      <c r="AK47" s="84"/>
      <c r="AL47" s="84"/>
    </row>
    <row r="48" spans="1:38" s="116" customFormat="1" ht="18" customHeight="1" x14ac:dyDescent="0.3">
      <c r="A48" s="84"/>
      <c r="B48" s="86"/>
      <c r="C48" s="132" t="s">
        <v>370</v>
      </c>
      <c r="D48" s="132"/>
      <c r="E48" s="132"/>
      <c r="F48" s="132"/>
      <c r="G48" s="132"/>
      <c r="H48" s="132"/>
      <c r="I48" s="132"/>
      <c r="J48" s="117"/>
      <c r="K48" s="117"/>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c r="AL48" s="84"/>
    </row>
    <row r="49" spans="1:38" s="116" customFormat="1" ht="33" customHeight="1" x14ac:dyDescent="0.3">
      <c r="A49" s="84"/>
      <c r="B49" s="85"/>
      <c r="C49" s="132"/>
      <c r="D49" s="132"/>
      <c r="E49" s="132"/>
      <c r="F49" s="132"/>
      <c r="G49" s="132"/>
      <c r="H49" s="132"/>
      <c r="I49" s="132"/>
      <c r="J49" s="132"/>
      <c r="K49" s="132"/>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84"/>
      <c r="AL49" s="84"/>
    </row>
    <row r="50" spans="1:38" ht="9.75" customHeight="1" x14ac:dyDescent="0.3">
      <c r="A50" s="12"/>
      <c r="B50" s="85"/>
      <c r="C50" s="84"/>
      <c r="D50" s="84"/>
      <c r="E50" s="84"/>
      <c r="F50" s="84"/>
      <c r="G50" s="84"/>
      <c r="H50" s="84"/>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row>
    <row r="51" spans="1:38" ht="15.6" x14ac:dyDescent="0.3">
      <c r="A51" s="12"/>
      <c r="B51" s="85"/>
      <c r="C51" s="84"/>
      <c r="D51" s="112"/>
      <c r="E51" s="112"/>
      <c r="F51" s="112"/>
      <c r="G51" s="112"/>
      <c r="H51" s="113"/>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row>
    <row r="52" spans="1:38" ht="15.6" x14ac:dyDescent="0.3">
      <c r="A52" s="12"/>
      <c r="B52" s="85"/>
      <c r="C52" s="84"/>
      <c r="D52" s="87"/>
      <c r="E52" s="87"/>
      <c r="F52" s="87"/>
      <c r="G52" s="87"/>
      <c r="H52" s="88"/>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row>
    <row r="53" spans="1:38" ht="18.75" customHeight="1" x14ac:dyDescent="0.3">
      <c r="A53" s="12"/>
      <c r="B53" s="85"/>
      <c r="C53" s="84"/>
      <c r="D53" s="87"/>
      <c r="E53" s="87"/>
      <c r="F53" s="87"/>
      <c r="G53" s="87"/>
      <c r="H53" s="88"/>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row>
    <row r="54" spans="1:38" ht="15.6" x14ac:dyDescent="0.3">
      <c r="A54" s="12"/>
      <c r="B54" s="85"/>
      <c r="C54" s="84"/>
      <c r="D54" s="89"/>
      <c r="E54" s="89"/>
      <c r="F54" s="89"/>
      <c r="G54" s="89"/>
      <c r="H54" s="90"/>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row>
    <row r="55" spans="1:38" ht="68.25" customHeight="1" x14ac:dyDescent="0.3">
      <c r="A55" s="12"/>
      <c r="B55" s="85"/>
      <c r="C55" s="84"/>
      <c r="D55" s="84"/>
      <c r="E55" s="84"/>
      <c r="F55" s="84"/>
      <c r="G55" s="84"/>
      <c r="H55" s="84"/>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row>
    <row r="56" spans="1:38" ht="31.65" customHeight="1" x14ac:dyDescent="0.3">
      <c r="A56" s="12"/>
      <c r="B56" s="130" t="s">
        <v>416</v>
      </c>
      <c r="C56" s="12" t="s">
        <v>417</v>
      </c>
      <c r="D56" s="84"/>
      <c r="E56" s="84"/>
      <c r="F56" s="84"/>
      <c r="G56" s="84"/>
      <c r="H56" s="84"/>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row>
    <row r="57" spans="1:38" ht="15.6" x14ac:dyDescent="0.3">
      <c r="A57" s="12"/>
      <c r="B57" s="85"/>
      <c r="C57" s="84"/>
      <c r="D57" s="84"/>
      <c r="E57" s="84"/>
      <c r="F57" s="84"/>
      <c r="G57" s="84"/>
      <c r="H57" s="84"/>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row>
    <row r="58" spans="1:38" ht="15.6" x14ac:dyDescent="0.3">
      <c r="A58" s="12"/>
      <c r="B58" s="85"/>
      <c r="C58" s="84"/>
      <c r="D58" s="84"/>
      <c r="E58" s="84"/>
      <c r="F58" s="84"/>
      <c r="G58" s="84"/>
      <c r="H58" s="84"/>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row>
    <row r="59" spans="1:38" ht="15.6" x14ac:dyDescent="0.3">
      <c r="A59" s="12"/>
      <c r="B59" s="85"/>
      <c r="C59" s="84"/>
      <c r="D59" s="84"/>
      <c r="E59" s="84"/>
      <c r="F59" s="84"/>
      <c r="G59" s="84"/>
      <c r="H59" s="84"/>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row>
    <row r="60" spans="1:38" ht="15.6" x14ac:dyDescent="0.3">
      <c r="A60" s="12"/>
      <c r="B60" s="85"/>
      <c r="C60" s="84"/>
      <c r="D60" s="84"/>
      <c r="E60" s="84"/>
      <c r="F60" s="84"/>
      <c r="G60" s="84"/>
      <c r="H60" s="84"/>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row>
    <row r="61" spans="1:38" ht="15.6" x14ac:dyDescent="0.3">
      <c r="A61" s="12"/>
      <c r="B61" s="85"/>
      <c r="C61" s="84"/>
      <c r="D61" s="84"/>
      <c r="E61" s="84"/>
      <c r="F61" s="84"/>
      <c r="G61" s="84"/>
      <c r="H61" s="84"/>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row>
    <row r="62" spans="1:38" ht="15.6" x14ac:dyDescent="0.3">
      <c r="A62" s="12"/>
      <c r="B62" s="85"/>
      <c r="C62" s="84"/>
      <c r="D62" s="84"/>
      <c r="E62" s="84"/>
      <c r="F62" s="84"/>
      <c r="G62" s="84"/>
      <c r="H62" s="84"/>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row>
    <row r="63" spans="1:38" ht="15.6" x14ac:dyDescent="0.3">
      <c r="A63" s="12"/>
      <c r="B63" s="85"/>
      <c r="C63" s="84"/>
      <c r="D63" s="84"/>
      <c r="E63" s="84"/>
      <c r="F63" s="84"/>
      <c r="G63" s="84"/>
      <c r="H63" s="84"/>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row>
    <row r="64" spans="1:38" ht="15.6" x14ac:dyDescent="0.3">
      <c r="A64" s="12"/>
      <c r="B64" s="85"/>
      <c r="C64" s="84"/>
      <c r="D64" s="84"/>
      <c r="E64" s="84"/>
      <c r="F64" s="84"/>
      <c r="G64" s="84"/>
      <c r="H64" s="84"/>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row>
    <row r="65" spans="1:38" ht="15.6" x14ac:dyDescent="0.3">
      <c r="A65" s="12"/>
      <c r="B65" s="85"/>
      <c r="C65" s="84"/>
      <c r="D65" s="84"/>
      <c r="E65" s="84"/>
      <c r="F65" s="84"/>
      <c r="G65" s="84"/>
      <c r="H65" s="84"/>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row>
    <row r="66" spans="1:38" ht="15.6" x14ac:dyDescent="0.3">
      <c r="A66" s="12"/>
      <c r="B66" s="85"/>
      <c r="C66" s="84"/>
      <c r="D66" s="84"/>
      <c r="E66" s="84"/>
      <c r="F66" s="84"/>
      <c r="G66" s="84"/>
      <c r="H66" s="84"/>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row>
    <row r="67" spans="1:38" ht="15.6" x14ac:dyDescent="0.3">
      <c r="A67" s="12"/>
      <c r="B67" s="85"/>
      <c r="C67" s="84"/>
      <c r="D67" s="84"/>
      <c r="E67" s="84"/>
      <c r="F67" s="84"/>
      <c r="G67" s="84"/>
      <c r="H67" s="84"/>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row>
    <row r="68" spans="1:38" ht="15.6" x14ac:dyDescent="0.3">
      <c r="A68" s="12"/>
      <c r="B68" s="85"/>
      <c r="C68" s="84"/>
      <c r="D68" s="84"/>
      <c r="E68" s="84"/>
      <c r="F68" s="84"/>
      <c r="G68" s="84"/>
      <c r="H68" s="84"/>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2"/>
    </row>
    <row r="69" spans="1:38" ht="15.6" x14ac:dyDescent="0.3">
      <c r="A69" s="12"/>
      <c r="B69" s="85"/>
      <c r="C69" s="84"/>
      <c r="D69" s="84"/>
      <c r="E69" s="84"/>
      <c r="F69" s="84"/>
      <c r="G69" s="84"/>
      <c r="H69" s="84"/>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row>
    <row r="70" spans="1:38" ht="15.6" x14ac:dyDescent="0.3">
      <c r="A70" s="12"/>
      <c r="B70" s="85"/>
      <c r="C70" s="12" t="s">
        <v>418</v>
      </c>
      <c r="D70" s="84"/>
      <c r="E70" s="84"/>
      <c r="F70" s="84"/>
      <c r="G70" s="84"/>
      <c r="H70" s="84"/>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row>
    <row r="71" spans="1:38" ht="15.6" x14ac:dyDescent="0.3">
      <c r="A71" s="12"/>
      <c r="B71" s="85"/>
      <c r="C71" s="84"/>
      <c r="D71" s="84"/>
      <c r="E71" s="84"/>
      <c r="F71" s="84"/>
      <c r="G71" s="84"/>
      <c r="H71" s="84"/>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row>
    <row r="72" spans="1:38" ht="15.6" x14ac:dyDescent="0.3">
      <c r="A72" s="12"/>
      <c r="B72" s="85"/>
      <c r="C72" s="84"/>
      <c r="D72" s="84"/>
      <c r="E72" s="84"/>
      <c r="F72" s="84"/>
      <c r="G72" s="84"/>
      <c r="H72" s="84"/>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c r="AL72" s="12"/>
    </row>
    <row r="73" spans="1:38" ht="15.6" x14ac:dyDescent="0.3">
      <c r="A73" s="12"/>
      <c r="B73" s="85"/>
      <c r="C73" s="84"/>
      <c r="D73" s="84"/>
      <c r="E73" s="84"/>
      <c r="F73" s="84"/>
      <c r="G73" s="84"/>
      <c r="H73" s="84"/>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row>
    <row r="74" spans="1:38" ht="15.6" x14ac:dyDescent="0.3">
      <c r="A74" s="12"/>
      <c r="B74" s="85"/>
      <c r="C74" s="84"/>
      <c r="D74" s="84"/>
      <c r="E74" s="84"/>
      <c r="F74" s="84"/>
      <c r="G74" s="84"/>
      <c r="H74" s="84"/>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2"/>
    </row>
    <row r="75" spans="1:38" ht="15.6" x14ac:dyDescent="0.3">
      <c r="A75" s="12"/>
      <c r="B75" s="85"/>
      <c r="C75" s="84"/>
      <c r="D75" s="84"/>
      <c r="E75" s="84"/>
      <c r="F75" s="84"/>
      <c r="G75" s="84"/>
      <c r="H75" s="84"/>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row>
    <row r="76" spans="1:38" ht="15.6" x14ac:dyDescent="0.3">
      <c r="A76" s="12"/>
      <c r="B76" s="85"/>
      <c r="C76" s="84"/>
      <c r="D76" s="84"/>
      <c r="E76" s="84"/>
      <c r="F76" s="84"/>
      <c r="G76" s="84"/>
      <c r="H76" s="84"/>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row>
    <row r="77" spans="1:38" ht="15.6" x14ac:dyDescent="0.3">
      <c r="A77" s="12"/>
      <c r="B77" s="85"/>
      <c r="C77" s="12"/>
      <c r="D77" s="84"/>
      <c r="E77" s="84"/>
      <c r="F77" s="84"/>
      <c r="G77" s="84"/>
      <c r="H77" s="84"/>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row>
    <row r="78" spans="1:38" ht="15.6" x14ac:dyDescent="0.3">
      <c r="A78" s="12"/>
      <c r="B78" s="85"/>
      <c r="C78" s="12"/>
      <c r="D78" s="84"/>
      <c r="E78" s="84"/>
      <c r="F78" s="84"/>
      <c r="G78" s="84"/>
      <c r="H78" s="84"/>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row>
    <row r="79" spans="1:38" ht="15.6" x14ac:dyDescent="0.3">
      <c r="A79" s="12"/>
      <c r="B79" s="85"/>
      <c r="C79" s="12"/>
      <c r="D79" s="84"/>
      <c r="E79" s="84"/>
      <c r="F79" s="84"/>
      <c r="G79" s="84"/>
      <c r="H79" s="84"/>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2"/>
    </row>
    <row r="80" spans="1:38" ht="18" customHeight="1" x14ac:dyDescent="0.3">
      <c r="A80" s="12"/>
      <c r="B80" s="85"/>
      <c r="C80" s="12"/>
      <c r="D80" s="84"/>
      <c r="E80" s="84"/>
      <c r="F80" s="84"/>
      <c r="G80" s="84"/>
      <c r="H80" s="84"/>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c r="AL80" s="12"/>
    </row>
    <row r="81" spans="1:38" ht="18" customHeight="1" x14ac:dyDescent="0.3">
      <c r="A81" s="12"/>
      <c r="B81" s="85"/>
      <c r="C81" s="12"/>
      <c r="D81" s="84"/>
      <c r="E81" s="84"/>
      <c r="F81" s="84"/>
      <c r="G81" s="84"/>
      <c r="H81" s="84"/>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c r="AL81" s="12"/>
    </row>
    <row r="82" spans="1:38" ht="16.2" customHeight="1" x14ac:dyDescent="0.3">
      <c r="A82" s="12"/>
      <c r="B82" s="85"/>
      <c r="C82" s="12"/>
      <c r="D82" s="84"/>
      <c r="E82" s="84"/>
      <c r="F82" s="84"/>
      <c r="G82" s="84"/>
      <c r="H82" s="84"/>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c r="AL82" s="12"/>
    </row>
    <row r="83" spans="1:38" ht="21" x14ac:dyDescent="0.3">
      <c r="A83" s="12"/>
      <c r="B83" s="131" t="s">
        <v>378</v>
      </c>
      <c r="C83" s="131"/>
      <c r="D83" s="131"/>
      <c r="E83" s="131"/>
      <c r="F83" s="131"/>
      <c r="G83" s="131"/>
      <c r="H83" s="131"/>
      <c r="I83" s="131"/>
      <c r="J83" s="131"/>
      <c r="K83" s="131"/>
      <c r="L83" s="131"/>
      <c r="M83" s="131"/>
      <c r="N83" s="12"/>
      <c r="O83" s="12"/>
      <c r="P83" s="12"/>
      <c r="Q83" s="12"/>
      <c r="R83" s="12"/>
      <c r="S83" s="12"/>
      <c r="T83" s="12"/>
      <c r="U83" s="12"/>
      <c r="V83" s="12"/>
      <c r="W83" s="12"/>
      <c r="X83" s="12"/>
      <c r="Y83" s="12"/>
      <c r="Z83" s="12"/>
      <c r="AA83" s="12"/>
      <c r="AB83" s="12"/>
      <c r="AC83" s="12"/>
      <c r="AD83" s="12"/>
      <c r="AE83" s="12"/>
      <c r="AF83" s="12"/>
      <c r="AG83" s="12"/>
      <c r="AH83" s="12"/>
      <c r="AI83" s="12"/>
      <c r="AJ83" s="12"/>
      <c r="AK83" s="12"/>
      <c r="AL83" s="12"/>
    </row>
    <row r="84" spans="1:38" ht="21" x14ac:dyDescent="0.35">
      <c r="A84" s="12"/>
      <c r="B84" s="119" t="s">
        <v>393</v>
      </c>
      <c r="C84" s="120"/>
      <c r="D84" s="120"/>
      <c r="E84" s="120"/>
      <c r="F84" s="120"/>
      <c r="G84" s="120"/>
      <c r="H84" s="120"/>
      <c r="I84" s="120"/>
      <c r="J84" s="120"/>
      <c r="K84" s="120"/>
      <c r="L84" s="120"/>
      <c r="M84" s="120"/>
      <c r="N84" s="12"/>
      <c r="O84" s="12"/>
      <c r="P84" s="12"/>
      <c r="Q84" s="12"/>
      <c r="R84" s="12"/>
      <c r="S84" s="12"/>
      <c r="T84" s="12"/>
      <c r="U84" s="12"/>
      <c r="V84" s="12"/>
      <c r="W84" s="12"/>
      <c r="X84" s="12"/>
      <c r="Y84" s="12"/>
      <c r="Z84" s="12"/>
      <c r="AA84" s="12"/>
      <c r="AB84" s="12"/>
      <c r="AC84" s="12"/>
      <c r="AD84" s="12"/>
      <c r="AE84" s="12"/>
      <c r="AF84" s="12"/>
      <c r="AG84" s="12"/>
      <c r="AH84" s="12"/>
      <c r="AI84" s="12"/>
      <c r="AJ84" s="12"/>
      <c r="AK84" s="12"/>
      <c r="AL84" s="12"/>
    </row>
    <row r="85" spans="1:38" ht="21" x14ac:dyDescent="0.3">
      <c r="A85" s="12"/>
      <c r="B85" s="85" t="s">
        <v>394</v>
      </c>
      <c r="C85" s="120"/>
      <c r="D85" s="120"/>
      <c r="E85" s="120"/>
      <c r="F85" s="120"/>
      <c r="G85" s="120"/>
      <c r="H85" s="120"/>
      <c r="I85" s="120"/>
      <c r="J85" s="120"/>
      <c r="K85" s="120"/>
      <c r="L85" s="120"/>
      <c r="M85" s="120"/>
      <c r="N85" s="12"/>
      <c r="O85" s="12"/>
      <c r="P85" s="12"/>
      <c r="Q85" s="12"/>
      <c r="R85" s="12"/>
      <c r="S85" s="12"/>
      <c r="T85" s="12"/>
      <c r="U85" s="12"/>
      <c r="V85" s="12"/>
      <c r="W85" s="12"/>
      <c r="X85" s="12"/>
      <c r="Y85" s="12"/>
      <c r="Z85" s="12"/>
      <c r="AA85" s="12"/>
      <c r="AB85" s="12"/>
      <c r="AC85" s="12"/>
      <c r="AD85" s="12"/>
      <c r="AE85" s="12"/>
      <c r="AF85" s="12"/>
      <c r="AG85" s="12"/>
      <c r="AH85" s="12"/>
      <c r="AI85" s="12"/>
      <c r="AJ85" s="12"/>
      <c r="AK85" s="12"/>
      <c r="AL85" s="12"/>
    </row>
    <row r="86" spans="1:38" ht="21" x14ac:dyDescent="0.3">
      <c r="A86" s="12"/>
      <c r="B86" s="84" t="s">
        <v>395</v>
      </c>
      <c r="C86" s="120"/>
      <c r="D86" s="120"/>
      <c r="E86" s="120"/>
      <c r="F86" s="120"/>
      <c r="G86" s="120"/>
      <c r="H86" s="120"/>
      <c r="I86" s="120"/>
      <c r="J86" s="120"/>
      <c r="K86" s="120"/>
      <c r="L86" s="120"/>
      <c r="M86" s="120"/>
      <c r="N86" s="12"/>
      <c r="O86" s="12"/>
      <c r="P86" s="12"/>
      <c r="Q86" s="12"/>
      <c r="R86" s="12"/>
      <c r="S86" s="12"/>
      <c r="T86" s="12"/>
      <c r="U86" s="12"/>
      <c r="V86" s="12"/>
      <c r="W86" s="12"/>
      <c r="X86" s="12"/>
      <c r="Y86" s="12"/>
      <c r="Z86" s="12"/>
      <c r="AA86" s="12"/>
      <c r="AB86" s="12"/>
      <c r="AC86" s="12"/>
      <c r="AD86" s="12"/>
      <c r="AE86" s="12"/>
      <c r="AF86" s="12"/>
      <c r="AG86" s="12"/>
      <c r="AH86" s="12"/>
      <c r="AI86" s="12"/>
      <c r="AJ86" s="12"/>
      <c r="AK86" s="12"/>
      <c r="AL86" s="12"/>
    </row>
    <row r="87" spans="1:38" ht="21" x14ac:dyDescent="0.3">
      <c r="A87" s="12"/>
      <c r="B87" s="84"/>
      <c r="C87" s="120"/>
      <c r="D87" s="120"/>
      <c r="E87" s="120"/>
      <c r="F87" s="120"/>
      <c r="G87" s="120"/>
      <c r="H87" s="120"/>
      <c r="I87" s="120"/>
      <c r="J87" s="120"/>
      <c r="K87" s="120"/>
      <c r="L87" s="120"/>
      <c r="M87" s="120"/>
      <c r="N87" s="12"/>
      <c r="O87" s="12"/>
      <c r="P87" s="12"/>
      <c r="Q87" s="12"/>
      <c r="R87" s="12"/>
      <c r="S87" s="12"/>
      <c r="T87" s="12"/>
      <c r="U87" s="12"/>
      <c r="V87" s="12"/>
      <c r="W87" s="12"/>
      <c r="X87" s="12"/>
      <c r="Y87" s="12"/>
      <c r="Z87" s="12"/>
      <c r="AA87" s="12"/>
      <c r="AB87" s="12"/>
      <c r="AC87" s="12"/>
      <c r="AD87" s="12"/>
      <c r="AE87" s="12"/>
      <c r="AF87" s="12"/>
      <c r="AG87" s="12"/>
      <c r="AH87" s="12"/>
      <c r="AI87" s="12"/>
      <c r="AJ87" s="12"/>
      <c r="AK87" s="12"/>
      <c r="AL87" s="12"/>
    </row>
    <row r="88" spans="1:38" ht="21" x14ac:dyDescent="0.35">
      <c r="A88" s="12"/>
      <c r="B88" s="119" t="s">
        <v>392</v>
      </c>
      <c r="C88" s="120"/>
      <c r="D88" s="120"/>
      <c r="E88" s="120"/>
      <c r="F88" s="120"/>
      <c r="G88" s="120"/>
      <c r="H88" s="120"/>
      <c r="I88" s="120"/>
      <c r="J88" s="120"/>
      <c r="K88" s="120"/>
      <c r="L88" s="120"/>
      <c r="M88" s="120"/>
      <c r="N88" s="12"/>
      <c r="O88" s="12"/>
      <c r="P88" s="12"/>
      <c r="Q88" s="12"/>
      <c r="R88" s="12"/>
      <c r="S88" s="12"/>
      <c r="T88" s="12"/>
      <c r="U88" s="12"/>
      <c r="V88" s="12"/>
      <c r="W88" s="12"/>
      <c r="X88" s="12"/>
      <c r="Y88" s="12"/>
      <c r="Z88" s="12"/>
      <c r="AA88" s="12"/>
      <c r="AB88" s="12"/>
      <c r="AC88" s="12"/>
      <c r="AD88" s="12"/>
      <c r="AE88" s="12"/>
      <c r="AF88" s="12"/>
      <c r="AG88" s="12"/>
      <c r="AH88" s="12"/>
      <c r="AI88" s="12"/>
      <c r="AJ88" s="12"/>
      <c r="AK88" s="12"/>
      <c r="AL88" s="12"/>
    </row>
    <row r="89" spans="1:38" s="116" customFormat="1" ht="15.6" x14ac:dyDescent="0.3">
      <c r="A89" s="84"/>
      <c r="B89" s="85" t="s">
        <v>379</v>
      </c>
      <c r="C89" s="84"/>
      <c r="D89" s="84"/>
      <c r="E89" s="84"/>
      <c r="F89" s="84"/>
      <c r="G89" s="84"/>
      <c r="H89" s="84"/>
      <c r="I89" s="84"/>
      <c r="J89" s="84"/>
      <c r="K89" s="84"/>
      <c r="L89" s="84"/>
      <c r="M89" s="84"/>
      <c r="N89" s="84"/>
      <c r="O89" s="84"/>
      <c r="P89" s="84"/>
      <c r="Q89" s="84"/>
      <c r="R89" s="84"/>
      <c r="S89" s="84"/>
      <c r="T89" s="84"/>
      <c r="U89" s="84"/>
      <c r="V89" s="84"/>
      <c r="W89" s="84"/>
      <c r="X89" s="84"/>
      <c r="Y89" s="84"/>
      <c r="Z89" s="84"/>
      <c r="AA89" s="84"/>
      <c r="AB89" s="84"/>
      <c r="AC89" s="84"/>
      <c r="AD89" s="84"/>
      <c r="AE89" s="84"/>
      <c r="AF89" s="84"/>
      <c r="AG89" s="84"/>
      <c r="AH89" s="84"/>
      <c r="AI89" s="84"/>
      <c r="AJ89" s="84"/>
      <c r="AK89" s="84"/>
      <c r="AL89" s="84"/>
    </row>
    <row r="90" spans="1:38" s="116" customFormat="1" ht="15.6" x14ac:dyDescent="0.3">
      <c r="A90" s="84"/>
      <c r="B90" s="84" t="s">
        <v>381</v>
      </c>
      <c r="C90" s="84"/>
      <c r="D90" s="84"/>
      <c r="E90" s="84"/>
      <c r="F90" s="84"/>
      <c r="G90" s="84"/>
      <c r="H90" s="84"/>
      <c r="I90" s="84"/>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84"/>
      <c r="AI90" s="84"/>
      <c r="AJ90" s="84"/>
      <c r="AK90" s="84"/>
      <c r="AL90" s="84"/>
    </row>
    <row r="91" spans="1:38" s="116" customFormat="1" ht="15.6" x14ac:dyDescent="0.3">
      <c r="B91" s="84" t="s">
        <v>380</v>
      </c>
      <c r="C91" s="84"/>
      <c r="D91" s="84"/>
      <c r="E91" s="84"/>
      <c r="F91" s="84"/>
      <c r="G91" s="84"/>
      <c r="H91" s="84"/>
      <c r="I91" s="84"/>
      <c r="J91" s="84"/>
      <c r="K91" s="84"/>
      <c r="L91" s="84"/>
      <c r="M91" s="84"/>
      <c r="N91" s="84"/>
      <c r="O91" s="84"/>
      <c r="P91" s="84"/>
      <c r="Q91" s="84"/>
      <c r="R91" s="84"/>
      <c r="S91" s="84"/>
      <c r="T91" s="84"/>
      <c r="U91" s="84"/>
      <c r="V91" s="84"/>
      <c r="W91" s="84"/>
      <c r="X91" s="84"/>
      <c r="Y91" s="84"/>
      <c r="Z91" s="84"/>
      <c r="AA91" s="84"/>
      <c r="AB91" s="84"/>
      <c r="AC91" s="84"/>
      <c r="AD91" s="84"/>
      <c r="AE91" s="84"/>
      <c r="AF91" s="84"/>
      <c r="AG91" s="84"/>
      <c r="AH91" s="84"/>
      <c r="AI91" s="84"/>
      <c r="AJ91" s="84"/>
      <c r="AK91" s="84"/>
      <c r="AL91" s="84"/>
    </row>
    <row r="92" spans="1:38" x14ac:dyDescent="0.3">
      <c r="A92" s="12"/>
      <c r="B92" s="12"/>
      <c r="C92" s="12"/>
      <c r="D92" s="12"/>
      <c r="E92" s="12"/>
      <c r="F92" s="12"/>
      <c r="G92" s="12"/>
      <c r="H92" s="12"/>
      <c r="I92" s="12"/>
      <c r="J92" s="12"/>
      <c r="K92" s="12"/>
      <c r="L92" s="12"/>
      <c r="M92" s="12"/>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2"/>
    </row>
    <row r="93" spans="1:38" x14ac:dyDescent="0.3">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c r="AA93" s="12"/>
      <c r="AB93" s="12"/>
      <c r="AC93" s="12"/>
      <c r="AD93" s="12"/>
      <c r="AE93" s="12"/>
      <c r="AF93" s="12"/>
      <c r="AG93" s="12"/>
      <c r="AH93" s="12"/>
      <c r="AI93" s="12"/>
      <c r="AJ93" s="12"/>
      <c r="AK93" s="12"/>
      <c r="AL93" s="12"/>
    </row>
    <row r="94" spans="1:38" x14ac:dyDescent="0.3">
      <c r="A94" s="12"/>
      <c r="B94" s="91"/>
      <c r="C94" s="91"/>
      <c r="D94" s="12"/>
      <c r="E94" s="12"/>
      <c r="F94" s="12"/>
      <c r="G94" s="12"/>
      <c r="H94" s="12"/>
      <c r="I94" s="12"/>
      <c r="J94" s="12"/>
      <c r="K94" s="12"/>
      <c r="L94" s="12"/>
      <c r="M94" s="12"/>
      <c r="N94" s="12"/>
      <c r="O94" s="12"/>
      <c r="P94" s="12"/>
      <c r="Q94" s="12"/>
      <c r="R94" s="12"/>
      <c r="S94" s="12"/>
      <c r="T94" s="12"/>
      <c r="U94" s="12"/>
      <c r="V94" s="12"/>
      <c r="W94" s="12"/>
      <c r="X94" s="12"/>
      <c r="Y94" s="12"/>
      <c r="Z94" s="12"/>
      <c r="AA94" s="12"/>
      <c r="AB94" s="12"/>
      <c r="AC94" s="12"/>
      <c r="AD94" s="12"/>
      <c r="AE94" s="12"/>
      <c r="AF94" s="12"/>
      <c r="AG94" s="12"/>
      <c r="AH94" s="12"/>
      <c r="AI94" s="12"/>
      <c r="AJ94" s="12"/>
      <c r="AK94" s="12"/>
      <c r="AL94" s="12"/>
    </row>
    <row r="95" spans="1:38" ht="18.75" customHeight="1" x14ac:dyDescent="0.3">
      <c r="A95" s="12"/>
      <c r="B95" s="12"/>
      <c r="C95" s="12"/>
      <c r="D95" s="12"/>
      <c r="E95" s="12"/>
      <c r="F95" s="12"/>
      <c r="G95" s="12"/>
      <c r="H95" s="12"/>
      <c r="I95" s="12"/>
      <c r="J95" s="12"/>
      <c r="K95" s="12"/>
      <c r="L95" s="12"/>
      <c r="M95" s="12"/>
      <c r="N95" s="12"/>
      <c r="O95" s="12"/>
      <c r="P95" s="12"/>
      <c r="Q95" s="12"/>
      <c r="R95" s="12"/>
      <c r="S95" s="12"/>
      <c r="T95" s="12"/>
      <c r="U95" s="12"/>
      <c r="V95" s="12"/>
      <c r="W95" s="12"/>
      <c r="X95" s="12"/>
      <c r="Y95" s="12"/>
      <c r="Z95" s="12"/>
      <c r="AA95" s="12"/>
      <c r="AB95" s="12"/>
      <c r="AC95" s="12"/>
      <c r="AD95" s="12"/>
      <c r="AE95" s="12"/>
      <c r="AF95" s="12"/>
      <c r="AG95" s="12"/>
      <c r="AH95" s="12"/>
      <c r="AI95" s="12"/>
      <c r="AJ95" s="12"/>
      <c r="AK95" s="12"/>
      <c r="AL95" s="12"/>
    </row>
    <row r="96" spans="1:38" ht="43.5" customHeight="1" x14ac:dyDescent="0.3">
      <c r="A96" s="12"/>
      <c r="B96" s="12"/>
      <c r="C96" s="12"/>
      <c r="D96" s="12"/>
      <c r="E96" s="12"/>
      <c r="F96" s="12"/>
      <c r="G96" s="12"/>
      <c r="H96" s="12"/>
      <c r="I96" s="12"/>
      <c r="J96" s="12"/>
      <c r="K96" s="12"/>
      <c r="L96" s="12"/>
      <c r="M96" s="12"/>
      <c r="N96" s="12"/>
      <c r="O96" s="12"/>
      <c r="P96" s="12"/>
      <c r="Q96" s="12"/>
      <c r="R96" s="12"/>
      <c r="S96" s="12"/>
      <c r="T96" s="12"/>
      <c r="U96" s="12"/>
      <c r="V96" s="12"/>
      <c r="W96" s="12"/>
      <c r="X96" s="12"/>
      <c r="Y96" s="12"/>
      <c r="Z96" s="12"/>
      <c r="AA96" s="12"/>
      <c r="AB96" s="12"/>
      <c r="AC96" s="12"/>
      <c r="AD96" s="12"/>
      <c r="AE96" s="12"/>
      <c r="AF96" s="12"/>
      <c r="AG96" s="12"/>
      <c r="AH96" s="12"/>
      <c r="AI96" s="12"/>
      <c r="AJ96" s="12"/>
      <c r="AK96" s="12"/>
      <c r="AL96" s="12"/>
    </row>
    <row r="97" spans="1:38" ht="13.2" customHeight="1" x14ac:dyDescent="0.3">
      <c r="A97" s="12"/>
      <c r="B97" s="12"/>
      <c r="C97" s="12"/>
      <c r="D97" s="12"/>
      <c r="E97" s="12"/>
      <c r="F97" s="12"/>
      <c r="G97" s="12"/>
      <c r="H97" s="12"/>
      <c r="I97" s="12"/>
      <c r="J97" s="12"/>
      <c r="K97" s="12"/>
      <c r="L97" s="12"/>
      <c r="M97" s="12"/>
      <c r="N97" s="12"/>
      <c r="O97" s="12"/>
      <c r="P97" s="12"/>
      <c r="Q97" s="12"/>
      <c r="R97" s="12"/>
      <c r="S97" s="12"/>
      <c r="T97" s="12"/>
      <c r="U97" s="12"/>
      <c r="V97" s="12"/>
      <c r="W97" s="12"/>
      <c r="X97" s="12"/>
      <c r="Y97" s="12"/>
      <c r="Z97" s="12"/>
      <c r="AA97" s="12"/>
      <c r="AB97" s="12"/>
      <c r="AC97" s="12"/>
      <c r="AD97" s="12"/>
      <c r="AE97" s="12"/>
      <c r="AF97" s="12"/>
      <c r="AG97" s="12"/>
      <c r="AH97" s="12"/>
      <c r="AI97" s="12"/>
      <c r="AJ97" s="12"/>
      <c r="AK97" s="12"/>
      <c r="AL97" s="12"/>
    </row>
    <row r="98" spans="1:38" s="116" customFormat="1" ht="15.6" x14ac:dyDescent="0.3">
      <c r="A98" s="84"/>
      <c r="B98" s="84" t="s">
        <v>382</v>
      </c>
      <c r="C98" s="84"/>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84"/>
      <c r="AG98" s="84"/>
      <c r="AH98" s="84"/>
      <c r="AI98" s="84"/>
      <c r="AJ98" s="84"/>
      <c r="AK98" s="84"/>
      <c r="AL98" s="84"/>
    </row>
    <row r="99" spans="1:38" s="116" customFormat="1" ht="33.6" customHeight="1" x14ac:dyDescent="0.3">
      <c r="A99" s="84"/>
      <c r="B99" s="132" t="s">
        <v>385</v>
      </c>
      <c r="C99" s="132"/>
      <c r="D99" s="132"/>
      <c r="E99" s="132"/>
      <c r="F99" s="132"/>
      <c r="G99" s="132"/>
      <c r="H99" s="132"/>
      <c r="I99" s="132"/>
      <c r="J99" s="132"/>
      <c r="K99" s="132"/>
      <c r="L99" s="132"/>
      <c r="M99" s="132"/>
      <c r="N99" s="84"/>
      <c r="O99" s="84"/>
      <c r="P99" s="84"/>
      <c r="Q99" s="84"/>
      <c r="R99" s="84"/>
      <c r="S99" s="84"/>
      <c r="T99" s="84"/>
      <c r="U99" s="84"/>
      <c r="V99" s="84"/>
      <c r="W99" s="84"/>
      <c r="X99" s="84"/>
      <c r="Y99" s="84"/>
      <c r="Z99" s="84"/>
      <c r="AA99" s="84"/>
      <c r="AB99" s="84"/>
      <c r="AC99" s="84"/>
      <c r="AD99" s="84"/>
      <c r="AE99" s="84"/>
      <c r="AF99" s="84"/>
      <c r="AG99" s="84"/>
      <c r="AH99" s="84"/>
      <c r="AI99" s="84"/>
      <c r="AJ99" s="84"/>
      <c r="AK99" s="84"/>
      <c r="AL99" s="84"/>
    </row>
    <row r="100" spans="1:38" x14ac:dyDescent="0.3">
      <c r="A100" s="12"/>
      <c r="B100" s="91"/>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c r="AA100" s="12"/>
      <c r="AB100" s="12"/>
      <c r="AC100" s="12"/>
      <c r="AD100" s="12"/>
      <c r="AE100" s="12"/>
      <c r="AF100" s="12"/>
      <c r="AG100" s="12"/>
      <c r="AH100" s="12"/>
      <c r="AI100" s="12"/>
      <c r="AJ100" s="12"/>
      <c r="AK100" s="12"/>
      <c r="AL100" s="12"/>
    </row>
    <row r="101" spans="1:38" ht="129.75" customHeight="1" x14ac:dyDescent="0.3">
      <c r="A101" s="12"/>
      <c r="B101" s="92"/>
      <c r="C101" s="12"/>
      <c r="D101" s="12"/>
      <c r="E101" s="133"/>
      <c r="F101" s="133"/>
      <c r="G101" s="133"/>
      <c r="H101" s="133"/>
      <c r="I101" s="133"/>
      <c r="J101" s="133"/>
      <c r="K101" s="133"/>
      <c r="L101" s="133"/>
      <c r="M101" s="12"/>
      <c r="N101" s="12"/>
      <c r="O101" s="12"/>
      <c r="P101" s="12"/>
      <c r="Q101" s="12"/>
      <c r="R101" s="12"/>
      <c r="S101" s="12"/>
      <c r="T101" s="12"/>
      <c r="U101" s="12"/>
      <c r="V101" s="12"/>
      <c r="W101" s="12"/>
      <c r="X101" s="12"/>
      <c r="Y101" s="12"/>
      <c r="Z101" s="12"/>
      <c r="AA101" s="12"/>
      <c r="AB101" s="12"/>
      <c r="AC101" s="12"/>
      <c r="AD101" s="12"/>
      <c r="AE101" s="12"/>
      <c r="AF101" s="12"/>
      <c r="AG101" s="12"/>
      <c r="AH101" s="12"/>
      <c r="AI101" s="12"/>
      <c r="AJ101" s="12"/>
      <c r="AK101" s="12"/>
      <c r="AL101" s="12"/>
    </row>
    <row r="102" spans="1:38" ht="43.35" customHeight="1" x14ac:dyDescent="0.3">
      <c r="A102" s="12"/>
      <c r="B102" s="134"/>
      <c r="C102" s="134"/>
      <c r="D102" s="134"/>
      <c r="E102" s="133"/>
      <c r="F102" s="133"/>
      <c r="G102" s="133"/>
      <c r="H102" s="133"/>
      <c r="I102" s="133"/>
      <c r="J102" s="133"/>
      <c r="K102" s="133"/>
      <c r="L102" s="133"/>
      <c r="M102" s="12"/>
      <c r="N102" s="12"/>
      <c r="O102" s="12"/>
      <c r="P102" s="12"/>
      <c r="Q102" s="12"/>
      <c r="R102" s="12"/>
      <c r="S102" s="12"/>
      <c r="T102" s="12"/>
      <c r="U102" s="12"/>
      <c r="V102" s="12"/>
      <c r="W102" s="12"/>
      <c r="X102" s="12"/>
      <c r="Y102" s="12"/>
      <c r="Z102" s="12"/>
      <c r="AA102" s="12"/>
      <c r="AB102" s="12"/>
      <c r="AC102" s="12"/>
      <c r="AD102" s="12"/>
      <c r="AE102" s="12"/>
      <c r="AF102" s="12"/>
      <c r="AG102" s="12"/>
      <c r="AH102" s="12"/>
      <c r="AI102" s="12"/>
      <c r="AJ102" s="12"/>
      <c r="AK102" s="12"/>
      <c r="AL102" s="12"/>
    </row>
    <row r="103" spans="1:38" x14ac:dyDescent="0.3">
      <c r="A103" s="12"/>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c r="AA103" s="12"/>
      <c r="AB103" s="12"/>
      <c r="AC103" s="12"/>
      <c r="AD103" s="12"/>
      <c r="AE103" s="12"/>
      <c r="AF103" s="12"/>
      <c r="AG103" s="12"/>
      <c r="AH103" s="12"/>
      <c r="AI103" s="12"/>
      <c r="AJ103" s="12"/>
      <c r="AK103" s="12"/>
      <c r="AL103" s="12"/>
    </row>
    <row r="104" spans="1:38" x14ac:dyDescent="0.3">
      <c r="A104" s="12"/>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c r="AA104" s="12"/>
      <c r="AB104" s="12"/>
      <c r="AC104" s="12"/>
      <c r="AD104" s="12"/>
      <c r="AE104" s="12"/>
      <c r="AF104" s="12"/>
      <c r="AG104" s="12"/>
      <c r="AH104" s="12"/>
      <c r="AI104" s="12"/>
      <c r="AJ104" s="12"/>
      <c r="AK104" s="12"/>
      <c r="AL104" s="12"/>
    </row>
    <row r="105" spans="1:38" x14ac:dyDescent="0.3">
      <c r="A105" s="12"/>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c r="AA105" s="12"/>
      <c r="AB105" s="12"/>
      <c r="AC105" s="12"/>
      <c r="AD105" s="12"/>
      <c r="AE105" s="12"/>
      <c r="AF105" s="12"/>
      <c r="AG105" s="12"/>
      <c r="AH105" s="12"/>
      <c r="AI105" s="12"/>
      <c r="AJ105" s="12"/>
      <c r="AK105" s="12"/>
      <c r="AL105" s="12"/>
    </row>
    <row r="106" spans="1:38" x14ac:dyDescent="0.3">
      <c r="A106" s="12"/>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c r="AA106" s="12"/>
      <c r="AB106" s="12"/>
      <c r="AC106" s="12"/>
      <c r="AD106" s="12"/>
      <c r="AE106" s="12"/>
      <c r="AF106" s="12"/>
      <c r="AG106" s="12"/>
      <c r="AH106" s="12"/>
      <c r="AI106" s="12"/>
      <c r="AJ106" s="12"/>
      <c r="AK106" s="12"/>
      <c r="AL106" s="12"/>
    </row>
    <row r="107" spans="1:38" x14ac:dyDescent="0.3">
      <c r="A107" s="12"/>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c r="AA107" s="12"/>
      <c r="AB107" s="12"/>
      <c r="AC107" s="12"/>
      <c r="AD107" s="12"/>
      <c r="AE107" s="12"/>
      <c r="AF107" s="12"/>
      <c r="AG107" s="12"/>
      <c r="AH107" s="12"/>
      <c r="AI107" s="12"/>
      <c r="AJ107" s="12"/>
      <c r="AK107" s="12"/>
      <c r="AL107" s="12"/>
    </row>
    <row r="108" spans="1:38" x14ac:dyDescent="0.3">
      <c r="A108" s="12"/>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c r="AA108" s="12"/>
      <c r="AB108" s="12"/>
      <c r="AC108" s="12"/>
      <c r="AD108" s="12"/>
      <c r="AE108" s="12"/>
      <c r="AF108" s="12"/>
      <c r="AG108" s="12"/>
      <c r="AH108" s="12"/>
      <c r="AI108" s="12"/>
      <c r="AJ108" s="12"/>
      <c r="AK108" s="12"/>
      <c r="AL108" s="12"/>
    </row>
    <row r="109" spans="1:38" x14ac:dyDescent="0.3">
      <c r="A109" s="12"/>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c r="AA109" s="12"/>
      <c r="AB109" s="12"/>
      <c r="AC109" s="12"/>
      <c r="AD109" s="12"/>
      <c r="AE109" s="12"/>
      <c r="AF109" s="12"/>
      <c r="AG109" s="12"/>
      <c r="AH109" s="12"/>
      <c r="AI109" s="12"/>
      <c r="AJ109" s="12"/>
      <c r="AK109" s="12"/>
      <c r="AL109" s="12"/>
    </row>
    <row r="110" spans="1:38" x14ac:dyDescent="0.3">
      <c r="A110" s="12"/>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c r="AA110" s="12"/>
      <c r="AB110" s="12"/>
      <c r="AC110" s="12"/>
      <c r="AD110" s="12"/>
      <c r="AE110" s="12"/>
      <c r="AF110" s="12"/>
      <c r="AG110" s="12"/>
      <c r="AH110" s="12"/>
      <c r="AI110" s="12"/>
      <c r="AJ110" s="12"/>
      <c r="AK110" s="12"/>
      <c r="AL110" s="12"/>
    </row>
    <row r="111" spans="1:38" ht="15.6" x14ac:dyDescent="0.3">
      <c r="A111" s="12"/>
      <c r="B111" s="132" t="s">
        <v>396</v>
      </c>
      <c r="C111" s="132"/>
      <c r="D111" s="132"/>
      <c r="E111" s="132"/>
      <c r="F111" s="132"/>
      <c r="G111" s="132"/>
      <c r="H111" s="132"/>
      <c r="I111" s="132"/>
      <c r="J111" s="132"/>
      <c r="K111" s="132"/>
      <c r="L111" s="132"/>
      <c r="M111" s="132"/>
      <c r="N111" s="12"/>
      <c r="O111" s="12"/>
      <c r="P111" s="12"/>
      <c r="Q111" s="12"/>
      <c r="R111" s="12"/>
      <c r="S111" s="12"/>
      <c r="T111" s="12"/>
      <c r="U111" s="12"/>
      <c r="V111" s="12"/>
      <c r="W111" s="12"/>
      <c r="X111" s="12"/>
      <c r="Y111" s="12"/>
      <c r="Z111" s="12"/>
      <c r="AA111" s="12"/>
      <c r="AB111" s="12"/>
      <c r="AC111" s="12"/>
      <c r="AD111" s="12"/>
      <c r="AE111" s="12"/>
      <c r="AF111" s="12"/>
      <c r="AG111" s="12"/>
      <c r="AH111" s="12"/>
      <c r="AI111" s="12"/>
      <c r="AJ111" s="12"/>
      <c r="AK111" s="12"/>
      <c r="AL111" s="12"/>
    </row>
    <row r="112" spans="1:38" x14ac:dyDescent="0.3">
      <c r="A112" s="12"/>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c r="AA112" s="12"/>
      <c r="AB112" s="12"/>
      <c r="AC112" s="12"/>
      <c r="AD112" s="12"/>
      <c r="AE112" s="12"/>
      <c r="AF112" s="12"/>
      <c r="AG112" s="12"/>
      <c r="AH112" s="12"/>
      <c r="AI112" s="12"/>
      <c r="AJ112" s="12"/>
      <c r="AK112" s="12"/>
      <c r="AL112" s="12"/>
    </row>
    <row r="113" spans="1:38" ht="18" x14ac:dyDescent="0.35">
      <c r="A113" s="12"/>
      <c r="B113" s="12" t="s">
        <v>391</v>
      </c>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c r="AA113" s="12"/>
      <c r="AB113" s="12"/>
      <c r="AC113" s="12"/>
      <c r="AD113" s="12"/>
      <c r="AE113" s="12"/>
      <c r="AF113" s="12"/>
      <c r="AG113" s="12"/>
      <c r="AH113" s="12"/>
      <c r="AI113" s="12"/>
      <c r="AJ113" s="12"/>
      <c r="AK113" s="12"/>
      <c r="AL113" s="12"/>
    </row>
    <row r="114" spans="1:38" x14ac:dyDescent="0.3">
      <c r="A114" s="12"/>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c r="AA114" s="12"/>
      <c r="AB114" s="12"/>
      <c r="AC114" s="12"/>
      <c r="AD114" s="12"/>
      <c r="AE114" s="12"/>
      <c r="AF114" s="12"/>
      <c r="AG114" s="12"/>
      <c r="AH114" s="12"/>
      <c r="AI114" s="12"/>
      <c r="AJ114" s="12"/>
      <c r="AK114" s="12"/>
      <c r="AL114" s="12"/>
    </row>
    <row r="115" spans="1:38" x14ac:dyDescent="0.3">
      <c r="A115" s="12"/>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c r="AA115" s="12"/>
      <c r="AB115" s="12"/>
      <c r="AC115" s="12"/>
      <c r="AD115" s="12"/>
      <c r="AE115" s="12"/>
      <c r="AF115" s="12"/>
      <c r="AG115" s="12"/>
      <c r="AH115" s="12"/>
      <c r="AI115" s="12"/>
      <c r="AJ115" s="12"/>
      <c r="AK115" s="12"/>
      <c r="AL115" s="12"/>
    </row>
    <row r="116" spans="1:38" ht="15.6" x14ac:dyDescent="0.3">
      <c r="A116" s="12"/>
      <c r="B116" s="121" t="s">
        <v>398</v>
      </c>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c r="AA116" s="12"/>
      <c r="AB116" s="12"/>
      <c r="AC116" s="12"/>
      <c r="AD116" s="12"/>
      <c r="AE116" s="12"/>
      <c r="AF116" s="12"/>
      <c r="AG116" s="12"/>
      <c r="AH116" s="12"/>
      <c r="AI116" s="12"/>
      <c r="AJ116" s="12"/>
      <c r="AK116" s="12"/>
      <c r="AL116" s="12"/>
    </row>
    <row r="117" spans="1:38" ht="31.2" customHeight="1" x14ac:dyDescent="0.3">
      <c r="A117" s="12"/>
      <c r="B117" s="135" t="s">
        <v>399</v>
      </c>
      <c r="C117" s="135"/>
      <c r="D117" s="135"/>
      <c r="E117" s="135"/>
      <c r="F117" s="135"/>
      <c r="G117" s="135"/>
      <c r="H117" s="135"/>
      <c r="I117" s="135"/>
      <c r="J117" s="135"/>
      <c r="K117" s="135"/>
      <c r="L117" s="135"/>
      <c r="M117" s="135"/>
      <c r="N117" s="122"/>
      <c r="O117" s="122"/>
      <c r="P117" s="122"/>
      <c r="Q117" s="12"/>
      <c r="R117" s="12"/>
      <c r="S117" s="12"/>
      <c r="T117" s="12"/>
      <c r="U117" s="12"/>
      <c r="V117" s="12"/>
      <c r="W117" s="12"/>
      <c r="X117" s="12"/>
      <c r="Y117" s="12"/>
      <c r="Z117" s="12"/>
      <c r="AA117" s="12"/>
      <c r="AB117" s="12"/>
      <c r="AC117" s="12"/>
      <c r="AD117" s="12"/>
      <c r="AE117" s="12"/>
      <c r="AF117" s="12"/>
      <c r="AG117" s="12"/>
      <c r="AH117" s="12"/>
      <c r="AI117" s="12"/>
      <c r="AJ117" s="12"/>
      <c r="AK117" s="12"/>
      <c r="AL117" s="12"/>
    </row>
    <row r="118" spans="1:38" x14ac:dyDescent="0.3">
      <c r="A118" s="12"/>
      <c r="B118" s="12"/>
      <c r="C118" s="12"/>
      <c r="D118" s="12"/>
      <c r="E118" s="12"/>
      <c r="F118" s="12"/>
      <c r="G118" s="12"/>
      <c r="H118" s="12"/>
      <c r="I118" s="133"/>
      <c r="J118" s="133"/>
      <c r="K118" s="133"/>
      <c r="L118" s="133"/>
      <c r="M118" s="133"/>
      <c r="N118" s="133"/>
      <c r="O118" s="12"/>
      <c r="P118" s="12"/>
      <c r="Q118" s="12"/>
      <c r="R118" s="12"/>
      <c r="S118" s="12"/>
      <c r="T118" s="12"/>
      <c r="U118" s="12"/>
      <c r="V118" s="12"/>
      <c r="W118" s="12"/>
      <c r="X118" s="12"/>
      <c r="Y118" s="12"/>
      <c r="Z118" s="12"/>
      <c r="AA118" s="12"/>
      <c r="AB118" s="12"/>
      <c r="AC118" s="12"/>
      <c r="AD118" s="12"/>
      <c r="AE118" s="12"/>
      <c r="AF118" s="12"/>
      <c r="AG118" s="12"/>
      <c r="AH118" s="12"/>
      <c r="AI118" s="12"/>
      <c r="AJ118" s="12"/>
      <c r="AK118" s="12"/>
      <c r="AL118" s="12"/>
    </row>
    <row r="119" spans="1:38" x14ac:dyDescent="0.3">
      <c r="A119" s="12"/>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c r="AA119" s="12"/>
      <c r="AB119" s="12"/>
      <c r="AC119" s="12"/>
      <c r="AD119" s="12"/>
      <c r="AE119" s="12"/>
      <c r="AF119" s="12"/>
      <c r="AG119" s="12"/>
      <c r="AH119" s="12"/>
      <c r="AI119" s="12"/>
      <c r="AJ119" s="12"/>
      <c r="AK119" s="12"/>
      <c r="AL119" s="12"/>
    </row>
    <row r="120" spans="1:38" x14ac:dyDescent="0.3">
      <c r="A120" s="12"/>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c r="AA120" s="12"/>
      <c r="AB120" s="12"/>
      <c r="AC120" s="12"/>
      <c r="AD120" s="12"/>
      <c r="AE120" s="12"/>
      <c r="AF120" s="12"/>
      <c r="AG120" s="12"/>
      <c r="AH120" s="12"/>
      <c r="AI120" s="12"/>
      <c r="AJ120" s="12"/>
      <c r="AK120" s="12"/>
      <c r="AL120" s="12"/>
    </row>
    <row r="121" spans="1:38" x14ac:dyDescent="0.3">
      <c r="A121" s="12"/>
      <c r="B121" s="12"/>
      <c r="C121" s="12"/>
      <c r="D121" s="12"/>
      <c r="E121" s="12"/>
      <c r="F121" s="12"/>
      <c r="G121" s="12"/>
      <c r="H121" s="12"/>
      <c r="I121" s="91"/>
      <c r="J121" s="93"/>
      <c r="K121" s="12"/>
      <c r="L121" s="12"/>
      <c r="M121" s="12"/>
      <c r="N121" s="12"/>
      <c r="O121" s="12"/>
      <c r="P121" s="12"/>
      <c r="Q121" s="12"/>
      <c r="R121" s="12"/>
      <c r="S121" s="12"/>
      <c r="T121" s="12"/>
      <c r="U121" s="12"/>
      <c r="V121" s="12"/>
      <c r="W121" s="12"/>
      <c r="X121" s="12"/>
      <c r="Y121" s="12"/>
      <c r="Z121" s="12"/>
      <c r="AA121" s="12"/>
      <c r="AB121" s="12"/>
      <c r="AC121" s="12"/>
      <c r="AD121" s="12"/>
      <c r="AE121" s="12"/>
      <c r="AF121" s="12"/>
      <c r="AG121" s="12"/>
      <c r="AH121" s="12"/>
      <c r="AI121" s="12"/>
      <c r="AJ121" s="12"/>
      <c r="AK121" s="12"/>
      <c r="AL121" s="12"/>
    </row>
    <row r="122" spans="1:38" x14ac:dyDescent="0.3">
      <c r="A122" s="12"/>
      <c r="B122" s="12"/>
      <c r="C122" s="12"/>
      <c r="D122" s="12"/>
      <c r="E122" s="12"/>
      <c r="F122" s="12"/>
      <c r="G122" s="12"/>
      <c r="H122" s="12"/>
      <c r="I122" s="91"/>
      <c r="J122" s="93"/>
      <c r="K122" s="12"/>
      <c r="L122" s="12"/>
      <c r="M122" s="12"/>
      <c r="N122" s="12"/>
      <c r="O122" s="12"/>
      <c r="P122" s="12"/>
      <c r="Q122" s="12"/>
      <c r="R122" s="12"/>
      <c r="S122" s="12"/>
      <c r="T122" s="12"/>
      <c r="U122" s="12"/>
      <c r="V122" s="12"/>
      <c r="W122" s="12"/>
      <c r="X122" s="12"/>
      <c r="Y122" s="12"/>
      <c r="Z122" s="12"/>
      <c r="AA122" s="12"/>
      <c r="AB122" s="12"/>
      <c r="AC122" s="12"/>
      <c r="AD122" s="12"/>
      <c r="AE122" s="12"/>
      <c r="AF122" s="12"/>
      <c r="AG122" s="12"/>
      <c r="AH122" s="12"/>
      <c r="AI122" s="12"/>
      <c r="AJ122" s="12"/>
      <c r="AK122" s="12"/>
      <c r="AL122" s="12"/>
    </row>
    <row r="123" spans="1:38" x14ac:dyDescent="0.3">
      <c r="A123" s="12"/>
      <c r="B123" s="12"/>
      <c r="C123" s="12"/>
      <c r="D123" s="12"/>
      <c r="E123" s="12"/>
      <c r="F123" s="12"/>
      <c r="G123" s="12"/>
      <c r="H123" s="12"/>
      <c r="I123" s="91"/>
      <c r="J123" s="93"/>
      <c r="K123" s="12"/>
      <c r="L123" s="12"/>
      <c r="M123" s="12"/>
      <c r="N123" s="12"/>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row>
    <row r="124" spans="1:38" x14ac:dyDescent="0.3">
      <c r="A124" s="12"/>
      <c r="B124" s="12"/>
      <c r="C124" s="12"/>
      <c r="D124" s="12"/>
      <c r="E124" s="12"/>
      <c r="F124" s="12"/>
      <c r="G124" s="12"/>
      <c r="H124" s="12"/>
      <c r="I124" s="91"/>
      <c r="J124" s="93"/>
      <c r="K124" s="12"/>
      <c r="L124" s="12"/>
      <c r="M124" s="12"/>
      <c r="N124" s="12"/>
      <c r="O124" s="12"/>
      <c r="P124" s="12"/>
      <c r="Q124" s="12"/>
      <c r="R124" s="12"/>
      <c r="S124" s="12"/>
      <c r="T124" s="12"/>
      <c r="U124" s="12"/>
      <c r="V124" s="12"/>
      <c r="W124" s="12"/>
      <c r="X124" s="12"/>
      <c r="Y124" s="12"/>
      <c r="Z124" s="12"/>
      <c r="AA124" s="12"/>
      <c r="AB124" s="12"/>
      <c r="AC124" s="12"/>
      <c r="AD124" s="12"/>
      <c r="AE124" s="12"/>
      <c r="AF124" s="12"/>
      <c r="AG124" s="12"/>
      <c r="AH124" s="12"/>
      <c r="AI124" s="12"/>
      <c r="AJ124" s="12"/>
      <c r="AK124" s="12"/>
      <c r="AL124" s="12"/>
    </row>
    <row r="125" spans="1:38" x14ac:dyDescent="0.3">
      <c r="A125" s="12"/>
      <c r="B125" s="12"/>
      <c r="C125" s="12"/>
      <c r="D125" s="12"/>
      <c r="E125" s="12"/>
      <c r="F125" s="12"/>
      <c r="G125" s="12"/>
      <c r="H125" s="12"/>
      <c r="I125" s="91"/>
      <c r="J125" s="93"/>
      <c r="K125" s="12"/>
      <c r="L125" s="12"/>
      <c r="M125" s="12"/>
      <c r="N125" s="12"/>
      <c r="O125" s="12"/>
      <c r="P125" s="12"/>
      <c r="Q125" s="12"/>
      <c r="R125" s="12"/>
      <c r="S125" s="12"/>
      <c r="T125" s="12"/>
      <c r="U125" s="12"/>
      <c r="V125" s="12"/>
      <c r="W125" s="12"/>
      <c r="X125" s="12"/>
      <c r="Y125" s="12"/>
      <c r="Z125" s="12"/>
      <c r="AA125" s="12"/>
      <c r="AB125" s="12"/>
      <c r="AC125" s="12"/>
      <c r="AD125" s="12"/>
      <c r="AE125" s="12"/>
      <c r="AF125" s="12"/>
      <c r="AG125" s="12"/>
      <c r="AH125" s="12"/>
      <c r="AI125" s="12"/>
      <c r="AJ125" s="12"/>
      <c r="AK125" s="12"/>
      <c r="AL125" s="12"/>
    </row>
    <row r="126" spans="1:38" x14ac:dyDescent="0.3">
      <c r="A126" s="12"/>
      <c r="B126" s="12"/>
      <c r="C126" s="12"/>
      <c r="D126" s="12"/>
      <c r="E126" s="12"/>
      <c r="F126" s="12"/>
      <c r="G126" s="12"/>
      <c r="H126" s="12"/>
      <c r="I126" s="91"/>
      <c r="J126" s="93"/>
      <c r="K126" s="12"/>
      <c r="L126" s="12"/>
      <c r="M126" s="12"/>
      <c r="N126" s="12"/>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c r="AL126" s="12"/>
    </row>
    <row r="127" spans="1:38" x14ac:dyDescent="0.3">
      <c r="A127" s="12"/>
      <c r="B127" s="12"/>
      <c r="C127" s="12"/>
      <c r="D127" s="12"/>
      <c r="E127" s="12"/>
      <c r="F127" s="12"/>
      <c r="G127" s="12"/>
      <c r="H127" s="12"/>
      <c r="I127" s="91"/>
      <c r="J127" s="93"/>
      <c r="K127" s="12"/>
      <c r="L127" s="12"/>
      <c r="M127" s="12"/>
      <c r="N127" s="12"/>
      <c r="O127" s="12"/>
      <c r="P127" s="12"/>
      <c r="Q127" s="12"/>
      <c r="R127" s="12"/>
      <c r="S127" s="12"/>
      <c r="T127" s="12"/>
      <c r="U127" s="12"/>
      <c r="V127" s="12"/>
      <c r="W127" s="12"/>
      <c r="X127" s="12"/>
      <c r="Y127" s="12"/>
      <c r="Z127" s="12"/>
      <c r="AA127" s="12"/>
      <c r="AB127" s="12"/>
      <c r="AC127" s="12"/>
      <c r="AD127" s="12"/>
      <c r="AE127" s="12"/>
      <c r="AF127" s="12"/>
      <c r="AG127" s="12"/>
      <c r="AH127" s="12"/>
      <c r="AI127" s="12"/>
      <c r="AJ127" s="12"/>
      <c r="AK127" s="12"/>
      <c r="AL127" s="12"/>
    </row>
    <row r="128" spans="1:38" ht="16.5" customHeight="1" x14ac:dyDescent="0.3">
      <c r="A128" s="12"/>
      <c r="B128" s="12"/>
      <c r="C128" s="12"/>
      <c r="D128" s="12"/>
      <c r="E128" s="12"/>
      <c r="F128" s="12"/>
      <c r="G128" s="12"/>
      <c r="H128" s="12"/>
      <c r="I128" s="91"/>
      <c r="J128" s="93"/>
      <c r="K128" s="12"/>
      <c r="L128" s="12"/>
      <c r="M128" s="12"/>
      <c r="N128" s="12"/>
      <c r="O128" s="12"/>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row>
    <row r="129" spans="1:38" ht="16.5" customHeight="1" x14ac:dyDescent="0.3">
      <c r="A129" s="12"/>
      <c r="B129" s="12"/>
      <c r="C129" s="12"/>
      <c r="D129" s="12"/>
      <c r="E129" s="12"/>
      <c r="F129" s="12"/>
      <c r="G129" s="12"/>
      <c r="H129" s="12"/>
      <c r="I129" s="91"/>
      <c r="J129" s="93"/>
      <c r="K129" s="12"/>
      <c r="L129" s="12"/>
      <c r="M129" s="12"/>
      <c r="N129" s="12"/>
      <c r="O129" s="12"/>
      <c r="P129" s="12"/>
      <c r="Q129" s="12"/>
      <c r="R129" s="12"/>
      <c r="S129" s="12"/>
      <c r="T129" s="12"/>
      <c r="U129" s="12"/>
      <c r="V129" s="12"/>
      <c r="W129" s="12"/>
      <c r="X129" s="12"/>
      <c r="Y129" s="12"/>
      <c r="Z129" s="12"/>
      <c r="AA129" s="12"/>
      <c r="AB129" s="12"/>
      <c r="AC129" s="12"/>
      <c r="AD129" s="12"/>
      <c r="AE129" s="12"/>
      <c r="AF129" s="12"/>
      <c r="AG129" s="12"/>
      <c r="AH129" s="12"/>
      <c r="AI129" s="12"/>
      <c r="AJ129" s="12"/>
      <c r="AK129" s="12"/>
      <c r="AL129" s="12"/>
    </row>
    <row r="130" spans="1:38" ht="16.5" customHeight="1" x14ac:dyDescent="0.3">
      <c r="A130" s="12"/>
      <c r="B130" s="12"/>
      <c r="C130" s="12"/>
      <c r="D130" s="12"/>
      <c r="E130" s="12"/>
      <c r="F130" s="12"/>
      <c r="G130" s="12"/>
      <c r="H130" s="12"/>
      <c r="I130" s="91"/>
      <c r="J130" s="93"/>
      <c r="K130" s="12"/>
      <c r="L130" s="12"/>
      <c r="M130" s="12"/>
      <c r="N130" s="12"/>
      <c r="O130" s="12"/>
      <c r="P130" s="12"/>
      <c r="Q130" s="12"/>
      <c r="R130" s="12"/>
      <c r="S130" s="12"/>
      <c r="T130" s="12"/>
      <c r="U130" s="12"/>
      <c r="V130" s="12"/>
      <c r="W130" s="12"/>
      <c r="X130" s="12"/>
      <c r="Y130" s="12"/>
      <c r="Z130" s="12"/>
      <c r="AA130" s="12"/>
      <c r="AB130" s="12"/>
      <c r="AC130" s="12"/>
      <c r="AD130" s="12"/>
      <c r="AE130" s="12"/>
      <c r="AF130" s="12"/>
      <c r="AG130" s="12"/>
      <c r="AH130" s="12"/>
      <c r="AI130" s="12"/>
      <c r="AJ130" s="12"/>
      <c r="AK130" s="12"/>
      <c r="AL130" s="12"/>
    </row>
    <row r="131" spans="1:38" ht="16.5" customHeight="1" x14ac:dyDescent="0.3">
      <c r="A131" s="12"/>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row>
    <row r="132" spans="1:38" ht="16.5" customHeight="1" x14ac:dyDescent="0.3">
      <c r="A132" s="12"/>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c r="AA132" s="12"/>
      <c r="AB132" s="12"/>
      <c r="AC132" s="12"/>
      <c r="AD132" s="12"/>
      <c r="AE132" s="12"/>
      <c r="AF132" s="12"/>
      <c r="AG132" s="12"/>
      <c r="AH132" s="12"/>
      <c r="AI132" s="12"/>
      <c r="AJ132" s="12"/>
      <c r="AK132" s="12"/>
      <c r="AL132" s="12"/>
    </row>
    <row r="133" spans="1:38" x14ac:dyDescent="0.3">
      <c r="A133" s="12"/>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c r="AA133" s="12"/>
      <c r="AB133" s="12"/>
      <c r="AC133" s="12"/>
      <c r="AD133" s="12"/>
      <c r="AE133" s="12"/>
      <c r="AF133" s="12"/>
      <c r="AG133" s="12"/>
      <c r="AH133" s="12"/>
      <c r="AI133" s="12"/>
      <c r="AJ133" s="12"/>
      <c r="AK133" s="12"/>
      <c r="AL133" s="12"/>
    </row>
    <row r="134" spans="1:38" x14ac:dyDescent="0.3">
      <c r="A134" s="12"/>
      <c r="B134" s="91"/>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c r="AA134" s="12"/>
      <c r="AB134" s="12"/>
      <c r="AC134" s="12"/>
      <c r="AD134" s="12"/>
      <c r="AE134" s="12"/>
      <c r="AF134" s="12"/>
      <c r="AG134" s="12"/>
      <c r="AH134" s="12"/>
      <c r="AI134" s="12"/>
      <c r="AJ134" s="12"/>
      <c r="AK134" s="12"/>
      <c r="AL134" s="12"/>
    </row>
    <row r="135" spans="1:38" x14ac:dyDescent="0.3">
      <c r="A135" s="12"/>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c r="AA135" s="12"/>
      <c r="AB135" s="12"/>
      <c r="AC135" s="12"/>
      <c r="AD135" s="12"/>
      <c r="AE135" s="12"/>
      <c r="AF135" s="12"/>
      <c r="AG135" s="12"/>
      <c r="AH135" s="12"/>
      <c r="AI135" s="12"/>
      <c r="AJ135" s="12"/>
      <c r="AK135" s="12"/>
      <c r="AL135" s="12"/>
    </row>
    <row r="136" spans="1:38" x14ac:dyDescent="0.3">
      <c r="A136" s="12"/>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c r="AA136" s="12"/>
      <c r="AB136" s="12"/>
      <c r="AC136" s="12"/>
      <c r="AD136" s="12"/>
      <c r="AE136" s="12"/>
      <c r="AF136" s="12"/>
      <c r="AG136" s="12"/>
      <c r="AH136" s="12"/>
      <c r="AI136" s="12"/>
      <c r="AJ136" s="12"/>
      <c r="AK136" s="12"/>
      <c r="AL136" s="12"/>
    </row>
    <row r="137" spans="1:38" x14ac:dyDescent="0.3">
      <c r="A137" s="12"/>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c r="AA137" s="12"/>
      <c r="AB137" s="12"/>
      <c r="AC137" s="12"/>
      <c r="AD137" s="12"/>
      <c r="AE137" s="12"/>
      <c r="AF137" s="12"/>
      <c r="AG137" s="12"/>
      <c r="AH137" s="12"/>
      <c r="AI137" s="12"/>
      <c r="AJ137" s="12"/>
      <c r="AK137" s="12"/>
      <c r="AL137" s="12"/>
    </row>
    <row r="138" spans="1:38" x14ac:dyDescent="0.3">
      <c r="A138" s="12"/>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c r="AA138" s="12"/>
      <c r="AB138" s="12"/>
      <c r="AC138" s="12"/>
      <c r="AD138" s="12"/>
      <c r="AE138" s="12"/>
      <c r="AF138" s="12"/>
      <c r="AG138" s="12"/>
      <c r="AH138" s="12"/>
      <c r="AI138" s="12"/>
      <c r="AJ138" s="12"/>
      <c r="AK138" s="12"/>
      <c r="AL138" s="12"/>
    </row>
    <row r="139" spans="1:38" ht="42" customHeight="1" x14ac:dyDescent="0.3">
      <c r="A139" s="12"/>
      <c r="B139" s="135" t="s">
        <v>400</v>
      </c>
      <c r="C139" s="135"/>
      <c r="D139" s="135"/>
      <c r="E139" s="135"/>
      <c r="F139" s="135"/>
      <c r="G139" s="135"/>
      <c r="H139" s="135"/>
      <c r="I139" s="135"/>
      <c r="J139" s="135"/>
      <c r="K139" s="135"/>
      <c r="L139" s="135"/>
      <c r="M139" s="135"/>
      <c r="N139" s="122"/>
      <c r="O139" s="122"/>
      <c r="P139" s="122"/>
      <c r="Q139" s="12"/>
      <c r="R139" s="12"/>
      <c r="S139" s="12"/>
      <c r="T139" s="12"/>
      <c r="U139" s="12"/>
      <c r="V139" s="12"/>
      <c r="W139" s="12"/>
      <c r="X139" s="12"/>
      <c r="Y139" s="12"/>
      <c r="Z139" s="12"/>
      <c r="AA139" s="12"/>
      <c r="AB139" s="12"/>
      <c r="AC139" s="12"/>
      <c r="AD139" s="12"/>
      <c r="AE139" s="12"/>
      <c r="AF139" s="12"/>
      <c r="AG139" s="12"/>
      <c r="AH139" s="12"/>
      <c r="AI139" s="12"/>
      <c r="AJ139" s="12"/>
      <c r="AK139" s="12"/>
      <c r="AL139" s="12"/>
    </row>
    <row r="140" spans="1:38" x14ac:dyDescent="0.3">
      <c r="A140" s="12"/>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c r="AA140" s="12"/>
      <c r="AB140" s="12"/>
      <c r="AC140" s="12"/>
      <c r="AD140" s="12"/>
      <c r="AE140" s="12"/>
      <c r="AF140" s="12"/>
      <c r="AG140" s="12"/>
      <c r="AH140" s="12"/>
      <c r="AI140" s="12"/>
      <c r="AJ140" s="12"/>
      <c r="AK140" s="12"/>
      <c r="AL140" s="12"/>
    </row>
    <row r="141" spans="1:38" x14ac:dyDescent="0.3">
      <c r="A141" s="12"/>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c r="AA141" s="12"/>
      <c r="AB141" s="12"/>
      <c r="AC141" s="12"/>
      <c r="AD141" s="12"/>
      <c r="AE141" s="12"/>
      <c r="AF141" s="12"/>
      <c r="AG141" s="12"/>
      <c r="AH141" s="12"/>
      <c r="AI141" s="12"/>
      <c r="AJ141" s="12"/>
      <c r="AK141" s="12"/>
      <c r="AL141" s="12"/>
    </row>
    <row r="142" spans="1:38" x14ac:dyDescent="0.3">
      <c r="A142" s="12"/>
      <c r="B142" s="12"/>
      <c r="C142" s="12"/>
      <c r="D142" s="12"/>
      <c r="E142" s="133"/>
      <c r="F142" s="133"/>
      <c r="G142" s="133"/>
      <c r="H142" s="133"/>
      <c r="I142" s="133"/>
      <c r="J142" s="133"/>
      <c r="K142" s="133"/>
      <c r="L142" s="12"/>
      <c r="M142" s="12"/>
      <c r="N142" s="12"/>
      <c r="O142" s="12"/>
      <c r="P142" s="12"/>
      <c r="Q142" s="12"/>
      <c r="R142" s="12"/>
      <c r="S142" s="12"/>
      <c r="T142" s="12"/>
      <c r="U142" s="12"/>
      <c r="V142" s="12"/>
      <c r="W142" s="12"/>
      <c r="X142" s="12"/>
      <c r="Y142" s="12"/>
      <c r="Z142" s="12"/>
      <c r="AA142" s="12"/>
      <c r="AB142" s="12"/>
      <c r="AC142" s="12"/>
      <c r="AD142" s="12"/>
      <c r="AE142" s="12"/>
      <c r="AF142" s="12"/>
      <c r="AG142" s="12"/>
      <c r="AH142" s="12"/>
      <c r="AI142" s="12"/>
      <c r="AJ142" s="12"/>
      <c r="AK142" s="12"/>
      <c r="AL142" s="12"/>
    </row>
    <row r="143" spans="1:38" x14ac:dyDescent="0.3">
      <c r="A143" s="12"/>
      <c r="B143" s="12"/>
      <c r="C143" s="12"/>
      <c r="D143" s="12"/>
      <c r="E143" s="133"/>
      <c r="F143" s="133"/>
      <c r="G143" s="133"/>
      <c r="H143" s="133"/>
      <c r="I143" s="133"/>
      <c r="J143" s="133"/>
      <c r="K143" s="133"/>
      <c r="L143" s="12"/>
      <c r="M143" s="12"/>
      <c r="N143" s="12"/>
      <c r="O143" s="12"/>
      <c r="P143" s="12"/>
      <c r="Q143" s="12"/>
      <c r="R143" s="12"/>
      <c r="S143" s="12"/>
      <c r="T143" s="12"/>
      <c r="U143" s="12"/>
      <c r="V143" s="12"/>
      <c r="W143" s="12"/>
      <c r="X143" s="12"/>
      <c r="Y143" s="12"/>
      <c r="Z143" s="12"/>
      <c r="AA143" s="12"/>
      <c r="AB143" s="12"/>
      <c r="AC143" s="12"/>
      <c r="AD143" s="12"/>
      <c r="AE143" s="12"/>
      <c r="AF143" s="12"/>
      <c r="AG143" s="12"/>
      <c r="AH143" s="12"/>
      <c r="AI143" s="12"/>
      <c r="AJ143" s="12"/>
      <c r="AK143" s="12"/>
      <c r="AL143" s="12"/>
    </row>
    <row r="144" spans="1:38" x14ac:dyDescent="0.3">
      <c r="A144" s="12"/>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c r="AA144" s="12"/>
      <c r="AB144" s="12"/>
      <c r="AC144" s="12"/>
      <c r="AD144" s="12"/>
      <c r="AE144" s="12"/>
      <c r="AF144" s="12"/>
      <c r="AG144" s="12"/>
      <c r="AH144" s="12"/>
      <c r="AI144" s="12"/>
      <c r="AJ144" s="12"/>
      <c r="AK144" s="12"/>
      <c r="AL144" s="12"/>
    </row>
    <row r="145" spans="1:38" x14ac:dyDescent="0.3">
      <c r="A145" s="12"/>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c r="AA145" s="12"/>
      <c r="AB145" s="12"/>
      <c r="AC145" s="12"/>
      <c r="AD145" s="12"/>
      <c r="AE145" s="12"/>
      <c r="AF145" s="12"/>
      <c r="AG145" s="12"/>
      <c r="AH145" s="12"/>
      <c r="AI145" s="12"/>
      <c r="AJ145" s="12"/>
      <c r="AK145" s="12"/>
      <c r="AL145" s="12"/>
    </row>
    <row r="146" spans="1:38" x14ac:dyDescent="0.3">
      <c r="A146" s="12"/>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c r="AA146" s="12"/>
      <c r="AB146" s="12"/>
      <c r="AC146" s="12"/>
      <c r="AD146" s="12"/>
      <c r="AE146" s="12"/>
      <c r="AF146" s="12"/>
      <c r="AG146" s="12"/>
      <c r="AH146" s="12"/>
      <c r="AI146" s="12"/>
      <c r="AJ146" s="12"/>
      <c r="AK146" s="12"/>
      <c r="AL146" s="12"/>
    </row>
    <row r="147" spans="1:38" x14ac:dyDescent="0.3">
      <c r="A147" s="12"/>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c r="AA147" s="12"/>
      <c r="AB147" s="12"/>
      <c r="AC147" s="12"/>
      <c r="AD147" s="12"/>
      <c r="AE147" s="12"/>
      <c r="AF147" s="12"/>
      <c r="AG147" s="12"/>
      <c r="AH147" s="12"/>
      <c r="AI147" s="12"/>
      <c r="AJ147" s="12"/>
      <c r="AK147" s="12"/>
      <c r="AL147" s="12"/>
    </row>
    <row r="148" spans="1:38" x14ac:dyDescent="0.3">
      <c r="A148" s="12"/>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c r="AA148" s="12"/>
      <c r="AB148" s="12"/>
      <c r="AC148" s="12"/>
      <c r="AD148" s="12"/>
      <c r="AE148" s="12"/>
      <c r="AF148" s="12"/>
      <c r="AG148" s="12"/>
      <c r="AH148" s="12"/>
      <c r="AI148" s="12"/>
      <c r="AJ148" s="12"/>
      <c r="AK148" s="12"/>
      <c r="AL148" s="12"/>
    </row>
    <row r="149" spans="1:38" x14ac:dyDescent="0.3">
      <c r="A149" s="12"/>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c r="AA149" s="12"/>
      <c r="AB149" s="12"/>
      <c r="AC149" s="12"/>
      <c r="AD149" s="12"/>
      <c r="AE149" s="12"/>
      <c r="AF149" s="12"/>
      <c r="AG149" s="12"/>
      <c r="AH149" s="12"/>
      <c r="AI149" s="12"/>
      <c r="AJ149" s="12"/>
      <c r="AK149" s="12"/>
      <c r="AL149" s="12"/>
    </row>
    <row r="150" spans="1:38" x14ac:dyDescent="0.3">
      <c r="A150" s="12"/>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c r="AA150" s="12"/>
      <c r="AB150" s="12"/>
      <c r="AC150" s="12"/>
      <c r="AD150" s="12"/>
      <c r="AE150" s="12"/>
      <c r="AF150" s="12"/>
      <c r="AG150" s="12"/>
      <c r="AH150" s="12"/>
      <c r="AI150" s="12"/>
      <c r="AJ150" s="12"/>
      <c r="AK150" s="12"/>
      <c r="AL150" s="12"/>
    </row>
    <row r="151" spans="1:38" x14ac:dyDescent="0.3">
      <c r="A151" s="12"/>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c r="AA151" s="12"/>
      <c r="AB151" s="12"/>
      <c r="AC151" s="12"/>
      <c r="AD151" s="12"/>
      <c r="AE151" s="12"/>
      <c r="AF151" s="12"/>
      <c r="AG151" s="12"/>
      <c r="AH151" s="12"/>
      <c r="AI151" s="12"/>
      <c r="AJ151" s="12"/>
      <c r="AK151" s="12"/>
      <c r="AL151" s="12"/>
    </row>
    <row r="152" spans="1:38" x14ac:dyDescent="0.3">
      <c r="A152" s="12"/>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c r="AA152" s="12"/>
      <c r="AB152" s="12"/>
      <c r="AC152" s="12"/>
      <c r="AD152" s="12"/>
      <c r="AE152" s="12"/>
      <c r="AF152" s="12"/>
      <c r="AG152" s="12"/>
      <c r="AH152" s="12"/>
      <c r="AI152" s="12"/>
      <c r="AJ152" s="12"/>
      <c r="AK152" s="12"/>
      <c r="AL152" s="12"/>
    </row>
    <row r="153" spans="1:38" x14ac:dyDescent="0.3">
      <c r="A153" s="12"/>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c r="AA153" s="12"/>
      <c r="AB153" s="12"/>
      <c r="AC153" s="12"/>
      <c r="AD153" s="12"/>
      <c r="AE153" s="12"/>
      <c r="AF153" s="12"/>
      <c r="AG153" s="12"/>
      <c r="AH153" s="12"/>
      <c r="AI153" s="12"/>
      <c r="AJ153" s="12"/>
      <c r="AK153" s="12"/>
      <c r="AL153" s="12"/>
    </row>
    <row r="154" spans="1:38" x14ac:dyDescent="0.3">
      <c r="A154" s="12"/>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c r="AA154" s="12"/>
      <c r="AB154" s="12"/>
      <c r="AC154" s="12"/>
      <c r="AD154" s="12"/>
      <c r="AE154" s="12"/>
      <c r="AF154" s="12"/>
      <c r="AG154" s="12"/>
      <c r="AH154" s="12"/>
      <c r="AI154" s="12"/>
      <c r="AJ154" s="12"/>
      <c r="AK154" s="12"/>
      <c r="AL154" s="12"/>
    </row>
    <row r="155" spans="1:38" x14ac:dyDescent="0.3">
      <c r="A155" s="12"/>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c r="AA155" s="12"/>
      <c r="AB155" s="12"/>
      <c r="AC155" s="12"/>
      <c r="AD155" s="12"/>
      <c r="AE155" s="12"/>
      <c r="AF155" s="12"/>
      <c r="AG155" s="12"/>
      <c r="AH155" s="12"/>
      <c r="AI155" s="12"/>
      <c r="AJ155" s="12"/>
      <c r="AK155" s="12"/>
      <c r="AL155" s="12"/>
    </row>
    <row r="156" spans="1:38" x14ac:dyDescent="0.3">
      <c r="A156" s="12"/>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c r="AA156" s="12"/>
      <c r="AB156" s="12"/>
      <c r="AC156" s="12"/>
      <c r="AD156" s="12"/>
      <c r="AE156" s="12"/>
      <c r="AF156" s="12"/>
      <c r="AG156" s="12"/>
      <c r="AH156" s="12"/>
      <c r="AI156" s="12"/>
      <c r="AJ156" s="12"/>
      <c r="AK156" s="12"/>
      <c r="AL156" s="12"/>
    </row>
    <row r="157" spans="1:38" x14ac:dyDescent="0.3">
      <c r="A157" s="12"/>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c r="AA157" s="12"/>
      <c r="AB157" s="12"/>
      <c r="AC157" s="12"/>
      <c r="AD157" s="12"/>
      <c r="AE157" s="12"/>
      <c r="AF157" s="12"/>
      <c r="AG157" s="12"/>
      <c r="AH157" s="12"/>
      <c r="AI157" s="12"/>
      <c r="AJ157" s="12"/>
      <c r="AK157" s="12"/>
      <c r="AL157" s="12"/>
    </row>
    <row r="158" spans="1:38" x14ac:dyDescent="0.3">
      <c r="A158" s="12"/>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c r="AA158" s="12"/>
      <c r="AB158" s="12"/>
      <c r="AC158" s="12"/>
      <c r="AD158" s="12"/>
      <c r="AE158" s="12"/>
      <c r="AF158" s="12"/>
      <c r="AG158" s="12"/>
      <c r="AH158" s="12"/>
      <c r="AI158" s="12"/>
      <c r="AJ158" s="12"/>
      <c r="AK158" s="12"/>
      <c r="AL158" s="12"/>
    </row>
    <row r="159" spans="1:38" x14ac:dyDescent="0.3">
      <c r="A159" s="12"/>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c r="AA159" s="12"/>
      <c r="AB159" s="12"/>
      <c r="AC159" s="12"/>
      <c r="AD159" s="12"/>
      <c r="AE159" s="12"/>
      <c r="AF159" s="12"/>
      <c r="AG159" s="12"/>
      <c r="AH159" s="12"/>
      <c r="AI159" s="12"/>
      <c r="AJ159" s="12"/>
      <c r="AK159" s="12"/>
      <c r="AL159" s="12"/>
    </row>
    <row r="160" spans="1:38" x14ac:dyDescent="0.3">
      <c r="A160" s="12"/>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c r="AA160" s="12"/>
      <c r="AB160" s="12"/>
      <c r="AC160" s="12"/>
      <c r="AD160" s="12"/>
      <c r="AE160" s="12"/>
      <c r="AF160" s="12"/>
      <c r="AG160" s="12"/>
      <c r="AH160" s="12"/>
      <c r="AI160" s="12"/>
      <c r="AJ160" s="12"/>
      <c r="AK160" s="12"/>
      <c r="AL160" s="12"/>
    </row>
    <row r="161" spans="1:38" x14ac:dyDescent="0.3">
      <c r="A161" s="12"/>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c r="AA161" s="12"/>
      <c r="AB161" s="12"/>
      <c r="AC161" s="12"/>
      <c r="AD161" s="12"/>
      <c r="AE161" s="12"/>
      <c r="AF161" s="12"/>
      <c r="AG161" s="12"/>
      <c r="AH161" s="12"/>
      <c r="AI161" s="12"/>
      <c r="AJ161" s="12"/>
      <c r="AK161" s="12"/>
      <c r="AL161" s="12"/>
    </row>
    <row r="162" spans="1:38" x14ac:dyDescent="0.3">
      <c r="A162" s="12"/>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c r="AA162" s="12"/>
      <c r="AB162" s="12"/>
      <c r="AC162" s="12"/>
      <c r="AD162" s="12"/>
      <c r="AE162" s="12"/>
      <c r="AF162" s="12"/>
      <c r="AG162" s="12"/>
      <c r="AH162" s="12"/>
      <c r="AI162" s="12"/>
      <c r="AJ162" s="12"/>
      <c r="AK162" s="12"/>
      <c r="AL162" s="12"/>
    </row>
    <row r="163" spans="1:38" x14ac:dyDescent="0.3">
      <c r="A163" s="12"/>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c r="AA163" s="12"/>
      <c r="AB163" s="12"/>
      <c r="AC163" s="12"/>
      <c r="AD163" s="12"/>
      <c r="AE163" s="12"/>
      <c r="AF163" s="12"/>
      <c r="AG163" s="12"/>
      <c r="AH163" s="12"/>
      <c r="AI163" s="12"/>
      <c r="AJ163" s="12"/>
      <c r="AK163" s="12"/>
      <c r="AL163" s="12"/>
    </row>
    <row r="164" spans="1:38" x14ac:dyDescent="0.3">
      <c r="A164" s="12"/>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c r="AA164" s="12"/>
      <c r="AB164" s="12"/>
      <c r="AC164" s="12"/>
      <c r="AD164" s="12"/>
      <c r="AE164" s="12"/>
      <c r="AF164" s="12"/>
      <c r="AG164" s="12"/>
      <c r="AH164" s="12"/>
      <c r="AI164" s="12"/>
      <c r="AJ164" s="12"/>
      <c r="AK164" s="12"/>
      <c r="AL164" s="12"/>
    </row>
    <row r="165" spans="1:38" x14ac:dyDescent="0.3">
      <c r="A165" s="12"/>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c r="AA165" s="12"/>
      <c r="AB165" s="12"/>
      <c r="AC165" s="12"/>
      <c r="AD165" s="12"/>
      <c r="AE165" s="12"/>
      <c r="AF165" s="12"/>
      <c r="AG165" s="12"/>
      <c r="AH165" s="12"/>
      <c r="AI165" s="12"/>
      <c r="AJ165" s="12"/>
      <c r="AK165" s="12"/>
      <c r="AL165" s="12"/>
    </row>
    <row r="166" spans="1:38" x14ac:dyDescent="0.3">
      <c r="A166" s="12"/>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c r="AA166" s="12"/>
      <c r="AB166" s="12"/>
      <c r="AC166" s="12"/>
      <c r="AD166" s="12"/>
      <c r="AE166" s="12"/>
      <c r="AF166" s="12"/>
      <c r="AG166" s="12"/>
      <c r="AH166" s="12"/>
      <c r="AI166" s="12"/>
      <c r="AJ166" s="12"/>
      <c r="AK166" s="12"/>
      <c r="AL166" s="12"/>
    </row>
    <row r="167" spans="1:38" x14ac:dyDescent="0.3">
      <c r="A167" s="12"/>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row>
    <row r="168" spans="1:38" x14ac:dyDescent="0.3">
      <c r="A168" s="12"/>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c r="AA168" s="12"/>
      <c r="AB168" s="12"/>
      <c r="AC168" s="12"/>
      <c r="AD168" s="12"/>
      <c r="AE168" s="12"/>
      <c r="AF168" s="12"/>
      <c r="AG168" s="12"/>
      <c r="AH168" s="12"/>
      <c r="AI168" s="12"/>
      <c r="AJ168" s="12"/>
      <c r="AK168" s="12"/>
      <c r="AL168" s="12"/>
    </row>
    <row r="169" spans="1:38" x14ac:dyDescent="0.3">
      <c r="A169" s="12"/>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c r="AA169" s="12"/>
      <c r="AB169" s="12"/>
      <c r="AC169" s="12"/>
      <c r="AD169" s="12"/>
      <c r="AE169" s="12"/>
      <c r="AF169" s="12"/>
      <c r="AG169" s="12"/>
      <c r="AH169" s="12"/>
      <c r="AI169" s="12"/>
      <c r="AJ169" s="12"/>
      <c r="AK169" s="12"/>
      <c r="AL169" s="12"/>
    </row>
    <row r="170" spans="1:38" x14ac:dyDescent="0.3">
      <c r="A170" s="12"/>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c r="AA170" s="12"/>
      <c r="AB170" s="12"/>
      <c r="AC170" s="12"/>
      <c r="AD170" s="12"/>
      <c r="AE170" s="12"/>
      <c r="AF170" s="12"/>
      <c r="AG170" s="12"/>
      <c r="AH170" s="12"/>
      <c r="AI170" s="12"/>
      <c r="AJ170" s="12"/>
      <c r="AK170" s="12"/>
      <c r="AL170" s="12"/>
    </row>
    <row r="171" spans="1:38" x14ac:dyDescent="0.3">
      <c r="A171" s="12"/>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c r="AA171" s="12"/>
      <c r="AB171" s="12"/>
      <c r="AC171" s="12"/>
      <c r="AD171" s="12"/>
      <c r="AE171" s="12"/>
      <c r="AF171" s="12"/>
      <c r="AG171" s="12"/>
      <c r="AH171" s="12"/>
      <c r="AI171" s="12"/>
      <c r="AJ171" s="12"/>
      <c r="AK171" s="12"/>
      <c r="AL171" s="12"/>
    </row>
    <row r="172" spans="1:38" x14ac:dyDescent="0.3">
      <c r="A172" s="12"/>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c r="AA172" s="12"/>
      <c r="AB172" s="12"/>
      <c r="AC172" s="12"/>
      <c r="AD172" s="12"/>
      <c r="AE172" s="12"/>
      <c r="AF172" s="12"/>
      <c r="AG172" s="12"/>
      <c r="AH172" s="12"/>
      <c r="AI172" s="12"/>
      <c r="AJ172" s="12"/>
      <c r="AK172" s="12"/>
      <c r="AL172" s="12"/>
    </row>
    <row r="173" spans="1:38" x14ac:dyDescent="0.3">
      <c r="A173" s="12"/>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c r="AA173" s="12"/>
      <c r="AB173" s="12"/>
      <c r="AC173" s="12"/>
      <c r="AD173" s="12"/>
      <c r="AE173" s="12"/>
      <c r="AF173" s="12"/>
      <c r="AG173" s="12"/>
      <c r="AH173" s="12"/>
      <c r="AI173" s="12"/>
      <c r="AJ173" s="12"/>
      <c r="AK173" s="12"/>
      <c r="AL173" s="12"/>
    </row>
    <row r="174" spans="1:38" x14ac:dyDescent="0.3">
      <c r="A174" s="12"/>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c r="AA174" s="12"/>
      <c r="AB174" s="12"/>
      <c r="AC174" s="12"/>
      <c r="AD174" s="12"/>
      <c r="AE174" s="12"/>
      <c r="AF174" s="12"/>
      <c r="AG174" s="12"/>
      <c r="AH174" s="12"/>
      <c r="AI174" s="12"/>
      <c r="AJ174" s="12"/>
      <c r="AK174" s="12"/>
      <c r="AL174" s="12"/>
    </row>
    <row r="175" spans="1:38" x14ac:dyDescent="0.3">
      <c r="A175" s="12"/>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c r="AA175" s="12"/>
      <c r="AB175" s="12"/>
      <c r="AC175" s="12"/>
      <c r="AD175" s="12"/>
      <c r="AE175" s="12"/>
      <c r="AF175" s="12"/>
      <c r="AG175" s="12"/>
      <c r="AH175" s="12"/>
      <c r="AI175" s="12"/>
      <c r="AJ175" s="12"/>
      <c r="AK175" s="12"/>
      <c r="AL175" s="12"/>
    </row>
    <row r="176" spans="1:38" x14ac:dyDescent="0.3">
      <c r="A176" s="12"/>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c r="AA176" s="12"/>
      <c r="AB176" s="12"/>
      <c r="AC176" s="12"/>
      <c r="AD176" s="12"/>
      <c r="AE176" s="12"/>
      <c r="AF176" s="12"/>
      <c r="AG176" s="12"/>
      <c r="AH176" s="12"/>
      <c r="AI176" s="12"/>
      <c r="AJ176" s="12"/>
      <c r="AK176" s="12"/>
      <c r="AL176" s="12"/>
    </row>
    <row r="177" spans="1:38" x14ac:dyDescent="0.3">
      <c r="A177" s="12"/>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c r="AA177" s="12"/>
      <c r="AB177" s="12"/>
      <c r="AC177" s="12"/>
      <c r="AD177" s="12"/>
      <c r="AE177" s="12"/>
      <c r="AF177" s="12"/>
      <c r="AG177" s="12"/>
      <c r="AH177" s="12"/>
      <c r="AI177" s="12"/>
      <c r="AJ177" s="12"/>
      <c r="AK177" s="12"/>
      <c r="AL177" s="12"/>
    </row>
    <row r="178" spans="1:38" x14ac:dyDescent="0.3">
      <c r="A178" s="12"/>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c r="AA178" s="12"/>
      <c r="AB178" s="12"/>
      <c r="AC178" s="12"/>
      <c r="AD178" s="12"/>
      <c r="AE178" s="12"/>
      <c r="AF178" s="12"/>
      <c r="AG178" s="12"/>
      <c r="AH178" s="12"/>
      <c r="AI178" s="12"/>
      <c r="AJ178" s="12"/>
      <c r="AK178" s="12"/>
      <c r="AL178" s="12"/>
    </row>
    <row r="179" spans="1:38" x14ac:dyDescent="0.3">
      <c r="A179" s="12"/>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c r="AA179" s="12"/>
      <c r="AB179" s="12"/>
      <c r="AC179" s="12"/>
      <c r="AD179" s="12"/>
      <c r="AE179" s="12"/>
      <c r="AF179" s="12"/>
      <c r="AG179" s="12"/>
      <c r="AH179" s="12"/>
      <c r="AI179" s="12"/>
      <c r="AJ179" s="12"/>
      <c r="AK179" s="12"/>
      <c r="AL179" s="12"/>
    </row>
    <row r="180" spans="1:38" x14ac:dyDescent="0.3">
      <c r="A180" s="12"/>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c r="AA180" s="12"/>
      <c r="AB180" s="12"/>
      <c r="AC180" s="12"/>
      <c r="AD180" s="12"/>
      <c r="AE180" s="12"/>
      <c r="AF180" s="12"/>
      <c r="AG180" s="12"/>
      <c r="AH180" s="12"/>
      <c r="AI180" s="12"/>
      <c r="AJ180" s="12"/>
      <c r="AK180" s="12"/>
      <c r="AL180" s="12"/>
    </row>
    <row r="181" spans="1:38" x14ac:dyDescent="0.3">
      <c r="A181" s="12"/>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c r="AA181" s="12"/>
      <c r="AB181" s="12"/>
      <c r="AC181" s="12"/>
      <c r="AD181" s="12"/>
      <c r="AE181" s="12"/>
      <c r="AF181" s="12"/>
      <c r="AG181" s="12"/>
      <c r="AH181" s="12"/>
      <c r="AI181" s="12"/>
      <c r="AJ181" s="12"/>
      <c r="AK181" s="12"/>
      <c r="AL181" s="12"/>
    </row>
    <row r="182" spans="1:38" x14ac:dyDescent="0.3">
      <c r="A182" s="12"/>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c r="AA182" s="12"/>
      <c r="AB182" s="12"/>
      <c r="AC182" s="12"/>
      <c r="AD182" s="12"/>
      <c r="AE182" s="12"/>
      <c r="AF182" s="12"/>
      <c r="AG182" s="12"/>
      <c r="AH182" s="12"/>
      <c r="AI182" s="12"/>
      <c r="AJ182" s="12"/>
      <c r="AK182" s="12"/>
      <c r="AL182" s="12"/>
    </row>
    <row r="183" spans="1:38" x14ac:dyDescent="0.3">
      <c r="A183" s="12"/>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c r="AA183" s="12"/>
      <c r="AB183" s="12"/>
      <c r="AC183" s="12"/>
      <c r="AD183" s="12"/>
      <c r="AE183" s="12"/>
      <c r="AF183" s="12"/>
      <c r="AG183" s="12"/>
      <c r="AH183" s="12"/>
      <c r="AI183" s="12"/>
      <c r="AJ183" s="12"/>
      <c r="AK183" s="12"/>
      <c r="AL183" s="12"/>
    </row>
    <row r="184" spans="1:38" x14ac:dyDescent="0.3">
      <c r="A184" s="12"/>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c r="AA184" s="12"/>
      <c r="AB184" s="12"/>
      <c r="AC184" s="12"/>
      <c r="AD184" s="12"/>
      <c r="AE184" s="12"/>
      <c r="AF184" s="12"/>
      <c r="AG184" s="12"/>
      <c r="AH184" s="12"/>
      <c r="AI184" s="12"/>
      <c r="AJ184" s="12"/>
      <c r="AK184" s="12"/>
      <c r="AL184" s="12"/>
    </row>
    <row r="185" spans="1:38" x14ac:dyDescent="0.3">
      <c r="A185" s="12"/>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c r="AA185" s="12"/>
      <c r="AB185" s="12"/>
      <c r="AC185" s="12"/>
      <c r="AD185" s="12"/>
      <c r="AE185" s="12"/>
      <c r="AF185" s="12"/>
      <c r="AG185" s="12"/>
      <c r="AH185" s="12"/>
      <c r="AI185" s="12"/>
      <c r="AJ185" s="12"/>
      <c r="AK185" s="12"/>
      <c r="AL185" s="12"/>
    </row>
    <row r="186" spans="1:38" x14ac:dyDescent="0.3">
      <c r="A186" s="12"/>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c r="AA186" s="12"/>
      <c r="AB186" s="12"/>
      <c r="AC186" s="12"/>
      <c r="AD186" s="12"/>
      <c r="AE186" s="12"/>
      <c r="AF186" s="12"/>
      <c r="AG186" s="12"/>
      <c r="AH186" s="12"/>
      <c r="AI186" s="12"/>
      <c r="AJ186" s="12"/>
      <c r="AK186" s="12"/>
      <c r="AL186" s="12"/>
    </row>
    <row r="187" spans="1:38" x14ac:dyDescent="0.3">
      <c r="A187" s="12"/>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c r="AA187" s="12"/>
      <c r="AB187" s="12"/>
      <c r="AC187" s="12"/>
      <c r="AD187" s="12"/>
      <c r="AE187" s="12"/>
      <c r="AF187" s="12"/>
      <c r="AG187" s="12"/>
      <c r="AH187" s="12"/>
      <c r="AI187" s="12"/>
      <c r="AJ187" s="12"/>
      <c r="AK187" s="12"/>
      <c r="AL187" s="12"/>
    </row>
    <row r="188" spans="1:38" x14ac:dyDescent="0.3">
      <c r="A188" s="12"/>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c r="AA188" s="12"/>
      <c r="AB188" s="12"/>
      <c r="AC188" s="12"/>
      <c r="AD188" s="12"/>
      <c r="AE188" s="12"/>
      <c r="AF188" s="12"/>
      <c r="AG188" s="12"/>
      <c r="AH188" s="12"/>
      <c r="AI188" s="12"/>
      <c r="AJ188" s="12"/>
      <c r="AK188" s="12"/>
      <c r="AL188" s="12"/>
    </row>
    <row r="189" spans="1:38" x14ac:dyDescent="0.3">
      <c r="A189" s="12"/>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c r="AA189" s="12"/>
      <c r="AB189" s="12"/>
      <c r="AC189" s="12"/>
      <c r="AD189" s="12"/>
      <c r="AE189" s="12"/>
      <c r="AF189" s="12"/>
      <c r="AG189" s="12"/>
      <c r="AH189" s="12"/>
      <c r="AI189" s="12"/>
      <c r="AJ189" s="12"/>
      <c r="AK189" s="12"/>
      <c r="AL189" s="12"/>
    </row>
    <row r="190" spans="1:38" x14ac:dyDescent="0.3">
      <c r="A190" s="12"/>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c r="AA190" s="12"/>
      <c r="AB190" s="12"/>
      <c r="AC190" s="12"/>
      <c r="AD190" s="12"/>
      <c r="AE190" s="12"/>
      <c r="AF190" s="12"/>
      <c r="AG190" s="12"/>
      <c r="AH190" s="12"/>
      <c r="AI190" s="12"/>
      <c r="AJ190" s="12"/>
      <c r="AK190" s="12"/>
      <c r="AL190" s="12"/>
    </row>
    <row r="191" spans="1:38" x14ac:dyDescent="0.3">
      <c r="A191" s="12"/>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c r="AA191" s="12"/>
      <c r="AB191" s="12"/>
      <c r="AC191" s="12"/>
      <c r="AD191" s="12"/>
      <c r="AE191" s="12"/>
      <c r="AF191" s="12"/>
      <c r="AG191" s="12"/>
      <c r="AH191" s="12"/>
      <c r="AI191" s="12"/>
      <c r="AJ191" s="12"/>
      <c r="AK191" s="12"/>
      <c r="AL191" s="12"/>
    </row>
    <row r="192" spans="1:38" x14ac:dyDescent="0.3">
      <c r="A192" s="12"/>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c r="AA192" s="12"/>
      <c r="AB192" s="12"/>
      <c r="AC192" s="12"/>
      <c r="AD192" s="12"/>
      <c r="AE192" s="12"/>
      <c r="AF192" s="12"/>
      <c r="AG192" s="12"/>
      <c r="AH192" s="12"/>
      <c r="AI192" s="12"/>
      <c r="AJ192" s="12"/>
      <c r="AK192" s="12"/>
      <c r="AL192" s="12"/>
    </row>
    <row r="193" spans="1:38" x14ac:dyDescent="0.3">
      <c r="A193" s="12"/>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c r="AA193" s="12"/>
      <c r="AB193" s="12"/>
      <c r="AC193" s="12"/>
      <c r="AD193" s="12"/>
      <c r="AE193" s="12"/>
      <c r="AF193" s="12"/>
      <c r="AG193" s="12"/>
      <c r="AH193" s="12"/>
      <c r="AI193" s="12"/>
      <c r="AJ193" s="12"/>
      <c r="AK193" s="12"/>
      <c r="AL193" s="12"/>
    </row>
    <row r="194" spans="1:38" x14ac:dyDescent="0.3">
      <c r="A194" s="12"/>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c r="AA194" s="12"/>
      <c r="AB194" s="12"/>
      <c r="AC194" s="12"/>
      <c r="AD194" s="12"/>
      <c r="AE194" s="12"/>
      <c r="AF194" s="12"/>
      <c r="AG194" s="12"/>
      <c r="AH194" s="12"/>
      <c r="AI194" s="12"/>
      <c r="AJ194" s="12"/>
      <c r="AK194" s="12"/>
      <c r="AL194" s="12"/>
    </row>
    <row r="195" spans="1:38" x14ac:dyDescent="0.3">
      <c r="A195" s="12"/>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c r="AA195" s="12"/>
      <c r="AB195" s="12"/>
      <c r="AC195" s="12"/>
      <c r="AD195" s="12"/>
      <c r="AE195" s="12"/>
      <c r="AF195" s="12"/>
      <c r="AG195" s="12"/>
      <c r="AH195" s="12"/>
      <c r="AI195" s="12"/>
      <c r="AJ195" s="12"/>
      <c r="AK195" s="12"/>
      <c r="AL195" s="12"/>
    </row>
    <row r="196" spans="1:38" x14ac:dyDescent="0.3">
      <c r="A196" s="12"/>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c r="AA196" s="12"/>
      <c r="AB196" s="12"/>
      <c r="AC196" s="12"/>
      <c r="AD196" s="12"/>
      <c r="AE196" s="12"/>
      <c r="AF196" s="12"/>
      <c r="AG196" s="12"/>
      <c r="AH196" s="12"/>
      <c r="AI196" s="12"/>
      <c r="AJ196" s="12"/>
      <c r="AK196" s="12"/>
      <c r="AL196" s="12"/>
    </row>
    <row r="197" spans="1:38" x14ac:dyDescent="0.3">
      <c r="A197" s="12"/>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c r="AA197" s="12"/>
      <c r="AB197" s="12"/>
      <c r="AC197" s="12"/>
      <c r="AD197" s="12"/>
      <c r="AE197" s="12"/>
      <c r="AF197" s="12"/>
      <c r="AG197" s="12"/>
      <c r="AH197" s="12"/>
      <c r="AI197" s="12"/>
      <c r="AJ197" s="12"/>
      <c r="AK197" s="12"/>
      <c r="AL197" s="12"/>
    </row>
    <row r="198" spans="1:38" x14ac:dyDescent="0.3">
      <c r="A198" s="12"/>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c r="AA198" s="12"/>
      <c r="AB198" s="12"/>
      <c r="AC198" s="12"/>
      <c r="AD198" s="12"/>
      <c r="AE198" s="12"/>
      <c r="AF198" s="12"/>
      <c r="AG198" s="12"/>
      <c r="AH198" s="12"/>
      <c r="AI198" s="12"/>
      <c r="AJ198" s="12"/>
      <c r="AK198" s="12"/>
      <c r="AL198" s="12"/>
    </row>
    <row r="199" spans="1:38" x14ac:dyDescent="0.3">
      <c r="A199" s="12"/>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c r="AA199" s="12"/>
      <c r="AB199" s="12"/>
      <c r="AC199" s="12"/>
      <c r="AD199" s="12"/>
      <c r="AE199" s="12"/>
      <c r="AF199" s="12"/>
      <c r="AG199" s="12"/>
      <c r="AH199" s="12"/>
      <c r="AI199" s="12"/>
      <c r="AJ199" s="12"/>
      <c r="AK199" s="12"/>
      <c r="AL199" s="12"/>
    </row>
    <row r="200" spans="1:38" x14ac:dyDescent="0.3">
      <c r="A200" s="12"/>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c r="AA200" s="12"/>
      <c r="AB200" s="12"/>
      <c r="AC200" s="12"/>
      <c r="AD200" s="12"/>
      <c r="AE200" s="12"/>
      <c r="AF200" s="12"/>
      <c r="AG200" s="12"/>
      <c r="AH200" s="12"/>
      <c r="AI200" s="12"/>
      <c r="AJ200" s="12"/>
      <c r="AK200" s="12"/>
      <c r="AL200" s="12"/>
    </row>
    <row r="201" spans="1:38" x14ac:dyDescent="0.3">
      <c r="A201" s="12"/>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c r="AA201" s="12"/>
      <c r="AB201" s="12"/>
      <c r="AC201" s="12"/>
      <c r="AD201" s="12"/>
      <c r="AE201" s="12"/>
      <c r="AF201" s="12"/>
      <c r="AG201" s="12"/>
      <c r="AH201" s="12"/>
      <c r="AI201" s="12"/>
      <c r="AJ201" s="12"/>
      <c r="AK201" s="12"/>
      <c r="AL201" s="12"/>
    </row>
    <row r="202" spans="1:38" x14ac:dyDescent="0.3">
      <c r="A202" s="12"/>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c r="AA202" s="12"/>
      <c r="AB202" s="12"/>
      <c r="AC202" s="12"/>
      <c r="AD202" s="12"/>
      <c r="AE202" s="12"/>
      <c r="AF202" s="12"/>
      <c r="AG202" s="12"/>
      <c r="AH202" s="12"/>
      <c r="AI202" s="12"/>
      <c r="AJ202" s="12"/>
      <c r="AK202" s="12"/>
      <c r="AL202" s="12"/>
    </row>
    <row r="203" spans="1:38" x14ac:dyDescent="0.3">
      <c r="A203" s="12"/>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c r="AA203" s="12"/>
      <c r="AB203" s="12"/>
      <c r="AC203" s="12"/>
      <c r="AD203" s="12"/>
      <c r="AE203" s="12"/>
      <c r="AF203" s="12"/>
      <c r="AG203" s="12"/>
      <c r="AH203" s="12"/>
      <c r="AI203" s="12"/>
      <c r="AJ203" s="12"/>
      <c r="AK203" s="12"/>
      <c r="AL203" s="12"/>
    </row>
    <row r="204" spans="1:38" x14ac:dyDescent="0.3">
      <c r="A204" s="12"/>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c r="AA204" s="12"/>
      <c r="AB204" s="12"/>
      <c r="AC204" s="12"/>
      <c r="AD204" s="12"/>
      <c r="AE204" s="12"/>
      <c r="AF204" s="12"/>
      <c r="AG204" s="12"/>
      <c r="AH204" s="12"/>
      <c r="AI204" s="12"/>
      <c r="AJ204" s="12"/>
      <c r="AK204" s="12"/>
      <c r="AL204" s="12"/>
    </row>
    <row r="205" spans="1:38" x14ac:dyDescent="0.3">
      <c r="A205" s="12"/>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c r="AA205" s="12"/>
      <c r="AB205" s="12"/>
      <c r="AC205" s="12"/>
      <c r="AD205" s="12"/>
      <c r="AE205" s="12"/>
      <c r="AF205" s="12"/>
      <c r="AG205" s="12"/>
      <c r="AH205" s="12"/>
      <c r="AI205" s="12"/>
      <c r="AJ205" s="12"/>
      <c r="AK205" s="12"/>
      <c r="AL205" s="12"/>
    </row>
    <row r="206" spans="1:38" x14ac:dyDescent="0.3">
      <c r="A206" s="12"/>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c r="AA206" s="12"/>
      <c r="AB206" s="12"/>
      <c r="AC206" s="12"/>
      <c r="AD206" s="12"/>
      <c r="AE206" s="12"/>
      <c r="AF206" s="12"/>
      <c r="AG206" s="12"/>
      <c r="AH206" s="12"/>
      <c r="AI206" s="12"/>
      <c r="AJ206" s="12"/>
      <c r="AK206" s="12"/>
      <c r="AL206" s="12"/>
    </row>
    <row r="207" spans="1:38" x14ac:dyDescent="0.3">
      <c r="A207" s="12"/>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c r="AA207" s="12"/>
      <c r="AB207" s="12"/>
      <c r="AC207" s="12"/>
      <c r="AD207" s="12"/>
      <c r="AE207" s="12"/>
      <c r="AF207" s="12"/>
      <c r="AG207" s="12"/>
      <c r="AH207" s="12"/>
      <c r="AI207" s="12"/>
      <c r="AJ207" s="12"/>
      <c r="AK207" s="12"/>
      <c r="AL207" s="12"/>
    </row>
    <row r="208" spans="1:38" x14ac:dyDescent="0.3">
      <c r="A208" s="12"/>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c r="AA208" s="12"/>
      <c r="AB208" s="12"/>
      <c r="AC208" s="12"/>
      <c r="AD208" s="12"/>
      <c r="AE208" s="12"/>
      <c r="AF208" s="12"/>
      <c r="AG208" s="12"/>
      <c r="AH208" s="12"/>
      <c r="AI208" s="12"/>
      <c r="AJ208" s="12"/>
      <c r="AK208" s="12"/>
      <c r="AL208" s="12"/>
    </row>
    <row r="209" spans="1:38" x14ac:dyDescent="0.3">
      <c r="A209" s="12"/>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row>
    <row r="210" spans="1:38" x14ac:dyDescent="0.3">
      <c r="A210" s="12"/>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row>
    <row r="211" spans="1:38" x14ac:dyDescent="0.3">
      <c r="A211" s="12"/>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row>
    <row r="212" spans="1:38" x14ac:dyDescent="0.3">
      <c r="A212" s="12"/>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row>
    <row r="213" spans="1:38" x14ac:dyDescent="0.3">
      <c r="A213" s="12"/>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c r="AA213" s="12"/>
      <c r="AB213" s="12"/>
      <c r="AC213" s="12"/>
      <c r="AD213" s="12"/>
      <c r="AE213" s="12"/>
      <c r="AF213" s="12"/>
      <c r="AG213" s="12"/>
      <c r="AH213" s="12"/>
      <c r="AI213" s="12"/>
      <c r="AJ213" s="12"/>
      <c r="AK213" s="12"/>
      <c r="AL213" s="12"/>
    </row>
    <row r="214" spans="1:38" x14ac:dyDescent="0.3">
      <c r="A214" s="12"/>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c r="AA214" s="12"/>
      <c r="AB214" s="12"/>
      <c r="AC214" s="12"/>
      <c r="AD214" s="12"/>
      <c r="AE214" s="12"/>
      <c r="AF214" s="12"/>
      <c r="AG214" s="12"/>
      <c r="AH214" s="12"/>
      <c r="AI214" s="12"/>
      <c r="AJ214" s="12"/>
      <c r="AK214" s="12"/>
      <c r="AL214" s="12"/>
    </row>
    <row r="215" spans="1:38" x14ac:dyDescent="0.3">
      <c r="A215" s="12"/>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c r="AA215" s="12"/>
      <c r="AB215" s="12"/>
      <c r="AC215" s="12"/>
      <c r="AD215" s="12"/>
      <c r="AE215" s="12"/>
      <c r="AF215" s="12"/>
      <c r="AG215" s="12"/>
      <c r="AH215" s="12"/>
      <c r="AI215" s="12"/>
      <c r="AJ215" s="12"/>
      <c r="AK215" s="12"/>
      <c r="AL215" s="12"/>
    </row>
    <row r="216" spans="1:38" x14ac:dyDescent="0.3">
      <c r="A216" s="12"/>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c r="AA216" s="12"/>
      <c r="AB216" s="12"/>
      <c r="AC216" s="12"/>
      <c r="AD216" s="12"/>
      <c r="AE216" s="12"/>
      <c r="AF216" s="12"/>
      <c r="AG216" s="12"/>
      <c r="AH216" s="12"/>
      <c r="AI216" s="12"/>
      <c r="AJ216" s="12"/>
      <c r="AK216" s="12"/>
      <c r="AL216" s="12"/>
    </row>
    <row r="217" spans="1:38" x14ac:dyDescent="0.3">
      <c r="A217" s="12"/>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c r="AA217" s="12"/>
      <c r="AB217" s="12"/>
      <c r="AC217" s="12"/>
      <c r="AD217" s="12"/>
      <c r="AE217" s="12"/>
      <c r="AF217" s="12"/>
      <c r="AG217" s="12"/>
      <c r="AH217" s="12"/>
      <c r="AI217" s="12"/>
      <c r="AJ217" s="12"/>
      <c r="AK217" s="12"/>
      <c r="AL217" s="12"/>
    </row>
    <row r="218" spans="1:38" x14ac:dyDescent="0.3">
      <c r="A218" s="12"/>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c r="AA218" s="12"/>
      <c r="AB218" s="12"/>
      <c r="AC218" s="12"/>
      <c r="AD218" s="12"/>
      <c r="AE218" s="12"/>
      <c r="AF218" s="12"/>
      <c r="AG218" s="12"/>
      <c r="AH218" s="12"/>
      <c r="AI218" s="12"/>
      <c r="AJ218" s="12"/>
      <c r="AK218" s="12"/>
      <c r="AL218" s="12"/>
    </row>
    <row r="219" spans="1:38" x14ac:dyDescent="0.3">
      <c r="A219" s="12"/>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c r="AA219" s="12"/>
      <c r="AB219" s="12"/>
      <c r="AC219" s="12"/>
      <c r="AD219" s="12"/>
      <c r="AE219" s="12"/>
      <c r="AF219" s="12"/>
      <c r="AG219" s="12"/>
      <c r="AH219" s="12"/>
      <c r="AI219" s="12"/>
      <c r="AJ219" s="12"/>
      <c r="AK219" s="12"/>
      <c r="AL219" s="12"/>
    </row>
    <row r="220" spans="1:38" x14ac:dyDescent="0.3">
      <c r="A220" s="12"/>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c r="AA220" s="12"/>
      <c r="AB220" s="12"/>
      <c r="AC220" s="12"/>
      <c r="AD220" s="12"/>
      <c r="AE220" s="12"/>
      <c r="AF220" s="12"/>
      <c r="AG220" s="12"/>
      <c r="AH220" s="12"/>
      <c r="AI220" s="12"/>
      <c r="AJ220" s="12"/>
      <c r="AK220" s="12"/>
      <c r="AL220" s="12"/>
    </row>
    <row r="221" spans="1:38" x14ac:dyDescent="0.3">
      <c r="A221" s="12"/>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c r="AA221" s="12"/>
      <c r="AB221" s="12"/>
      <c r="AC221" s="12"/>
      <c r="AD221" s="12"/>
      <c r="AE221" s="12"/>
      <c r="AF221" s="12"/>
      <c r="AG221" s="12"/>
      <c r="AH221" s="12"/>
      <c r="AI221" s="12"/>
      <c r="AJ221" s="12"/>
      <c r="AK221" s="12"/>
      <c r="AL221" s="12"/>
    </row>
    <row r="222" spans="1:38" x14ac:dyDescent="0.3">
      <c r="A222" s="12"/>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c r="AA222" s="12"/>
      <c r="AB222" s="12"/>
      <c r="AC222" s="12"/>
      <c r="AD222" s="12"/>
      <c r="AE222" s="12"/>
      <c r="AF222" s="12"/>
      <c r="AG222" s="12"/>
      <c r="AH222" s="12"/>
      <c r="AI222" s="12"/>
      <c r="AJ222" s="12"/>
      <c r="AK222" s="12"/>
      <c r="AL222" s="12"/>
    </row>
    <row r="223" spans="1:38" x14ac:dyDescent="0.3">
      <c r="A223" s="12"/>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c r="AA223" s="12"/>
      <c r="AB223" s="12"/>
      <c r="AC223" s="12"/>
      <c r="AD223" s="12"/>
      <c r="AE223" s="12"/>
      <c r="AF223" s="12"/>
      <c r="AG223" s="12"/>
      <c r="AH223" s="12"/>
      <c r="AI223" s="12"/>
      <c r="AJ223" s="12"/>
      <c r="AK223" s="12"/>
      <c r="AL223" s="12"/>
    </row>
    <row r="224" spans="1:38" x14ac:dyDescent="0.3">
      <c r="A224" s="12"/>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c r="AA224" s="12"/>
      <c r="AB224" s="12"/>
      <c r="AC224" s="12"/>
      <c r="AD224" s="12"/>
      <c r="AE224" s="12"/>
      <c r="AF224" s="12"/>
      <c r="AG224" s="12"/>
      <c r="AH224" s="12"/>
      <c r="AI224" s="12"/>
      <c r="AJ224" s="12"/>
      <c r="AK224" s="12"/>
      <c r="AL224" s="12"/>
    </row>
    <row r="225" spans="1:38" x14ac:dyDescent="0.3">
      <c r="A225" s="12"/>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c r="AA225" s="12"/>
      <c r="AB225" s="12"/>
      <c r="AC225" s="12"/>
      <c r="AD225" s="12"/>
      <c r="AE225" s="12"/>
      <c r="AF225" s="12"/>
      <c r="AG225" s="12"/>
      <c r="AH225" s="12"/>
      <c r="AI225" s="12"/>
      <c r="AJ225" s="12"/>
      <c r="AK225" s="12"/>
      <c r="AL225" s="12"/>
    </row>
    <row r="226" spans="1:38" x14ac:dyDescent="0.3">
      <c r="A226" s="12"/>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c r="AA226" s="12"/>
      <c r="AB226" s="12"/>
      <c r="AC226" s="12"/>
      <c r="AD226" s="12"/>
      <c r="AE226" s="12"/>
      <c r="AF226" s="12"/>
      <c r="AG226" s="12"/>
      <c r="AH226" s="12"/>
      <c r="AI226" s="12"/>
      <c r="AJ226" s="12"/>
      <c r="AK226" s="12"/>
      <c r="AL226" s="12"/>
    </row>
    <row r="227" spans="1:38" x14ac:dyDescent="0.3">
      <c r="A227" s="12"/>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row>
    <row r="228" spans="1:38" x14ac:dyDescent="0.3">
      <c r="A228" s="12"/>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c r="AA228" s="12"/>
      <c r="AB228" s="12"/>
      <c r="AC228" s="12"/>
      <c r="AD228" s="12"/>
      <c r="AE228" s="12"/>
      <c r="AF228" s="12"/>
      <c r="AG228" s="12"/>
      <c r="AH228" s="12"/>
      <c r="AI228" s="12"/>
      <c r="AJ228" s="12"/>
      <c r="AK228" s="12"/>
      <c r="AL228" s="12"/>
    </row>
    <row r="229" spans="1:38" x14ac:dyDescent="0.3">
      <c r="A229" s="12"/>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row>
    <row r="230" spans="1:38" x14ac:dyDescent="0.3">
      <c r="A230" s="12"/>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row>
    <row r="231" spans="1:38" x14ac:dyDescent="0.3">
      <c r="A231" s="12"/>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row>
    <row r="232" spans="1:38" x14ac:dyDescent="0.3">
      <c r="A232" s="12"/>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c r="AA232" s="12"/>
      <c r="AB232" s="12"/>
      <c r="AC232" s="12"/>
      <c r="AD232" s="12"/>
      <c r="AE232" s="12"/>
      <c r="AF232" s="12"/>
      <c r="AG232" s="12"/>
      <c r="AH232" s="12"/>
      <c r="AI232" s="12"/>
      <c r="AJ232" s="12"/>
      <c r="AK232" s="12"/>
      <c r="AL232" s="12"/>
    </row>
    <row r="233" spans="1:38" x14ac:dyDescent="0.3">
      <c r="A233" s="12"/>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c r="AA233" s="12"/>
      <c r="AB233" s="12"/>
      <c r="AC233" s="12"/>
      <c r="AD233" s="12"/>
      <c r="AE233" s="12"/>
      <c r="AF233" s="12"/>
      <c r="AG233" s="12"/>
      <c r="AH233" s="12"/>
      <c r="AI233" s="12"/>
      <c r="AJ233" s="12"/>
      <c r="AK233" s="12"/>
      <c r="AL233" s="12"/>
    </row>
    <row r="234" spans="1:38" x14ac:dyDescent="0.3">
      <c r="A234" s="12"/>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c r="AA234" s="12"/>
      <c r="AB234" s="12"/>
      <c r="AC234" s="12"/>
      <c r="AD234" s="12"/>
      <c r="AE234" s="12"/>
      <c r="AF234" s="12"/>
      <c r="AG234" s="12"/>
      <c r="AH234" s="12"/>
      <c r="AI234" s="12"/>
      <c r="AJ234" s="12"/>
      <c r="AK234" s="12"/>
      <c r="AL234" s="12"/>
    </row>
    <row r="235" spans="1:38" x14ac:dyDescent="0.3">
      <c r="A235" s="12"/>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c r="AA235" s="12"/>
      <c r="AB235" s="12"/>
      <c r="AC235" s="12"/>
      <c r="AD235" s="12"/>
      <c r="AE235" s="12"/>
      <c r="AF235" s="12"/>
      <c r="AG235" s="12"/>
      <c r="AH235" s="12"/>
      <c r="AI235" s="12"/>
      <c r="AJ235" s="12"/>
      <c r="AK235" s="12"/>
      <c r="AL235" s="12"/>
    </row>
    <row r="236" spans="1:38" x14ac:dyDescent="0.3">
      <c r="A236" s="12"/>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c r="AA236" s="12"/>
      <c r="AB236" s="12"/>
      <c r="AC236" s="12"/>
      <c r="AD236" s="12"/>
      <c r="AE236" s="12"/>
      <c r="AF236" s="12"/>
      <c r="AG236" s="12"/>
      <c r="AH236" s="12"/>
      <c r="AI236" s="12"/>
      <c r="AJ236" s="12"/>
      <c r="AK236" s="12"/>
      <c r="AL236" s="12"/>
    </row>
    <row r="237" spans="1:38" x14ac:dyDescent="0.3">
      <c r="A237" s="12"/>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c r="AA237" s="12"/>
      <c r="AB237" s="12"/>
      <c r="AC237" s="12"/>
      <c r="AD237" s="12"/>
      <c r="AE237" s="12"/>
      <c r="AF237" s="12"/>
      <c r="AG237" s="12"/>
      <c r="AH237" s="12"/>
      <c r="AI237" s="12"/>
      <c r="AJ237" s="12"/>
      <c r="AK237" s="12"/>
      <c r="AL237" s="12"/>
    </row>
    <row r="238" spans="1:38" x14ac:dyDescent="0.3">
      <c r="A238" s="12"/>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row>
    <row r="239" spans="1:38" x14ac:dyDescent="0.3">
      <c r="A239" s="12"/>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row>
    <row r="240" spans="1:38" x14ac:dyDescent="0.3">
      <c r="A240" s="12"/>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row>
    <row r="241" spans="1:38" x14ac:dyDescent="0.3">
      <c r="A241" s="12"/>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row>
    <row r="242" spans="1:38" x14ac:dyDescent="0.3">
      <c r="A242" s="12"/>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row>
    <row r="243" spans="1:38" x14ac:dyDescent="0.3">
      <c r="A243" s="12"/>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row>
    <row r="244" spans="1:38" x14ac:dyDescent="0.3">
      <c r="A244" s="12"/>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row>
    <row r="245" spans="1:38" x14ac:dyDescent="0.3">
      <c r="A245" s="12"/>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row>
    <row r="246" spans="1:38" x14ac:dyDescent="0.3">
      <c r="A246" s="12"/>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row>
    <row r="247" spans="1:38" x14ac:dyDescent="0.3">
      <c r="A247" s="12"/>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row>
    <row r="248" spans="1:38" x14ac:dyDescent="0.3">
      <c r="A248" s="12"/>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row>
    <row r="249" spans="1:38" x14ac:dyDescent="0.3">
      <c r="A249" s="12"/>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row>
    <row r="250" spans="1:38" x14ac:dyDescent="0.3">
      <c r="A250" s="12"/>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row>
    <row r="251" spans="1:38" x14ac:dyDescent="0.3">
      <c r="A251" s="12"/>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row>
    <row r="252" spans="1:38" x14ac:dyDescent="0.3">
      <c r="A252" s="12"/>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row>
    <row r="253" spans="1:38" x14ac:dyDescent="0.3">
      <c r="A253" s="12"/>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row>
    <row r="254" spans="1:38" x14ac:dyDescent="0.3">
      <c r="A254" s="12"/>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row>
    <row r="255" spans="1:38" x14ac:dyDescent="0.3">
      <c r="A255" s="12"/>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row>
    <row r="256" spans="1:38" x14ac:dyDescent="0.3">
      <c r="A256" s="12"/>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row>
    <row r="257" spans="1:38" x14ac:dyDescent="0.3">
      <c r="A257" s="12"/>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row>
    <row r="258" spans="1:38" x14ac:dyDescent="0.3">
      <c r="A258" s="12"/>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row>
    <row r="259" spans="1:38" x14ac:dyDescent="0.3">
      <c r="A259" s="12"/>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row>
    <row r="260" spans="1:38" x14ac:dyDescent="0.3">
      <c r="A260" s="12"/>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row>
    <row r="261" spans="1:38" x14ac:dyDescent="0.3">
      <c r="A261" s="12"/>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row>
    <row r="262" spans="1:38" x14ac:dyDescent="0.3">
      <c r="A262" s="12"/>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row>
    <row r="263" spans="1:38" x14ac:dyDescent="0.3">
      <c r="A263" s="12"/>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row>
    <row r="264" spans="1:38" x14ac:dyDescent="0.3">
      <c r="A264" s="12"/>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row>
    <row r="265" spans="1:38" x14ac:dyDescent="0.3">
      <c r="A265" s="12"/>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row>
    <row r="266" spans="1:38" x14ac:dyDescent="0.3">
      <c r="A266" s="12"/>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row>
    <row r="267" spans="1:38" x14ac:dyDescent="0.3">
      <c r="A267" s="12"/>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row>
    <row r="268" spans="1:38" x14ac:dyDescent="0.3">
      <c r="A268" s="12"/>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row>
    <row r="269" spans="1:38" x14ac:dyDescent="0.3">
      <c r="A269" s="12"/>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row>
    <row r="270" spans="1:38" x14ac:dyDescent="0.3">
      <c r="A270" s="12"/>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row>
    <row r="271" spans="1:38" x14ac:dyDescent="0.3">
      <c r="A271" s="12"/>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row>
    <row r="272" spans="1:38" x14ac:dyDescent="0.3">
      <c r="A272" s="12"/>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row>
    <row r="273" spans="1:38" x14ac:dyDescent="0.3">
      <c r="A273" s="12"/>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row>
    <row r="274" spans="1:38" x14ac:dyDescent="0.3">
      <c r="A274" s="12"/>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row>
    <row r="275" spans="1:38" x14ac:dyDescent="0.3">
      <c r="A275" s="12"/>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row>
    <row r="276" spans="1:38" x14ac:dyDescent="0.3">
      <c r="A276" s="12"/>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row>
    <row r="277" spans="1:38" x14ac:dyDescent="0.3">
      <c r="A277" s="12"/>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row>
    <row r="278" spans="1:38" x14ac:dyDescent="0.3">
      <c r="A278" s="12"/>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row>
    <row r="279" spans="1:38" x14ac:dyDescent="0.3">
      <c r="A279" s="12"/>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row>
    <row r="280" spans="1:38" x14ac:dyDescent="0.3">
      <c r="A280" s="12"/>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row>
    <row r="281" spans="1:38" x14ac:dyDescent="0.3">
      <c r="A281" s="12"/>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row>
    <row r="282" spans="1:38" x14ac:dyDescent="0.3">
      <c r="A282" s="12"/>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row>
    <row r="283" spans="1:38" x14ac:dyDescent="0.3">
      <c r="A283" s="12"/>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row>
    <row r="284" spans="1:38" x14ac:dyDescent="0.3">
      <c r="A284" s="12"/>
      <c r="B284" s="12"/>
      <c r="C284" s="12"/>
      <c r="D284" s="12"/>
      <c r="E284" s="12"/>
      <c r="F284" s="12"/>
      <c r="G284" s="12"/>
      <c r="H284" s="12"/>
      <c r="I284" s="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row>
    <row r="285" spans="1:38" x14ac:dyDescent="0.3">
      <c r="A285" s="12"/>
      <c r="B285" s="12"/>
      <c r="C285" s="12"/>
      <c r="D285" s="12"/>
      <c r="E285" s="12"/>
      <c r="F285" s="12"/>
      <c r="G285" s="12"/>
      <c r="H285" s="12"/>
      <c r="I285" s="12"/>
      <c r="J285" s="12"/>
      <c r="K285" s="12"/>
      <c r="L285" s="12"/>
      <c r="M285" s="12"/>
      <c r="N285" s="12"/>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row>
    <row r="286" spans="1:38" x14ac:dyDescent="0.3">
      <c r="A286" s="12"/>
      <c r="B286" s="12"/>
      <c r="C286" s="12"/>
      <c r="D286" s="12"/>
      <c r="E286" s="12"/>
      <c r="F286" s="12"/>
      <c r="G286" s="12"/>
      <c r="H286" s="12"/>
      <c r="I286" s="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row>
    <row r="287" spans="1:38" x14ac:dyDescent="0.3">
      <c r="A287" s="12"/>
      <c r="B287" s="12"/>
      <c r="C287" s="12"/>
      <c r="D287" s="12"/>
      <c r="E287" s="12"/>
      <c r="F287" s="12"/>
      <c r="G287" s="12"/>
      <c r="H287" s="12"/>
      <c r="I287" s="12"/>
      <c r="J287" s="12"/>
      <c r="K287" s="12"/>
      <c r="L287" s="12"/>
      <c r="M287" s="12"/>
      <c r="N287" s="12"/>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row>
    <row r="288" spans="1:38" x14ac:dyDescent="0.3">
      <c r="A288" s="12"/>
      <c r="B288" s="12"/>
      <c r="C288" s="12"/>
      <c r="D288" s="12"/>
      <c r="E288" s="12"/>
      <c r="F288" s="12"/>
      <c r="G288" s="12"/>
      <c r="H288" s="12"/>
      <c r="I288" s="12"/>
      <c r="J288" s="12"/>
      <c r="K288" s="12"/>
      <c r="L288" s="12"/>
      <c r="M288" s="12"/>
      <c r="N288" s="12"/>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row>
    <row r="289" spans="1:38" x14ac:dyDescent="0.3">
      <c r="A289" s="12"/>
      <c r="B289" s="12"/>
      <c r="C289" s="12"/>
      <c r="D289" s="12"/>
      <c r="E289" s="12"/>
      <c r="F289" s="12"/>
      <c r="G289" s="12"/>
      <c r="H289" s="12"/>
      <c r="I289" s="12"/>
      <c r="J289" s="12"/>
      <c r="K289" s="12"/>
      <c r="L289" s="12"/>
      <c r="M289" s="12"/>
      <c r="N289" s="12"/>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row>
    <row r="290" spans="1:38" x14ac:dyDescent="0.3">
      <c r="A290" s="12"/>
      <c r="B290" s="12"/>
      <c r="C290" s="12"/>
      <c r="D290" s="12"/>
      <c r="E290" s="12"/>
      <c r="F290" s="12"/>
      <c r="G290" s="12"/>
      <c r="H290" s="12"/>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row>
    <row r="291" spans="1:38" x14ac:dyDescent="0.3">
      <c r="A291" s="12"/>
      <c r="B291" s="12"/>
      <c r="C291" s="12"/>
      <c r="D291" s="12"/>
      <c r="E291" s="12"/>
      <c r="F291" s="12"/>
      <c r="G291" s="12"/>
      <c r="H291" s="12"/>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row>
    <row r="292" spans="1:38" x14ac:dyDescent="0.3">
      <c r="A292" s="12"/>
      <c r="B292" s="12"/>
      <c r="C292" s="12"/>
      <c r="D292" s="12"/>
      <c r="E292" s="12"/>
      <c r="F292" s="12"/>
      <c r="G292" s="12"/>
      <c r="H292" s="12"/>
      <c r="I292" s="12"/>
      <c r="J292" s="12"/>
      <c r="K292" s="12"/>
      <c r="L292" s="12"/>
      <c r="M292" s="12"/>
      <c r="N292" s="12"/>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row>
    <row r="293" spans="1:38" x14ac:dyDescent="0.3">
      <c r="A293" s="12"/>
      <c r="B293" s="12"/>
      <c r="C293" s="12"/>
      <c r="D293" s="12"/>
      <c r="E293" s="12"/>
      <c r="F293" s="12"/>
      <c r="G293" s="12"/>
      <c r="H293" s="12"/>
      <c r="I293" s="12"/>
      <c r="J293" s="12"/>
      <c r="K293" s="12"/>
      <c r="L293" s="12"/>
      <c r="M293" s="12"/>
      <c r="N293" s="12"/>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row>
    <row r="294" spans="1:38" x14ac:dyDescent="0.3">
      <c r="A294" s="12"/>
      <c r="B294" s="12"/>
      <c r="C294" s="12"/>
      <c r="D294" s="12"/>
      <c r="E294" s="12"/>
      <c r="F294" s="12"/>
      <c r="G294" s="12"/>
      <c r="H294" s="12"/>
      <c r="I294" s="12"/>
      <c r="J294" s="12"/>
      <c r="K294" s="12"/>
      <c r="L294" s="12"/>
      <c r="M294" s="12"/>
      <c r="N294" s="12"/>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row>
    <row r="295" spans="1:38" x14ac:dyDescent="0.3">
      <c r="A295" s="12"/>
      <c r="B295" s="12"/>
      <c r="C295" s="12"/>
      <c r="D295" s="12"/>
      <c r="E295" s="12"/>
      <c r="F295" s="12"/>
      <c r="G295" s="12"/>
      <c r="H295" s="12"/>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row>
    <row r="296" spans="1:38" x14ac:dyDescent="0.3">
      <c r="A296" s="12"/>
      <c r="B296" s="12"/>
      <c r="C296" s="12"/>
      <c r="D296" s="12"/>
      <c r="E296" s="12"/>
      <c r="F296" s="12"/>
      <c r="G296" s="12"/>
      <c r="H296" s="12"/>
      <c r="I296" s="12"/>
      <c r="J296" s="12"/>
      <c r="K296" s="12"/>
      <c r="L296" s="12"/>
      <c r="M296" s="12"/>
      <c r="N296" s="12"/>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row>
    <row r="297" spans="1:38" x14ac:dyDescent="0.3">
      <c r="A297" s="12"/>
      <c r="B297" s="12"/>
      <c r="C297" s="12"/>
      <c r="D297" s="12"/>
      <c r="E297" s="12"/>
      <c r="F297" s="12"/>
      <c r="G297" s="12"/>
      <c r="H297" s="12"/>
      <c r="I297" s="12"/>
      <c r="J297" s="12"/>
      <c r="K297" s="12"/>
      <c r="L297" s="12"/>
      <c r="M297" s="12"/>
      <c r="N297" s="12"/>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row>
    <row r="298" spans="1:38" x14ac:dyDescent="0.3">
      <c r="A298" s="12"/>
      <c r="B298" s="12"/>
      <c r="C298" s="12"/>
      <c r="D298" s="12"/>
      <c r="E298" s="12"/>
      <c r="F298" s="12"/>
      <c r="G298" s="12"/>
      <c r="H298" s="12"/>
      <c r="I298" s="12"/>
      <c r="J298" s="12"/>
      <c r="K298" s="12"/>
      <c r="L298" s="12"/>
      <c r="M298" s="12"/>
      <c r="N298" s="12"/>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row>
    <row r="299" spans="1:38" x14ac:dyDescent="0.3">
      <c r="A299" s="12"/>
      <c r="B299" s="12"/>
      <c r="C299" s="12"/>
      <c r="D299" s="12"/>
      <c r="E299" s="12"/>
      <c r="F299" s="12"/>
      <c r="G299" s="12"/>
      <c r="H299" s="12"/>
      <c r="I299" s="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row>
    <row r="300" spans="1:38" x14ac:dyDescent="0.3">
      <c r="A300" s="12"/>
      <c r="B300" s="12"/>
      <c r="C300" s="12"/>
      <c r="D300" s="12"/>
      <c r="E300" s="12"/>
      <c r="F300" s="12"/>
      <c r="G300" s="12"/>
      <c r="H300" s="12"/>
      <c r="I300" s="12"/>
      <c r="J300" s="12"/>
      <c r="K300" s="12"/>
      <c r="L300" s="12"/>
      <c r="M300" s="12"/>
      <c r="N300" s="12"/>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row>
    <row r="301" spans="1:38" x14ac:dyDescent="0.3">
      <c r="A301" s="12"/>
      <c r="B301" s="12"/>
      <c r="C301" s="12"/>
      <c r="D301" s="12"/>
      <c r="E301" s="12"/>
      <c r="F301" s="12"/>
      <c r="G301" s="12"/>
      <c r="H301" s="12"/>
      <c r="I301" s="12"/>
      <c r="J301" s="12"/>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row>
    <row r="302" spans="1:38" x14ac:dyDescent="0.3">
      <c r="A302" s="12"/>
      <c r="B302" s="12"/>
      <c r="C302" s="12"/>
      <c r="D302" s="12"/>
      <c r="E302" s="12"/>
      <c r="F302" s="12"/>
      <c r="G302" s="12"/>
      <c r="H302" s="12"/>
      <c r="I302" s="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row>
    <row r="303" spans="1:38" x14ac:dyDescent="0.3">
      <c r="A303" s="12"/>
      <c r="B303" s="12"/>
      <c r="C303" s="12"/>
      <c r="D303" s="12"/>
      <c r="E303" s="12"/>
      <c r="F303" s="12"/>
      <c r="G303" s="12"/>
      <c r="H303" s="12"/>
      <c r="I303" s="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row>
    <row r="304" spans="1:38" x14ac:dyDescent="0.3">
      <c r="A304" s="12"/>
      <c r="B304" s="12"/>
      <c r="C304" s="12"/>
      <c r="D304" s="12"/>
      <c r="E304" s="12"/>
      <c r="F304" s="12"/>
      <c r="G304" s="12"/>
      <c r="H304" s="12"/>
      <c r="I304" s="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row>
    <row r="305" spans="1:38" x14ac:dyDescent="0.3">
      <c r="A305" s="12"/>
      <c r="B305" s="12"/>
      <c r="C305" s="12"/>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row>
    <row r="306" spans="1:38" x14ac:dyDescent="0.3">
      <c r="A306" s="12"/>
      <c r="B306" s="12"/>
      <c r="C306" s="12"/>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row>
    <row r="307" spans="1:38" x14ac:dyDescent="0.3">
      <c r="A307" s="12"/>
      <c r="B307" s="12"/>
      <c r="C307" s="12"/>
      <c r="D307" s="12"/>
      <c r="E307" s="12"/>
      <c r="F307" s="12"/>
      <c r="G307" s="12"/>
      <c r="H307" s="12"/>
      <c r="I307" s="12"/>
      <c r="J307" s="12"/>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row>
    <row r="308" spans="1:38" x14ac:dyDescent="0.3">
      <c r="A308" s="12"/>
      <c r="B308" s="12"/>
      <c r="C308" s="12"/>
      <c r="D308" s="12"/>
      <c r="E308" s="12"/>
      <c r="F308" s="12"/>
      <c r="G308" s="12"/>
      <c r="H308" s="12"/>
      <c r="I308" s="12"/>
      <c r="J308" s="12"/>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row>
    <row r="309" spans="1:38" x14ac:dyDescent="0.3">
      <c r="A309" s="12"/>
      <c r="B309" s="12"/>
      <c r="C309" s="12"/>
      <c r="D309" s="12"/>
      <c r="E309" s="12"/>
      <c r="F309" s="12"/>
      <c r="G309" s="12"/>
      <c r="H309" s="12"/>
      <c r="I309" s="12"/>
      <c r="J309" s="12"/>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row>
    <row r="310" spans="1:38" x14ac:dyDescent="0.3">
      <c r="A310" s="12"/>
      <c r="B310" s="12"/>
      <c r="C310" s="12"/>
      <c r="D310" s="12"/>
      <c r="E310" s="12"/>
      <c r="F310" s="12"/>
      <c r="G310" s="12"/>
      <c r="H310" s="12"/>
      <c r="I310" s="12"/>
      <c r="J310" s="12"/>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row>
    <row r="311" spans="1:38" x14ac:dyDescent="0.3">
      <c r="A311" s="12"/>
      <c r="B311" s="12"/>
      <c r="C311" s="12"/>
      <c r="D311" s="12"/>
      <c r="E311" s="12"/>
      <c r="F311" s="12"/>
      <c r="G311" s="12"/>
      <c r="H311" s="12"/>
      <c r="I311" s="12"/>
      <c r="J311" s="12"/>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row>
    <row r="312" spans="1:38" x14ac:dyDescent="0.3">
      <c r="A312" s="12"/>
      <c r="B312" s="12"/>
      <c r="C312" s="12"/>
      <c r="D312" s="12"/>
      <c r="E312" s="12"/>
      <c r="F312" s="12"/>
      <c r="G312" s="12"/>
      <c r="H312" s="12"/>
      <c r="I312" s="12"/>
      <c r="J312" s="12"/>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row>
    <row r="313" spans="1:38" x14ac:dyDescent="0.3">
      <c r="A313" s="12"/>
      <c r="B313" s="12"/>
      <c r="C313" s="12"/>
      <c r="D313" s="12"/>
      <c r="E313" s="12"/>
      <c r="F313" s="12"/>
      <c r="G313" s="12"/>
      <c r="H313" s="12"/>
      <c r="I313" s="12"/>
      <c r="J313" s="12"/>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row>
    <row r="314" spans="1:38" x14ac:dyDescent="0.3">
      <c r="A314" s="12"/>
      <c r="B314" s="12"/>
      <c r="C314" s="12"/>
      <c r="D314" s="12"/>
      <c r="E314" s="12"/>
      <c r="F314" s="12"/>
      <c r="G314" s="12"/>
      <c r="H314" s="12"/>
      <c r="I314" s="12"/>
      <c r="J314" s="12"/>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row>
    <row r="315" spans="1:38" x14ac:dyDescent="0.3">
      <c r="A315" s="12"/>
      <c r="B315" s="12"/>
      <c r="C315" s="12"/>
      <c r="D315" s="12"/>
      <c r="E315" s="12"/>
      <c r="F315" s="12"/>
      <c r="G315" s="12"/>
      <c r="H315" s="12"/>
      <c r="I315" s="12"/>
      <c r="J315" s="12"/>
      <c r="K315" s="12"/>
      <c r="L315" s="12"/>
      <c r="M315" s="12"/>
      <c r="N315" s="12"/>
      <c r="O315" s="12"/>
      <c r="P315" s="12"/>
      <c r="Q315" s="12"/>
      <c r="R315" s="12"/>
      <c r="S315" s="12"/>
      <c r="T315" s="12"/>
      <c r="U315" s="12"/>
      <c r="V315" s="12"/>
      <c r="W315" s="12"/>
      <c r="X315" s="12"/>
      <c r="Y315" s="12"/>
      <c r="Z315" s="12"/>
      <c r="AA315" s="12"/>
      <c r="AB315" s="12"/>
      <c r="AC315" s="12"/>
      <c r="AD315" s="12"/>
      <c r="AE315" s="12"/>
      <c r="AF315" s="12"/>
      <c r="AG315" s="12"/>
      <c r="AH315" s="12"/>
      <c r="AI315" s="12"/>
      <c r="AJ315" s="12"/>
      <c r="AK315" s="12"/>
      <c r="AL315" s="12"/>
    </row>
    <row r="316" spans="1:38" x14ac:dyDescent="0.3">
      <c r="A316" s="12"/>
      <c r="B316" s="12"/>
      <c r="C316" s="12"/>
      <c r="D316" s="12"/>
      <c r="E316" s="12"/>
      <c r="F316" s="12"/>
      <c r="G316" s="12"/>
      <c r="H316" s="12"/>
      <c r="I316" s="12"/>
      <c r="J316" s="12"/>
      <c r="K316" s="12"/>
      <c r="L316" s="12"/>
      <c r="M316" s="12"/>
      <c r="N316" s="12"/>
      <c r="O316" s="12"/>
      <c r="P316" s="12"/>
      <c r="Q316" s="12"/>
      <c r="R316" s="12"/>
      <c r="S316" s="12"/>
      <c r="T316" s="12"/>
      <c r="U316" s="12"/>
      <c r="V316" s="12"/>
      <c r="W316" s="12"/>
      <c r="X316" s="12"/>
      <c r="Y316" s="12"/>
      <c r="Z316" s="12"/>
      <c r="AA316" s="12"/>
      <c r="AB316" s="12"/>
      <c r="AC316" s="12"/>
      <c r="AD316" s="12"/>
      <c r="AE316" s="12"/>
      <c r="AF316" s="12"/>
      <c r="AG316" s="12"/>
      <c r="AH316" s="12"/>
      <c r="AI316" s="12"/>
      <c r="AJ316" s="12"/>
      <c r="AK316" s="12"/>
      <c r="AL316" s="12"/>
    </row>
    <row r="317" spans="1:38" x14ac:dyDescent="0.3">
      <c r="A317" s="12"/>
      <c r="B317" s="12"/>
      <c r="C317" s="12"/>
      <c r="D317" s="12"/>
      <c r="E317" s="12"/>
      <c r="F317" s="12"/>
      <c r="G317" s="12"/>
      <c r="H317" s="12"/>
      <c r="I317" s="12"/>
      <c r="J317" s="12"/>
      <c r="K317" s="12"/>
      <c r="L317" s="12"/>
      <c r="M317" s="12"/>
      <c r="N317" s="12"/>
      <c r="O317" s="12"/>
      <c r="P317" s="12"/>
      <c r="Q317" s="12"/>
      <c r="R317" s="12"/>
      <c r="S317" s="12"/>
      <c r="T317" s="12"/>
      <c r="U317" s="12"/>
      <c r="V317" s="12"/>
      <c r="W317" s="12"/>
      <c r="X317" s="12"/>
      <c r="Y317" s="12"/>
      <c r="Z317" s="12"/>
      <c r="AA317" s="12"/>
      <c r="AB317" s="12"/>
      <c r="AC317" s="12"/>
      <c r="AD317" s="12"/>
      <c r="AE317" s="12"/>
      <c r="AF317" s="12"/>
      <c r="AG317" s="12"/>
      <c r="AH317" s="12"/>
      <c r="AI317" s="12"/>
      <c r="AJ317" s="12"/>
      <c r="AK317" s="12"/>
      <c r="AL317" s="12"/>
    </row>
    <row r="318" spans="1:38" x14ac:dyDescent="0.3">
      <c r="A318" s="12"/>
      <c r="B318" s="12"/>
      <c r="C318" s="12"/>
      <c r="D318" s="12"/>
      <c r="E318" s="12"/>
      <c r="F318" s="12"/>
      <c r="G318" s="12"/>
      <c r="H318" s="12"/>
      <c r="I318" s="12"/>
      <c r="J318" s="12"/>
      <c r="K318" s="12"/>
      <c r="L318" s="12"/>
      <c r="M318" s="12"/>
      <c r="N318" s="12"/>
      <c r="O318" s="12"/>
      <c r="P318" s="12"/>
      <c r="Q318" s="12"/>
      <c r="R318" s="12"/>
      <c r="S318" s="12"/>
      <c r="T318" s="12"/>
      <c r="U318" s="12"/>
      <c r="V318" s="12"/>
      <c r="W318" s="12"/>
      <c r="X318" s="12"/>
      <c r="Y318" s="12"/>
      <c r="Z318" s="12"/>
      <c r="AA318" s="12"/>
      <c r="AB318" s="12"/>
      <c r="AC318" s="12"/>
      <c r="AD318" s="12"/>
      <c r="AE318" s="12"/>
      <c r="AF318" s="12"/>
      <c r="AG318" s="12"/>
      <c r="AH318" s="12"/>
      <c r="AI318" s="12"/>
      <c r="AJ318" s="12"/>
      <c r="AK318" s="12"/>
      <c r="AL318" s="12"/>
    </row>
    <row r="319" spans="1:38" x14ac:dyDescent="0.3">
      <c r="A319" s="12"/>
      <c r="B319" s="12"/>
      <c r="C319" s="12"/>
      <c r="D319" s="12"/>
      <c r="E319" s="12"/>
      <c r="F319" s="12"/>
      <c r="G319" s="12"/>
      <c r="H319" s="12"/>
      <c r="I319" s="12"/>
      <c r="J319" s="12"/>
      <c r="K319" s="12"/>
      <c r="L319" s="12"/>
      <c r="M319" s="12"/>
      <c r="N319" s="12"/>
      <c r="O319" s="12"/>
      <c r="P319" s="12"/>
      <c r="Q319" s="12"/>
      <c r="R319" s="12"/>
      <c r="S319" s="12"/>
      <c r="T319" s="12"/>
      <c r="U319" s="12"/>
      <c r="V319" s="12"/>
      <c r="W319" s="12"/>
      <c r="X319" s="12"/>
      <c r="Y319" s="12"/>
      <c r="Z319" s="12"/>
      <c r="AA319" s="12"/>
      <c r="AB319" s="12"/>
      <c r="AC319" s="12"/>
      <c r="AD319" s="12"/>
      <c r="AE319" s="12"/>
      <c r="AF319" s="12"/>
      <c r="AG319" s="12"/>
      <c r="AH319" s="12"/>
      <c r="AI319" s="12"/>
      <c r="AJ319" s="12"/>
      <c r="AK319" s="12"/>
      <c r="AL319" s="12"/>
    </row>
    <row r="320" spans="1:38" x14ac:dyDescent="0.3">
      <c r="A320" s="12"/>
      <c r="B320" s="12"/>
      <c r="C320" s="12"/>
      <c r="D320" s="12"/>
      <c r="E320" s="12"/>
      <c r="F320" s="12"/>
      <c r="G320" s="12"/>
      <c r="H320" s="12"/>
      <c r="I320" s="12"/>
      <c r="J320" s="12"/>
      <c r="K320" s="12"/>
      <c r="L320" s="12"/>
      <c r="M320" s="12"/>
      <c r="N320" s="12"/>
      <c r="O320" s="12"/>
      <c r="P320" s="12"/>
      <c r="Q320" s="12"/>
      <c r="R320" s="12"/>
      <c r="S320" s="12"/>
      <c r="T320" s="12"/>
      <c r="U320" s="12"/>
      <c r="V320" s="12"/>
      <c r="W320" s="12"/>
      <c r="X320" s="12"/>
      <c r="Y320" s="12"/>
      <c r="Z320" s="12"/>
      <c r="AA320" s="12"/>
      <c r="AB320" s="12"/>
      <c r="AC320" s="12"/>
      <c r="AD320" s="12"/>
      <c r="AE320" s="12"/>
      <c r="AF320" s="12"/>
      <c r="AG320" s="12"/>
      <c r="AH320" s="12"/>
      <c r="AI320" s="12"/>
      <c r="AJ320" s="12"/>
      <c r="AK320" s="12"/>
      <c r="AL320" s="12"/>
    </row>
    <row r="321" spans="1:38" x14ac:dyDescent="0.3">
      <c r="A321" s="12"/>
      <c r="B321" s="12"/>
      <c r="C321" s="12"/>
      <c r="D321" s="12"/>
      <c r="E321" s="12"/>
      <c r="F321" s="12"/>
      <c r="G321" s="12"/>
      <c r="H321" s="12"/>
      <c r="I321" s="12"/>
      <c r="J321" s="12"/>
      <c r="K321" s="12"/>
      <c r="L321" s="12"/>
      <c r="M321" s="12"/>
      <c r="N321" s="12"/>
      <c r="O321" s="12"/>
      <c r="P321" s="12"/>
      <c r="Q321" s="12"/>
      <c r="R321" s="12"/>
      <c r="S321" s="12"/>
      <c r="T321" s="12"/>
      <c r="U321" s="12"/>
      <c r="V321" s="12"/>
      <c r="W321" s="12"/>
      <c r="X321" s="12"/>
      <c r="Y321" s="12"/>
      <c r="Z321" s="12"/>
      <c r="AA321" s="12"/>
      <c r="AB321" s="12"/>
      <c r="AC321" s="12"/>
      <c r="AD321" s="12"/>
      <c r="AE321" s="12"/>
      <c r="AF321" s="12"/>
      <c r="AG321" s="12"/>
      <c r="AH321" s="12"/>
      <c r="AI321" s="12"/>
      <c r="AJ321" s="12"/>
      <c r="AK321" s="12"/>
      <c r="AL321" s="12"/>
    </row>
    <row r="322" spans="1:38" x14ac:dyDescent="0.3">
      <c r="A322" s="12"/>
      <c r="B322" s="12"/>
      <c r="C322" s="12"/>
      <c r="D322" s="12"/>
      <c r="E322" s="12"/>
      <c r="F322" s="12"/>
      <c r="G322" s="12"/>
      <c r="H322" s="12"/>
      <c r="I322" s="12"/>
      <c r="J322" s="12"/>
      <c r="K322" s="12"/>
      <c r="L322" s="12"/>
      <c r="M322" s="12"/>
      <c r="N322" s="12"/>
      <c r="O322" s="12"/>
      <c r="P322" s="12"/>
      <c r="Q322" s="12"/>
      <c r="R322" s="12"/>
      <c r="S322" s="12"/>
      <c r="T322" s="12"/>
      <c r="U322" s="12"/>
      <c r="V322" s="12"/>
      <c r="W322" s="12"/>
      <c r="X322" s="12"/>
      <c r="Y322" s="12"/>
      <c r="Z322" s="12"/>
      <c r="AA322" s="12"/>
      <c r="AB322" s="12"/>
      <c r="AC322" s="12"/>
      <c r="AD322" s="12"/>
      <c r="AE322" s="12"/>
      <c r="AF322" s="12"/>
      <c r="AG322" s="12"/>
      <c r="AH322" s="12"/>
      <c r="AI322" s="12"/>
      <c r="AJ322" s="12"/>
      <c r="AK322" s="12"/>
      <c r="AL322" s="12"/>
    </row>
    <row r="323" spans="1:38" x14ac:dyDescent="0.3">
      <c r="A323" s="12"/>
      <c r="B323" s="12"/>
      <c r="C323" s="12"/>
      <c r="D323" s="12"/>
      <c r="E323" s="12"/>
      <c r="F323" s="12"/>
      <c r="G323" s="12"/>
      <c r="H323" s="12"/>
      <c r="I323" s="12"/>
      <c r="J323" s="12"/>
      <c r="K323" s="12"/>
      <c r="L323" s="12"/>
      <c r="M323" s="12"/>
      <c r="N323" s="12"/>
      <c r="O323" s="12"/>
      <c r="P323" s="12"/>
      <c r="Q323" s="12"/>
      <c r="R323" s="12"/>
      <c r="S323" s="12"/>
      <c r="T323" s="12"/>
      <c r="U323" s="12"/>
      <c r="V323" s="12"/>
      <c r="W323" s="12"/>
      <c r="X323" s="12"/>
      <c r="Y323" s="12"/>
      <c r="Z323" s="12"/>
      <c r="AA323" s="12"/>
      <c r="AB323" s="12"/>
      <c r="AC323" s="12"/>
      <c r="AD323" s="12"/>
      <c r="AE323" s="12"/>
      <c r="AF323" s="12"/>
      <c r="AG323" s="12"/>
      <c r="AH323" s="12"/>
      <c r="AI323" s="12"/>
      <c r="AJ323" s="12"/>
      <c r="AK323" s="12"/>
      <c r="AL323" s="12"/>
    </row>
    <row r="324" spans="1:38" x14ac:dyDescent="0.3">
      <c r="A324" s="12"/>
      <c r="B324" s="12"/>
      <c r="C324" s="12"/>
      <c r="D324" s="12"/>
      <c r="E324" s="12"/>
      <c r="F324" s="12"/>
      <c r="G324" s="12"/>
      <c r="H324" s="12"/>
      <c r="I324" s="12"/>
      <c r="J324" s="12"/>
      <c r="K324" s="12"/>
      <c r="L324" s="12"/>
      <c r="M324" s="12"/>
      <c r="N324" s="12"/>
      <c r="O324" s="12"/>
      <c r="P324" s="12"/>
      <c r="Q324" s="12"/>
      <c r="R324" s="12"/>
      <c r="S324" s="12"/>
      <c r="T324" s="12"/>
      <c r="U324" s="12"/>
      <c r="V324" s="12"/>
      <c r="W324" s="12"/>
      <c r="X324" s="12"/>
      <c r="Y324" s="12"/>
      <c r="Z324" s="12"/>
      <c r="AA324" s="12"/>
      <c r="AB324" s="12"/>
      <c r="AC324" s="12"/>
      <c r="AD324" s="12"/>
      <c r="AE324" s="12"/>
      <c r="AF324" s="12"/>
      <c r="AG324" s="12"/>
      <c r="AH324" s="12"/>
      <c r="AI324" s="12"/>
      <c r="AJ324" s="12"/>
      <c r="AK324" s="12"/>
      <c r="AL324" s="12"/>
    </row>
    <row r="325" spans="1:38" x14ac:dyDescent="0.3">
      <c r="A325" s="12"/>
      <c r="B325" s="12"/>
      <c r="C325" s="12"/>
      <c r="D325" s="12"/>
      <c r="E325" s="12"/>
      <c r="F325" s="12"/>
      <c r="G325" s="12"/>
      <c r="H325" s="12"/>
      <c r="I325" s="12"/>
      <c r="J325" s="12"/>
      <c r="K325" s="12"/>
      <c r="L325" s="12"/>
      <c r="M325" s="12"/>
      <c r="N325" s="12"/>
      <c r="O325" s="12"/>
      <c r="P325" s="12"/>
      <c r="Q325" s="12"/>
      <c r="R325" s="12"/>
      <c r="S325" s="12"/>
      <c r="T325" s="12"/>
      <c r="U325" s="12"/>
      <c r="V325" s="12"/>
      <c r="W325" s="12"/>
      <c r="X325" s="12"/>
      <c r="Y325" s="12"/>
      <c r="Z325" s="12"/>
      <c r="AA325" s="12"/>
      <c r="AB325" s="12"/>
      <c r="AC325" s="12"/>
      <c r="AD325" s="12"/>
      <c r="AE325" s="12"/>
      <c r="AF325" s="12"/>
      <c r="AG325" s="12"/>
      <c r="AH325" s="12"/>
      <c r="AI325" s="12"/>
      <c r="AJ325" s="12"/>
      <c r="AK325" s="12"/>
      <c r="AL325" s="12"/>
    </row>
    <row r="326" spans="1:38" x14ac:dyDescent="0.3">
      <c r="A326" s="12"/>
      <c r="B326" s="12"/>
      <c r="C326" s="12"/>
      <c r="D326" s="12"/>
      <c r="E326" s="12"/>
      <c r="F326" s="12"/>
      <c r="G326" s="12"/>
      <c r="H326" s="12"/>
      <c r="I326" s="12"/>
      <c r="J326" s="12"/>
      <c r="K326" s="12"/>
      <c r="L326" s="12"/>
      <c r="M326" s="12"/>
      <c r="N326" s="12"/>
      <c r="O326" s="12"/>
      <c r="P326" s="12"/>
      <c r="Q326" s="12"/>
      <c r="R326" s="12"/>
      <c r="S326" s="12"/>
      <c r="T326" s="12"/>
      <c r="U326" s="12"/>
      <c r="V326" s="12"/>
      <c r="W326" s="12"/>
      <c r="X326" s="12"/>
      <c r="Y326" s="12"/>
      <c r="Z326" s="12"/>
      <c r="AA326" s="12"/>
      <c r="AB326" s="12"/>
      <c r="AC326" s="12"/>
      <c r="AD326" s="12"/>
      <c r="AE326" s="12"/>
      <c r="AF326" s="12"/>
      <c r="AG326" s="12"/>
      <c r="AH326" s="12"/>
      <c r="AI326" s="12"/>
      <c r="AJ326" s="12"/>
      <c r="AK326" s="12"/>
      <c r="AL326" s="12"/>
    </row>
    <row r="327" spans="1:38" x14ac:dyDescent="0.3">
      <c r="A327" s="12"/>
      <c r="B327" s="12"/>
      <c r="C327" s="12"/>
      <c r="D327" s="12"/>
      <c r="E327" s="12"/>
      <c r="F327" s="12"/>
      <c r="G327" s="12"/>
      <c r="H327" s="12"/>
      <c r="I327" s="12"/>
      <c r="J327" s="12"/>
      <c r="K327" s="12"/>
      <c r="L327" s="12"/>
      <c r="M327" s="12"/>
      <c r="N327" s="12"/>
      <c r="O327" s="12"/>
      <c r="P327" s="12"/>
      <c r="Q327" s="12"/>
      <c r="R327" s="12"/>
      <c r="S327" s="12"/>
      <c r="T327" s="12"/>
      <c r="U327" s="12"/>
      <c r="V327" s="12"/>
      <c r="W327" s="12"/>
      <c r="X327" s="12"/>
      <c r="Y327" s="12"/>
      <c r="Z327" s="12"/>
      <c r="AA327" s="12"/>
      <c r="AB327" s="12"/>
      <c r="AC327" s="12"/>
      <c r="AD327" s="12"/>
      <c r="AE327" s="12"/>
      <c r="AF327" s="12"/>
      <c r="AG327" s="12"/>
      <c r="AH327" s="12"/>
      <c r="AI327" s="12"/>
      <c r="AJ327" s="12"/>
      <c r="AK327" s="12"/>
      <c r="AL327" s="12"/>
    </row>
    <row r="328" spans="1:38" x14ac:dyDescent="0.3">
      <c r="A328" s="12"/>
      <c r="B328" s="12"/>
      <c r="C328" s="12"/>
      <c r="D328" s="12"/>
      <c r="E328" s="12"/>
      <c r="F328" s="12"/>
      <c r="G328" s="12"/>
      <c r="H328" s="12"/>
      <c r="I328" s="12"/>
      <c r="J328" s="12"/>
      <c r="K328" s="12"/>
      <c r="L328" s="12"/>
      <c r="M328" s="12"/>
      <c r="N328" s="12"/>
      <c r="O328" s="12"/>
      <c r="P328" s="12"/>
      <c r="Q328" s="12"/>
      <c r="R328" s="12"/>
      <c r="S328" s="12"/>
      <c r="T328" s="12"/>
      <c r="U328" s="12"/>
      <c r="V328" s="12"/>
      <c r="W328" s="12"/>
      <c r="X328" s="12"/>
      <c r="Y328" s="12"/>
      <c r="Z328" s="12"/>
      <c r="AA328" s="12"/>
      <c r="AB328" s="12"/>
      <c r="AC328" s="12"/>
      <c r="AD328" s="12"/>
      <c r="AE328" s="12"/>
      <c r="AF328" s="12"/>
      <c r="AG328" s="12"/>
      <c r="AH328" s="12"/>
      <c r="AI328" s="12"/>
      <c r="AJ328" s="12"/>
      <c r="AK328" s="12"/>
      <c r="AL328" s="12"/>
    </row>
    <row r="329" spans="1:38" x14ac:dyDescent="0.3">
      <c r="A329" s="12"/>
      <c r="B329" s="12"/>
      <c r="C329" s="12"/>
      <c r="D329" s="12"/>
      <c r="E329" s="12"/>
      <c r="F329" s="12"/>
      <c r="G329" s="12"/>
      <c r="H329" s="12"/>
      <c r="I329" s="12"/>
      <c r="J329" s="12"/>
      <c r="K329" s="12"/>
      <c r="L329" s="12"/>
      <c r="M329" s="12"/>
      <c r="N329" s="12"/>
      <c r="O329" s="12"/>
      <c r="P329" s="12"/>
      <c r="Q329" s="12"/>
      <c r="R329" s="12"/>
      <c r="S329" s="12"/>
      <c r="T329" s="12"/>
      <c r="U329" s="12"/>
      <c r="V329" s="12"/>
      <c r="W329" s="12"/>
      <c r="X329" s="12"/>
      <c r="Y329" s="12"/>
      <c r="Z329" s="12"/>
      <c r="AA329" s="12"/>
      <c r="AB329" s="12"/>
      <c r="AC329" s="12"/>
      <c r="AD329" s="12"/>
      <c r="AE329" s="12"/>
      <c r="AF329" s="12"/>
      <c r="AG329" s="12"/>
      <c r="AH329" s="12"/>
      <c r="AI329" s="12"/>
      <c r="AJ329" s="12"/>
      <c r="AK329" s="12"/>
      <c r="AL329" s="12"/>
    </row>
    <row r="330" spans="1:38" x14ac:dyDescent="0.3">
      <c r="A330" s="12"/>
      <c r="B330" s="12"/>
      <c r="C330" s="12"/>
      <c r="D330" s="12"/>
      <c r="E330" s="12"/>
      <c r="F330" s="12"/>
      <c r="G330" s="12"/>
      <c r="H330" s="12"/>
      <c r="I330" s="12"/>
      <c r="J330" s="12"/>
      <c r="K330" s="12"/>
      <c r="L330" s="12"/>
      <c r="M330" s="12"/>
      <c r="N330" s="12"/>
      <c r="O330" s="12"/>
      <c r="P330" s="12"/>
      <c r="Q330" s="12"/>
      <c r="R330" s="12"/>
      <c r="S330" s="12"/>
      <c r="T330" s="12"/>
      <c r="U330" s="12"/>
      <c r="V330" s="12"/>
      <c r="W330" s="12"/>
      <c r="X330" s="12"/>
      <c r="Y330" s="12"/>
      <c r="Z330" s="12"/>
      <c r="AA330" s="12"/>
      <c r="AB330" s="12"/>
      <c r="AC330" s="12"/>
      <c r="AD330" s="12"/>
      <c r="AE330" s="12"/>
      <c r="AF330" s="12"/>
      <c r="AG330" s="12"/>
      <c r="AH330" s="12"/>
      <c r="AI330" s="12"/>
      <c r="AJ330" s="12"/>
      <c r="AK330" s="12"/>
      <c r="AL330" s="12"/>
    </row>
    <row r="331" spans="1:38" x14ac:dyDescent="0.3">
      <c r="A331" s="12"/>
      <c r="B331" s="12"/>
      <c r="C331" s="12"/>
      <c r="D331" s="12"/>
      <c r="E331" s="12"/>
      <c r="F331" s="12"/>
      <c r="G331" s="12"/>
      <c r="H331" s="12"/>
      <c r="I331" s="12"/>
      <c r="J331" s="12"/>
      <c r="K331" s="12"/>
      <c r="L331" s="12"/>
      <c r="M331" s="12"/>
      <c r="N331" s="12"/>
      <c r="O331" s="12"/>
      <c r="P331" s="12"/>
      <c r="Q331" s="12"/>
      <c r="R331" s="12"/>
      <c r="S331" s="12"/>
      <c r="T331" s="12"/>
      <c r="U331" s="12"/>
      <c r="V331" s="12"/>
      <c r="W331" s="12"/>
      <c r="X331" s="12"/>
      <c r="Y331" s="12"/>
      <c r="Z331" s="12"/>
      <c r="AA331" s="12"/>
      <c r="AB331" s="12"/>
      <c r="AC331" s="12"/>
      <c r="AD331" s="12"/>
      <c r="AE331" s="12"/>
      <c r="AF331" s="12"/>
      <c r="AG331" s="12"/>
      <c r="AH331" s="12"/>
      <c r="AI331" s="12"/>
      <c r="AJ331" s="12"/>
      <c r="AK331" s="12"/>
      <c r="AL331" s="12"/>
    </row>
    <row r="332" spans="1:38" x14ac:dyDescent="0.3">
      <c r="A332" s="12"/>
      <c r="B332" s="12"/>
      <c r="C332" s="12"/>
      <c r="D332" s="12"/>
      <c r="E332" s="12"/>
      <c r="F332" s="12"/>
      <c r="G332" s="12"/>
      <c r="H332" s="12"/>
      <c r="I332" s="12"/>
      <c r="J332" s="12"/>
      <c r="K332" s="12"/>
      <c r="L332" s="12"/>
      <c r="M332" s="12"/>
      <c r="N332" s="12"/>
      <c r="O332" s="12"/>
      <c r="P332" s="12"/>
      <c r="Q332" s="12"/>
      <c r="R332" s="12"/>
      <c r="S332" s="12"/>
      <c r="T332" s="12"/>
      <c r="U332" s="12"/>
      <c r="V332" s="12"/>
      <c r="W332" s="12"/>
      <c r="X332" s="12"/>
      <c r="Y332" s="12"/>
      <c r="Z332" s="12"/>
      <c r="AA332" s="12"/>
      <c r="AB332" s="12"/>
      <c r="AC332" s="12"/>
      <c r="AD332" s="12"/>
      <c r="AE332" s="12"/>
      <c r="AF332" s="12"/>
      <c r="AG332" s="12"/>
      <c r="AH332" s="12"/>
      <c r="AI332" s="12"/>
      <c r="AJ332" s="12"/>
      <c r="AK332" s="12"/>
      <c r="AL332" s="12"/>
    </row>
    <row r="333" spans="1:38" x14ac:dyDescent="0.3">
      <c r="A333" s="12"/>
      <c r="B333" s="12"/>
      <c r="C333" s="12"/>
      <c r="D333" s="12"/>
      <c r="E333" s="12"/>
      <c r="F333" s="12"/>
      <c r="G333" s="12"/>
      <c r="H333" s="12"/>
      <c r="I333" s="12"/>
      <c r="J333" s="12"/>
      <c r="K333" s="12"/>
      <c r="L333" s="12"/>
      <c r="M333" s="12"/>
      <c r="N333" s="12"/>
      <c r="O333" s="12"/>
      <c r="P333" s="12"/>
      <c r="Q333" s="12"/>
      <c r="R333" s="12"/>
      <c r="S333" s="12"/>
      <c r="T333" s="12"/>
      <c r="U333" s="12"/>
      <c r="V333" s="12"/>
      <c r="W333" s="12"/>
      <c r="X333" s="12"/>
      <c r="Y333" s="12"/>
      <c r="Z333" s="12"/>
      <c r="AA333" s="12"/>
      <c r="AB333" s="12"/>
      <c r="AC333" s="12"/>
      <c r="AD333" s="12"/>
      <c r="AE333" s="12"/>
      <c r="AF333" s="12"/>
      <c r="AG333" s="12"/>
      <c r="AH333" s="12"/>
      <c r="AI333" s="12"/>
      <c r="AJ333" s="12"/>
      <c r="AK333" s="12"/>
      <c r="AL333" s="12"/>
    </row>
    <row r="334" spans="1:38" x14ac:dyDescent="0.3">
      <c r="A334" s="12"/>
      <c r="B334" s="12"/>
      <c r="C334" s="12"/>
      <c r="D334" s="12"/>
      <c r="E334" s="12"/>
      <c r="F334" s="12"/>
      <c r="G334" s="12"/>
      <c r="H334" s="12"/>
      <c r="I334" s="12"/>
      <c r="J334" s="12"/>
      <c r="K334" s="12"/>
      <c r="L334" s="12"/>
      <c r="M334" s="12"/>
      <c r="N334" s="12"/>
      <c r="O334" s="12"/>
      <c r="P334" s="12"/>
      <c r="Q334" s="12"/>
      <c r="R334" s="12"/>
      <c r="S334" s="12"/>
      <c r="T334" s="12"/>
      <c r="U334" s="12"/>
      <c r="V334" s="12"/>
      <c r="W334" s="12"/>
      <c r="X334" s="12"/>
      <c r="Y334" s="12"/>
      <c r="Z334" s="12"/>
      <c r="AA334" s="12"/>
      <c r="AB334" s="12"/>
      <c r="AC334" s="12"/>
      <c r="AD334" s="12"/>
      <c r="AE334" s="12"/>
      <c r="AF334" s="12"/>
      <c r="AG334" s="12"/>
      <c r="AH334" s="12"/>
      <c r="AI334" s="12"/>
      <c r="AJ334" s="12"/>
      <c r="AK334" s="12"/>
      <c r="AL334" s="12"/>
    </row>
    <row r="335" spans="1:38" x14ac:dyDescent="0.3">
      <c r="A335" s="12"/>
      <c r="B335" s="12"/>
      <c r="C335" s="12"/>
      <c r="D335" s="12"/>
      <c r="E335" s="12"/>
      <c r="F335" s="12"/>
      <c r="G335" s="12"/>
      <c r="H335" s="12"/>
      <c r="I335" s="12"/>
      <c r="J335" s="12"/>
      <c r="K335" s="12"/>
      <c r="L335" s="12"/>
      <c r="M335" s="12"/>
      <c r="N335" s="12"/>
      <c r="O335" s="12"/>
      <c r="P335" s="12"/>
      <c r="Q335" s="12"/>
      <c r="R335" s="12"/>
      <c r="S335" s="12"/>
      <c r="T335" s="12"/>
      <c r="U335" s="12"/>
      <c r="V335" s="12"/>
      <c r="W335" s="12"/>
      <c r="X335" s="12"/>
      <c r="Y335" s="12"/>
      <c r="Z335" s="12"/>
      <c r="AA335" s="12"/>
      <c r="AB335" s="12"/>
      <c r="AC335" s="12"/>
      <c r="AD335" s="12"/>
      <c r="AE335" s="12"/>
      <c r="AF335" s="12"/>
      <c r="AG335" s="12"/>
      <c r="AH335" s="12"/>
      <c r="AI335" s="12"/>
      <c r="AJ335" s="12"/>
      <c r="AK335" s="12"/>
      <c r="AL335" s="12"/>
    </row>
    <row r="336" spans="1:38" x14ac:dyDescent="0.3">
      <c r="A336" s="12"/>
      <c r="B336" s="12"/>
      <c r="C336" s="12"/>
      <c r="D336" s="12"/>
      <c r="E336" s="12"/>
      <c r="F336" s="12"/>
      <c r="G336" s="12"/>
      <c r="H336" s="12"/>
      <c r="I336" s="12"/>
      <c r="J336" s="12"/>
      <c r="K336" s="12"/>
      <c r="L336" s="12"/>
      <c r="M336" s="12"/>
      <c r="N336" s="12"/>
      <c r="O336" s="12"/>
      <c r="P336" s="12"/>
      <c r="Q336" s="12"/>
      <c r="R336" s="12"/>
      <c r="S336" s="12"/>
      <c r="T336" s="12"/>
      <c r="U336" s="12"/>
      <c r="V336" s="12"/>
      <c r="W336" s="12"/>
      <c r="X336" s="12"/>
      <c r="Y336" s="12"/>
      <c r="Z336" s="12"/>
      <c r="AA336" s="12"/>
      <c r="AB336" s="12"/>
      <c r="AC336" s="12"/>
      <c r="AD336" s="12"/>
      <c r="AE336" s="12"/>
      <c r="AF336" s="12"/>
      <c r="AG336" s="12"/>
      <c r="AH336" s="12"/>
      <c r="AI336" s="12"/>
      <c r="AJ336" s="12"/>
      <c r="AK336" s="12"/>
      <c r="AL336" s="12"/>
    </row>
    <row r="337" spans="1:38" x14ac:dyDescent="0.3">
      <c r="A337" s="12"/>
      <c r="B337" s="12"/>
      <c r="C337" s="12"/>
      <c r="D337" s="12"/>
      <c r="E337" s="12"/>
      <c r="F337" s="12"/>
      <c r="G337" s="12"/>
      <c r="H337" s="12"/>
      <c r="I337" s="12"/>
      <c r="J337" s="12"/>
      <c r="K337" s="12"/>
      <c r="L337" s="12"/>
      <c r="M337" s="12"/>
      <c r="N337" s="12"/>
      <c r="O337" s="12"/>
      <c r="P337" s="12"/>
      <c r="Q337" s="12"/>
      <c r="R337" s="12"/>
      <c r="S337" s="12"/>
      <c r="T337" s="12"/>
      <c r="U337" s="12"/>
      <c r="V337" s="12"/>
      <c r="W337" s="12"/>
      <c r="X337" s="12"/>
      <c r="Y337" s="12"/>
      <c r="Z337" s="12"/>
      <c r="AA337" s="12"/>
      <c r="AB337" s="12"/>
      <c r="AC337" s="12"/>
      <c r="AD337" s="12"/>
      <c r="AE337" s="12"/>
      <c r="AF337" s="12"/>
      <c r="AG337" s="12"/>
      <c r="AH337" s="12"/>
      <c r="AI337" s="12"/>
      <c r="AJ337" s="12"/>
      <c r="AK337" s="12"/>
      <c r="AL337" s="12"/>
    </row>
    <row r="338" spans="1:38" x14ac:dyDescent="0.3">
      <c r="A338" s="12"/>
      <c r="B338" s="12"/>
      <c r="C338" s="12"/>
      <c r="D338" s="12"/>
      <c r="E338" s="12"/>
      <c r="F338" s="12"/>
      <c r="G338" s="12"/>
      <c r="H338" s="12"/>
      <c r="I338" s="12"/>
      <c r="J338" s="12"/>
      <c r="K338" s="12"/>
      <c r="L338" s="12"/>
      <c r="M338" s="12"/>
      <c r="N338" s="12"/>
      <c r="O338" s="12"/>
      <c r="P338" s="12"/>
      <c r="Q338" s="12"/>
      <c r="R338" s="12"/>
      <c r="S338" s="12"/>
      <c r="T338" s="12"/>
      <c r="U338" s="12"/>
      <c r="V338" s="12"/>
      <c r="W338" s="12"/>
      <c r="X338" s="12"/>
      <c r="Y338" s="12"/>
      <c r="Z338" s="12"/>
      <c r="AA338" s="12"/>
      <c r="AB338" s="12"/>
      <c r="AC338" s="12"/>
      <c r="AD338" s="12"/>
      <c r="AE338" s="12"/>
      <c r="AF338" s="12"/>
      <c r="AG338" s="12"/>
      <c r="AH338" s="12"/>
      <c r="AI338" s="12"/>
      <c r="AJ338" s="12"/>
      <c r="AK338" s="12"/>
      <c r="AL338" s="12"/>
    </row>
    <row r="339" spans="1:38" x14ac:dyDescent="0.3">
      <c r="A339" s="12"/>
      <c r="B339" s="12"/>
      <c r="C339" s="12"/>
      <c r="D339" s="12"/>
      <c r="E339" s="12"/>
      <c r="F339" s="12"/>
      <c r="G339" s="12"/>
      <c r="H339" s="12"/>
      <c r="I339" s="12"/>
      <c r="J339" s="12"/>
      <c r="K339" s="12"/>
      <c r="L339" s="12"/>
      <c r="M339" s="12"/>
      <c r="N339" s="12"/>
      <c r="O339" s="12"/>
      <c r="P339" s="12"/>
      <c r="Q339" s="12"/>
      <c r="R339" s="12"/>
      <c r="S339" s="12"/>
      <c r="T339" s="12"/>
      <c r="U339" s="12"/>
      <c r="V339" s="12"/>
      <c r="W339" s="12"/>
      <c r="X339" s="12"/>
      <c r="Y339" s="12"/>
      <c r="Z339" s="12"/>
      <c r="AA339" s="12"/>
      <c r="AB339" s="12"/>
      <c r="AC339" s="12"/>
      <c r="AD339" s="12"/>
      <c r="AE339" s="12"/>
      <c r="AF339" s="12"/>
      <c r="AG339" s="12"/>
      <c r="AH339" s="12"/>
      <c r="AI339" s="12"/>
      <c r="AJ339" s="12"/>
      <c r="AK339" s="12"/>
      <c r="AL339" s="12"/>
    </row>
    <row r="340" spans="1:38" x14ac:dyDescent="0.3">
      <c r="A340" s="12"/>
      <c r="B340" s="12"/>
      <c r="C340" s="12"/>
      <c r="D340" s="12"/>
      <c r="E340" s="12"/>
      <c r="F340" s="12"/>
      <c r="G340" s="12"/>
      <c r="H340" s="12"/>
      <c r="I340" s="12"/>
      <c r="J340" s="12"/>
      <c r="K340" s="12"/>
      <c r="L340" s="12"/>
      <c r="M340" s="12"/>
      <c r="N340" s="12"/>
      <c r="O340" s="12"/>
      <c r="P340" s="12"/>
      <c r="Q340" s="12"/>
      <c r="R340" s="12"/>
      <c r="S340" s="12"/>
      <c r="T340" s="12"/>
      <c r="U340" s="12"/>
      <c r="V340" s="12"/>
      <c r="W340" s="12"/>
      <c r="X340" s="12"/>
      <c r="Y340" s="12"/>
      <c r="Z340" s="12"/>
      <c r="AA340" s="12"/>
      <c r="AB340" s="12"/>
      <c r="AC340" s="12"/>
      <c r="AD340" s="12"/>
      <c r="AE340" s="12"/>
      <c r="AF340" s="12"/>
      <c r="AG340" s="12"/>
      <c r="AH340" s="12"/>
      <c r="AI340" s="12"/>
      <c r="AJ340" s="12"/>
      <c r="AK340" s="12"/>
      <c r="AL340" s="12"/>
    </row>
    <row r="341" spans="1:38" x14ac:dyDescent="0.3">
      <c r="A341" s="12"/>
      <c r="B341" s="12"/>
      <c r="C341" s="12"/>
      <c r="D341" s="12"/>
      <c r="E341" s="12"/>
      <c r="F341" s="12"/>
      <c r="G341" s="12"/>
      <c r="H341" s="12"/>
      <c r="I341" s="12"/>
      <c r="J341" s="12"/>
      <c r="K341" s="12"/>
      <c r="L341" s="12"/>
      <c r="M341" s="12"/>
      <c r="N341" s="12"/>
      <c r="O341" s="12"/>
      <c r="P341" s="12"/>
      <c r="Q341" s="12"/>
      <c r="R341" s="12"/>
      <c r="S341" s="12"/>
      <c r="T341" s="12"/>
      <c r="U341" s="12"/>
      <c r="V341" s="12"/>
      <c r="W341" s="12"/>
      <c r="X341" s="12"/>
      <c r="Y341" s="12"/>
      <c r="Z341" s="12"/>
      <c r="AA341" s="12"/>
      <c r="AB341" s="12"/>
      <c r="AC341" s="12"/>
      <c r="AD341" s="12"/>
      <c r="AE341" s="12"/>
      <c r="AF341" s="12"/>
      <c r="AG341" s="12"/>
      <c r="AH341" s="12"/>
      <c r="AI341" s="12"/>
      <c r="AJ341" s="12"/>
      <c r="AK341" s="12"/>
      <c r="AL341" s="12"/>
    </row>
    <row r="342" spans="1:38" x14ac:dyDescent="0.3">
      <c r="A342" s="12"/>
      <c r="B342" s="12"/>
      <c r="C342" s="12"/>
      <c r="D342" s="12"/>
      <c r="E342" s="12"/>
      <c r="F342" s="12"/>
      <c r="G342" s="12"/>
      <c r="H342" s="12"/>
      <c r="I342" s="12"/>
      <c r="J342" s="12"/>
      <c r="K342" s="12"/>
      <c r="L342" s="12"/>
      <c r="M342" s="12"/>
      <c r="N342" s="12"/>
      <c r="O342" s="12"/>
      <c r="P342" s="12"/>
      <c r="Q342" s="12"/>
      <c r="R342" s="12"/>
      <c r="S342" s="12"/>
      <c r="T342" s="12"/>
      <c r="U342" s="12"/>
      <c r="V342" s="12"/>
      <c r="W342" s="12"/>
      <c r="X342" s="12"/>
      <c r="Y342" s="12"/>
      <c r="Z342" s="12"/>
      <c r="AA342" s="12"/>
      <c r="AB342" s="12"/>
      <c r="AC342" s="12"/>
      <c r="AD342" s="12"/>
      <c r="AE342" s="12"/>
      <c r="AF342" s="12"/>
      <c r="AG342" s="12"/>
      <c r="AH342" s="12"/>
      <c r="AI342" s="12"/>
      <c r="AJ342" s="12"/>
      <c r="AK342" s="12"/>
      <c r="AL342" s="12"/>
    </row>
    <row r="343" spans="1:38" x14ac:dyDescent="0.3">
      <c r="A343" s="12"/>
      <c r="B343" s="12"/>
      <c r="C343" s="12"/>
      <c r="D343" s="12"/>
      <c r="E343" s="12"/>
      <c r="F343" s="12"/>
      <c r="G343" s="12"/>
      <c r="H343" s="12"/>
      <c r="I343" s="12"/>
      <c r="J343" s="12"/>
      <c r="K343" s="12"/>
      <c r="L343" s="12"/>
      <c r="M343" s="12"/>
      <c r="N343" s="12"/>
      <c r="O343" s="12"/>
      <c r="P343" s="12"/>
      <c r="Q343" s="12"/>
      <c r="R343" s="12"/>
      <c r="S343" s="12"/>
      <c r="T343" s="12"/>
      <c r="U343" s="12"/>
      <c r="V343" s="12"/>
      <c r="W343" s="12"/>
      <c r="X343" s="12"/>
      <c r="Y343" s="12"/>
      <c r="Z343" s="12"/>
      <c r="AA343" s="12"/>
      <c r="AB343" s="12"/>
      <c r="AC343" s="12"/>
      <c r="AD343" s="12"/>
      <c r="AE343" s="12"/>
      <c r="AF343" s="12"/>
      <c r="AG343" s="12"/>
      <c r="AH343" s="12"/>
      <c r="AI343" s="12"/>
      <c r="AJ343" s="12"/>
      <c r="AK343" s="12"/>
      <c r="AL343" s="12"/>
    </row>
    <row r="344" spans="1:38" x14ac:dyDescent="0.3">
      <c r="A344" s="12"/>
      <c r="B344" s="12"/>
      <c r="C344" s="12"/>
      <c r="D344" s="12"/>
      <c r="E344" s="12"/>
      <c r="F344" s="12"/>
      <c r="G344" s="12"/>
      <c r="H344" s="12"/>
      <c r="I344" s="12"/>
      <c r="J344" s="12"/>
      <c r="K344" s="12"/>
      <c r="L344" s="12"/>
      <c r="M344" s="12"/>
      <c r="N344" s="12"/>
      <c r="O344" s="12"/>
      <c r="P344" s="12"/>
      <c r="Q344" s="12"/>
      <c r="R344" s="12"/>
      <c r="S344" s="12"/>
      <c r="T344" s="12"/>
      <c r="U344" s="12"/>
      <c r="V344" s="12"/>
      <c r="W344" s="12"/>
      <c r="X344" s="12"/>
      <c r="Y344" s="12"/>
      <c r="Z344" s="12"/>
      <c r="AA344" s="12"/>
      <c r="AB344" s="12"/>
      <c r="AC344" s="12"/>
      <c r="AD344" s="12"/>
      <c r="AE344" s="12"/>
      <c r="AF344" s="12"/>
      <c r="AG344" s="12"/>
      <c r="AH344" s="12"/>
      <c r="AI344" s="12"/>
      <c r="AJ344" s="12"/>
      <c r="AK344" s="12"/>
      <c r="AL344" s="12"/>
    </row>
    <row r="345" spans="1:38" x14ac:dyDescent="0.3">
      <c r="A345" s="12"/>
      <c r="B345" s="12"/>
      <c r="C345" s="12"/>
      <c r="D345" s="12"/>
      <c r="E345" s="12"/>
      <c r="F345" s="12"/>
      <c r="G345" s="12"/>
      <c r="H345" s="12"/>
      <c r="I345" s="12"/>
      <c r="J345" s="12"/>
      <c r="K345" s="12"/>
      <c r="L345" s="12"/>
      <c r="M345" s="12"/>
      <c r="N345" s="12"/>
      <c r="O345" s="12"/>
      <c r="P345" s="12"/>
      <c r="Q345" s="12"/>
      <c r="R345" s="12"/>
      <c r="S345" s="12"/>
      <c r="T345" s="12"/>
      <c r="U345" s="12"/>
      <c r="V345" s="12"/>
      <c r="W345" s="12"/>
      <c r="X345" s="12"/>
      <c r="Y345" s="12"/>
      <c r="Z345" s="12"/>
      <c r="AA345" s="12"/>
      <c r="AB345" s="12"/>
      <c r="AC345" s="12"/>
      <c r="AD345" s="12"/>
      <c r="AE345" s="12"/>
      <c r="AF345" s="12"/>
      <c r="AG345" s="12"/>
      <c r="AH345" s="12"/>
      <c r="AI345" s="12"/>
      <c r="AJ345" s="12"/>
      <c r="AK345" s="12"/>
      <c r="AL345" s="12"/>
    </row>
    <row r="346" spans="1:38" x14ac:dyDescent="0.3">
      <c r="A346" s="12"/>
      <c r="B346" s="12"/>
      <c r="C346" s="12"/>
      <c r="D346" s="12"/>
      <c r="E346" s="12"/>
      <c r="F346" s="12"/>
      <c r="G346" s="12"/>
      <c r="H346" s="12"/>
      <c r="I346" s="12"/>
      <c r="J346" s="12"/>
      <c r="K346" s="12"/>
      <c r="L346" s="12"/>
      <c r="M346" s="12"/>
      <c r="N346" s="12"/>
      <c r="O346" s="12"/>
      <c r="P346" s="12"/>
      <c r="Q346" s="12"/>
      <c r="R346" s="12"/>
      <c r="S346" s="12"/>
      <c r="T346" s="12"/>
      <c r="U346" s="12"/>
      <c r="V346" s="12"/>
      <c r="W346" s="12"/>
      <c r="X346" s="12"/>
      <c r="Y346" s="12"/>
      <c r="Z346" s="12"/>
      <c r="AA346" s="12"/>
      <c r="AB346" s="12"/>
      <c r="AC346" s="12"/>
      <c r="AD346" s="12"/>
      <c r="AE346" s="12"/>
      <c r="AF346" s="12"/>
      <c r="AG346" s="12"/>
      <c r="AH346" s="12"/>
      <c r="AI346" s="12"/>
      <c r="AJ346" s="12"/>
      <c r="AK346" s="12"/>
      <c r="AL346" s="12"/>
    </row>
    <row r="347" spans="1:38" x14ac:dyDescent="0.3">
      <c r="A347" s="12"/>
      <c r="B347" s="12"/>
      <c r="C347" s="12"/>
      <c r="D347" s="12"/>
      <c r="E347" s="12"/>
      <c r="F347" s="12"/>
      <c r="G347" s="12"/>
      <c r="H347" s="12"/>
      <c r="I347" s="12"/>
      <c r="J347" s="12"/>
      <c r="K347" s="12"/>
      <c r="L347" s="12"/>
      <c r="M347" s="12"/>
      <c r="N347" s="12"/>
      <c r="O347" s="12"/>
      <c r="P347" s="12"/>
      <c r="Q347" s="12"/>
      <c r="R347" s="12"/>
      <c r="S347" s="12"/>
      <c r="T347" s="12"/>
      <c r="U347" s="12"/>
      <c r="V347" s="12"/>
      <c r="W347" s="12"/>
      <c r="X347" s="12"/>
      <c r="Y347" s="12"/>
      <c r="Z347" s="12"/>
      <c r="AA347" s="12"/>
      <c r="AB347" s="12"/>
      <c r="AC347" s="12"/>
      <c r="AD347" s="12"/>
      <c r="AE347" s="12"/>
      <c r="AF347" s="12"/>
      <c r="AG347" s="12"/>
      <c r="AH347" s="12"/>
      <c r="AI347" s="12"/>
      <c r="AJ347" s="12"/>
      <c r="AK347" s="12"/>
      <c r="AL347" s="12"/>
    </row>
    <row r="348" spans="1:38" x14ac:dyDescent="0.3">
      <c r="A348" s="12"/>
      <c r="B348" s="12"/>
      <c r="C348" s="12"/>
      <c r="D348" s="12"/>
      <c r="E348" s="12"/>
      <c r="F348" s="12"/>
      <c r="G348" s="12"/>
      <c r="H348" s="12"/>
      <c r="I348" s="12"/>
      <c r="J348" s="12"/>
      <c r="K348" s="12"/>
      <c r="L348" s="12"/>
      <c r="M348" s="12"/>
      <c r="N348" s="12"/>
      <c r="O348" s="12"/>
      <c r="P348" s="12"/>
      <c r="Q348" s="12"/>
      <c r="R348" s="12"/>
      <c r="S348" s="12"/>
      <c r="T348" s="12"/>
      <c r="U348" s="12"/>
      <c r="V348" s="12"/>
      <c r="W348" s="12"/>
      <c r="X348" s="12"/>
      <c r="Y348" s="12"/>
      <c r="Z348" s="12"/>
      <c r="AA348" s="12"/>
      <c r="AB348" s="12"/>
      <c r="AC348" s="12"/>
      <c r="AD348" s="12"/>
      <c r="AE348" s="12"/>
      <c r="AF348" s="12"/>
      <c r="AG348" s="12"/>
      <c r="AH348" s="12"/>
      <c r="AI348" s="12"/>
      <c r="AJ348" s="12"/>
      <c r="AK348" s="12"/>
      <c r="AL348" s="12"/>
    </row>
    <row r="349" spans="1:38" x14ac:dyDescent="0.3">
      <c r="A349" s="12"/>
      <c r="B349" s="12"/>
      <c r="C349" s="12"/>
      <c r="D349" s="12"/>
      <c r="E349" s="12"/>
      <c r="F349" s="12"/>
      <c r="G349" s="12"/>
      <c r="H349" s="12"/>
      <c r="I349" s="12"/>
      <c r="J349" s="12"/>
      <c r="K349" s="12"/>
      <c r="L349" s="12"/>
      <c r="M349" s="12"/>
      <c r="N349" s="12"/>
      <c r="O349" s="12"/>
      <c r="P349" s="12"/>
      <c r="Q349" s="12"/>
      <c r="R349" s="12"/>
      <c r="S349" s="12"/>
      <c r="T349" s="12"/>
      <c r="U349" s="12"/>
      <c r="V349" s="12"/>
      <c r="W349" s="12"/>
      <c r="X349" s="12"/>
      <c r="Y349" s="12"/>
      <c r="Z349" s="12"/>
      <c r="AA349" s="12"/>
      <c r="AB349" s="12"/>
      <c r="AC349" s="12"/>
      <c r="AD349" s="12"/>
      <c r="AE349" s="12"/>
      <c r="AF349" s="12"/>
      <c r="AG349" s="12"/>
      <c r="AH349" s="12"/>
      <c r="AI349" s="12"/>
      <c r="AJ349" s="12"/>
      <c r="AK349" s="12"/>
      <c r="AL349" s="12"/>
    </row>
    <row r="350" spans="1:38" x14ac:dyDescent="0.3">
      <c r="A350" s="12"/>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c r="AA350" s="12"/>
      <c r="AB350" s="12"/>
      <c r="AC350" s="12"/>
      <c r="AD350" s="12"/>
      <c r="AE350" s="12"/>
      <c r="AF350" s="12"/>
      <c r="AG350" s="12"/>
      <c r="AH350" s="12"/>
      <c r="AI350" s="12"/>
      <c r="AJ350" s="12"/>
      <c r="AK350" s="12"/>
      <c r="AL350" s="12"/>
    </row>
    <row r="351" spans="1:38" x14ac:dyDescent="0.3">
      <c r="A351" s="12"/>
      <c r="B351" s="12"/>
      <c r="C351" s="12"/>
      <c r="D351" s="12"/>
      <c r="E351" s="12"/>
      <c r="F351" s="12"/>
      <c r="G351" s="12"/>
      <c r="H351" s="12"/>
      <c r="I351" s="12"/>
      <c r="J351" s="12"/>
      <c r="K351" s="12"/>
      <c r="L351" s="12"/>
      <c r="M351" s="12"/>
      <c r="N351" s="12"/>
      <c r="O351" s="12"/>
      <c r="P351" s="12"/>
      <c r="Q351" s="12"/>
      <c r="R351" s="12"/>
      <c r="S351" s="12"/>
      <c r="T351" s="12"/>
      <c r="U351" s="12"/>
      <c r="V351" s="12"/>
      <c r="W351" s="12"/>
      <c r="X351" s="12"/>
      <c r="Y351" s="12"/>
      <c r="Z351" s="12"/>
      <c r="AA351" s="12"/>
      <c r="AB351" s="12"/>
      <c r="AC351" s="12"/>
      <c r="AD351" s="12"/>
      <c r="AE351" s="12"/>
      <c r="AF351" s="12"/>
      <c r="AG351" s="12"/>
      <c r="AH351" s="12"/>
      <c r="AI351" s="12"/>
      <c r="AJ351" s="12"/>
      <c r="AK351" s="12"/>
      <c r="AL351" s="12"/>
    </row>
    <row r="352" spans="1:38" x14ac:dyDescent="0.3">
      <c r="A352" s="12"/>
      <c r="B352" s="12"/>
      <c r="C352" s="12"/>
      <c r="D352" s="12"/>
      <c r="E352" s="12"/>
      <c r="F352" s="12"/>
      <c r="G352" s="12"/>
      <c r="H352" s="12"/>
      <c r="I352" s="12"/>
      <c r="J352" s="12"/>
      <c r="K352" s="12"/>
      <c r="L352" s="12"/>
      <c r="M352" s="12"/>
      <c r="N352" s="12"/>
      <c r="O352" s="12"/>
      <c r="P352" s="12"/>
      <c r="Q352" s="12"/>
      <c r="R352" s="12"/>
      <c r="S352" s="12"/>
      <c r="T352" s="12"/>
      <c r="U352" s="12"/>
      <c r="V352" s="12"/>
      <c r="W352" s="12"/>
      <c r="X352" s="12"/>
      <c r="Y352" s="12"/>
      <c r="Z352" s="12"/>
      <c r="AA352" s="12"/>
      <c r="AB352" s="12"/>
      <c r="AC352" s="12"/>
      <c r="AD352" s="12"/>
      <c r="AE352" s="12"/>
      <c r="AF352" s="12"/>
      <c r="AG352" s="12"/>
      <c r="AH352" s="12"/>
      <c r="AI352" s="12"/>
      <c r="AJ352" s="12"/>
      <c r="AK352" s="12"/>
      <c r="AL352" s="12"/>
    </row>
    <row r="353" spans="1:38" x14ac:dyDescent="0.3">
      <c r="A353" s="12"/>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c r="AA353" s="12"/>
      <c r="AB353" s="12"/>
      <c r="AC353" s="12"/>
      <c r="AD353" s="12"/>
      <c r="AE353" s="12"/>
      <c r="AF353" s="12"/>
      <c r="AG353" s="12"/>
      <c r="AH353" s="12"/>
      <c r="AI353" s="12"/>
      <c r="AJ353" s="12"/>
      <c r="AK353" s="12"/>
      <c r="AL353" s="12"/>
    </row>
    <row r="354" spans="1:38" x14ac:dyDescent="0.3">
      <c r="A354" s="12"/>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c r="AA354" s="12"/>
      <c r="AB354" s="12"/>
      <c r="AC354" s="12"/>
      <c r="AD354" s="12"/>
      <c r="AE354" s="12"/>
      <c r="AF354" s="12"/>
      <c r="AG354" s="12"/>
      <c r="AH354" s="12"/>
      <c r="AI354" s="12"/>
      <c r="AJ354" s="12"/>
      <c r="AK354" s="12"/>
      <c r="AL354" s="12"/>
    </row>
    <row r="355" spans="1:38" x14ac:dyDescent="0.3">
      <c r="A355" s="12"/>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c r="AA355" s="12"/>
      <c r="AB355" s="12"/>
      <c r="AC355" s="12"/>
      <c r="AD355" s="12"/>
      <c r="AE355" s="12"/>
      <c r="AF355" s="12"/>
      <c r="AG355" s="12"/>
      <c r="AH355" s="12"/>
      <c r="AI355" s="12"/>
      <c r="AJ355" s="12"/>
      <c r="AK355" s="12"/>
      <c r="AL355" s="12"/>
    </row>
    <row r="356" spans="1:38" x14ac:dyDescent="0.3">
      <c r="A356" s="12"/>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c r="AA356" s="12"/>
      <c r="AB356" s="12"/>
      <c r="AC356" s="12"/>
      <c r="AD356" s="12"/>
      <c r="AE356" s="12"/>
      <c r="AF356" s="12"/>
      <c r="AG356" s="12"/>
      <c r="AH356" s="12"/>
      <c r="AI356" s="12"/>
      <c r="AJ356" s="12"/>
      <c r="AK356" s="12"/>
      <c r="AL356" s="12"/>
    </row>
    <row r="357" spans="1:38" x14ac:dyDescent="0.3">
      <c r="A357" s="12"/>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c r="AA357" s="12"/>
      <c r="AB357" s="12"/>
      <c r="AC357" s="12"/>
      <c r="AD357" s="12"/>
      <c r="AE357" s="12"/>
      <c r="AF357" s="12"/>
      <c r="AG357" s="12"/>
      <c r="AH357" s="12"/>
      <c r="AI357" s="12"/>
      <c r="AJ357" s="12"/>
      <c r="AK357" s="12"/>
      <c r="AL357" s="12"/>
    </row>
    <row r="358" spans="1:38" x14ac:dyDescent="0.3">
      <c r="A358" s="12"/>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c r="AA358" s="12"/>
      <c r="AB358" s="12"/>
      <c r="AC358" s="12"/>
      <c r="AD358" s="12"/>
      <c r="AE358" s="12"/>
      <c r="AF358" s="12"/>
      <c r="AG358" s="12"/>
      <c r="AH358" s="12"/>
      <c r="AI358" s="12"/>
      <c r="AJ358" s="12"/>
      <c r="AK358" s="12"/>
      <c r="AL358" s="12"/>
    </row>
    <row r="359" spans="1:38" x14ac:dyDescent="0.3">
      <c r="A359" s="12"/>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c r="AA359" s="12"/>
      <c r="AB359" s="12"/>
      <c r="AC359" s="12"/>
      <c r="AD359" s="12"/>
      <c r="AE359" s="12"/>
      <c r="AF359" s="12"/>
      <c r="AG359" s="12"/>
      <c r="AH359" s="12"/>
      <c r="AI359" s="12"/>
      <c r="AJ359" s="12"/>
      <c r="AK359" s="12"/>
      <c r="AL359" s="12"/>
    </row>
    <row r="360" spans="1:38" x14ac:dyDescent="0.3">
      <c r="A360" s="12"/>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c r="AA360" s="12"/>
      <c r="AB360" s="12"/>
      <c r="AC360" s="12"/>
      <c r="AD360" s="12"/>
      <c r="AE360" s="12"/>
      <c r="AF360" s="12"/>
      <c r="AG360" s="12"/>
      <c r="AH360" s="12"/>
      <c r="AI360" s="12"/>
      <c r="AJ360" s="12"/>
      <c r="AK360" s="12"/>
      <c r="AL360" s="12"/>
    </row>
    <row r="361" spans="1:38" x14ac:dyDescent="0.3">
      <c r="A361" s="12"/>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c r="AA361" s="12"/>
      <c r="AB361" s="12"/>
      <c r="AC361" s="12"/>
      <c r="AD361" s="12"/>
      <c r="AE361" s="12"/>
      <c r="AF361" s="12"/>
      <c r="AG361" s="12"/>
      <c r="AH361" s="12"/>
      <c r="AI361" s="12"/>
      <c r="AJ361" s="12"/>
      <c r="AK361" s="12"/>
      <c r="AL361" s="12"/>
    </row>
    <row r="362" spans="1:38" x14ac:dyDescent="0.3">
      <c r="A362" s="12"/>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c r="AA362" s="12"/>
      <c r="AB362" s="12"/>
      <c r="AC362" s="12"/>
      <c r="AD362" s="12"/>
      <c r="AE362" s="12"/>
      <c r="AF362" s="12"/>
      <c r="AG362" s="12"/>
      <c r="AH362" s="12"/>
      <c r="AI362" s="12"/>
      <c r="AJ362" s="12"/>
      <c r="AK362" s="12"/>
      <c r="AL362" s="12"/>
    </row>
    <row r="363" spans="1:38" x14ac:dyDescent="0.3">
      <c r="A363" s="12"/>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c r="AA363" s="12"/>
      <c r="AB363" s="12"/>
      <c r="AC363" s="12"/>
      <c r="AD363" s="12"/>
      <c r="AE363" s="12"/>
      <c r="AF363" s="12"/>
      <c r="AG363" s="12"/>
      <c r="AH363" s="12"/>
      <c r="AI363" s="12"/>
      <c r="AJ363" s="12"/>
      <c r="AK363" s="12"/>
      <c r="AL363" s="12"/>
    </row>
    <row r="364" spans="1:38" x14ac:dyDescent="0.3">
      <c r="A364" s="12"/>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c r="AA364" s="12"/>
      <c r="AB364" s="12"/>
      <c r="AC364" s="12"/>
      <c r="AD364" s="12"/>
      <c r="AE364" s="12"/>
      <c r="AF364" s="12"/>
      <c r="AG364" s="12"/>
      <c r="AH364" s="12"/>
      <c r="AI364" s="12"/>
      <c r="AJ364" s="12"/>
      <c r="AK364" s="12"/>
      <c r="AL364" s="12"/>
    </row>
    <row r="365" spans="1:38" x14ac:dyDescent="0.3">
      <c r="A365" s="12"/>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c r="AA365" s="12"/>
      <c r="AB365" s="12"/>
      <c r="AC365" s="12"/>
      <c r="AD365" s="12"/>
      <c r="AE365" s="12"/>
      <c r="AF365" s="12"/>
      <c r="AG365" s="12"/>
      <c r="AH365" s="12"/>
      <c r="AI365" s="12"/>
      <c r="AJ365" s="12"/>
      <c r="AK365" s="12"/>
      <c r="AL365" s="12"/>
    </row>
    <row r="366" spans="1:38" x14ac:dyDescent="0.3">
      <c r="A366" s="12"/>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c r="AA366" s="12"/>
      <c r="AB366" s="12"/>
      <c r="AC366" s="12"/>
      <c r="AD366" s="12"/>
      <c r="AE366" s="12"/>
      <c r="AF366" s="12"/>
      <c r="AG366" s="12"/>
      <c r="AH366" s="12"/>
      <c r="AI366" s="12"/>
      <c r="AJ366" s="12"/>
      <c r="AK366" s="12"/>
      <c r="AL366" s="12"/>
    </row>
    <row r="367" spans="1:38" x14ac:dyDescent="0.3">
      <c r="A367" s="12"/>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c r="AA367" s="12"/>
      <c r="AB367" s="12"/>
      <c r="AC367" s="12"/>
      <c r="AD367" s="12"/>
      <c r="AE367" s="12"/>
      <c r="AF367" s="12"/>
      <c r="AG367" s="12"/>
      <c r="AH367" s="12"/>
      <c r="AI367" s="12"/>
      <c r="AJ367" s="12"/>
      <c r="AK367" s="12"/>
      <c r="AL367" s="12"/>
    </row>
    <row r="368" spans="1:38" x14ac:dyDescent="0.3">
      <c r="A368" s="12"/>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c r="AA368" s="12"/>
      <c r="AB368" s="12"/>
      <c r="AC368" s="12"/>
      <c r="AD368" s="12"/>
      <c r="AE368" s="12"/>
      <c r="AF368" s="12"/>
      <c r="AG368" s="12"/>
      <c r="AH368" s="12"/>
      <c r="AI368" s="12"/>
      <c r="AJ368" s="12"/>
      <c r="AK368" s="12"/>
      <c r="AL368" s="12"/>
    </row>
    <row r="369" spans="1:38" x14ac:dyDescent="0.3">
      <c r="A369" s="12"/>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c r="AA369" s="12"/>
      <c r="AB369" s="12"/>
      <c r="AC369" s="12"/>
      <c r="AD369" s="12"/>
      <c r="AE369" s="12"/>
      <c r="AF369" s="12"/>
      <c r="AG369" s="12"/>
      <c r="AH369" s="12"/>
      <c r="AI369" s="12"/>
      <c r="AJ369" s="12"/>
      <c r="AK369" s="12"/>
      <c r="AL369" s="12"/>
    </row>
    <row r="370" spans="1:38" x14ac:dyDescent="0.3">
      <c r="A370" s="12"/>
      <c r="B370" s="12"/>
      <c r="C370" s="12"/>
      <c r="D370" s="12"/>
      <c r="E370" s="12"/>
      <c r="F370" s="12"/>
      <c r="G370" s="12"/>
      <c r="H370" s="12"/>
      <c r="I370" s="12"/>
      <c r="J370" s="12"/>
      <c r="K370" s="12"/>
      <c r="L370" s="12"/>
      <c r="M370" s="12"/>
      <c r="N370" s="12"/>
      <c r="O370" s="12"/>
      <c r="P370" s="12"/>
      <c r="Q370" s="12"/>
      <c r="R370" s="12"/>
      <c r="S370" s="12"/>
      <c r="T370" s="12"/>
      <c r="U370" s="12"/>
      <c r="V370" s="12"/>
      <c r="W370" s="12"/>
      <c r="X370" s="12"/>
      <c r="Y370" s="12"/>
      <c r="Z370" s="12"/>
      <c r="AA370" s="12"/>
      <c r="AB370" s="12"/>
      <c r="AC370" s="12"/>
      <c r="AD370" s="12"/>
      <c r="AE370" s="12"/>
      <c r="AF370" s="12"/>
      <c r="AG370" s="12"/>
      <c r="AH370" s="12"/>
      <c r="AI370" s="12"/>
      <c r="AJ370" s="12"/>
      <c r="AK370" s="12"/>
      <c r="AL370" s="12"/>
    </row>
    <row r="371" spans="1:38" x14ac:dyDescent="0.3">
      <c r="A371" s="12"/>
      <c r="B371" s="12"/>
      <c r="C371" s="12"/>
      <c r="D371" s="12"/>
      <c r="E371" s="12"/>
      <c r="F371" s="12"/>
      <c r="G371" s="12"/>
      <c r="H371" s="12"/>
      <c r="I371" s="12"/>
      <c r="J371" s="12"/>
      <c r="K371" s="12"/>
      <c r="L371" s="12"/>
      <c r="M371" s="12"/>
      <c r="N371" s="12"/>
      <c r="O371" s="12"/>
      <c r="P371" s="12"/>
      <c r="Q371" s="12"/>
      <c r="R371" s="12"/>
      <c r="S371" s="12"/>
      <c r="T371" s="12"/>
      <c r="U371" s="12"/>
      <c r="V371" s="12"/>
      <c r="W371" s="12"/>
      <c r="X371" s="12"/>
      <c r="Y371" s="12"/>
      <c r="Z371" s="12"/>
      <c r="AA371" s="12"/>
      <c r="AB371" s="12"/>
      <c r="AC371" s="12"/>
      <c r="AD371" s="12"/>
      <c r="AE371" s="12"/>
      <c r="AF371" s="12"/>
      <c r="AG371" s="12"/>
      <c r="AH371" s="12"/>
      <c r="AI371" s="12"/>
      <c r="AJ371" s="12"/>
      <c r="AK371" s="12"/>
      <c r="AL371" s="12"/>
    </row>
    <row r="372" spans="1:38" x14ac:dyDescent="0.3">
      <c r="A372" s="12"/>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c r="AA372" s="12"/>
      <c r="AB372" s="12"/>
      <c r="AC372" s="12"/>
      <c r="AD372" s="12"/>
      <c r="AE372" s="12"/>
      <c r="AF372" s="12"/>
      <c r="AG372" s="12"/>
      <c r="AH372" s="12"/>
      <c r="AI372" s="12"/>
      <c r="AJ372" s="12"/>
      <c r="AK372" s="12"/>
      <c r="AL372" s="12"/>
    </row>
    <row r="373" spans="1:38" x14ac:dyDescent="0.3">
      <c r="A373" s="12"/>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c r="AA373" s="12"/>
      <c r="AB373" s="12"/>
      <c r="AC373" s="12"/>
      <c r="AD373" s="12"/>
      <c r="AE373" s="12"/>
      <c r="AF373" s="12"/>
      <c r="AG373" s="12"/>
      <c r="AH373" s="12"/>
      <c r="AI373" s="12"/>
      <c r="AJ373" s="12"/>
      <c r="AK373" s="12"/>
      <c r="AL373" s="12"/>
    </row>
    <row r="374" spans="1:38" x14ac:dyDescent="0.3">
      <c r="A374" s="12"/>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c r="AA374" s="12"/>
      <c r="AB374" s="12"/>
      <c r="AC374" s="12"/>
      <c r="AD374" s="12"/>
      <c r="AE374" s="12"/>
      <c r="AF374" s="12"/>
      <c r="AG374" s="12"/>
      <c r="AH374" s="12"/>
      <c r="AI374" s="12"/>
      <c r="AJ374" s="12"/>
      <c r="AK374" s="12"/>
      <c r="AL374" s="12"/>
    </row>
    <row r="375" spans="1:38" x14ac:dyDescent="0.3">
      <c r="A375" s="12"/>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c r="AA375" s="12"/>
      <c r="AB375" s="12"/>
      <c r="AC375" s="12"/>
      <c r="AD375" s="12"/>
      <c r="AE375" s="12"/>
      <c r="AF375" s="12"/>
      <c r="AG375" s="12"/>
      <c r="AH375" s="12"/>
      <c r="AI375" s="12"/>
      <c r="AJ375" s="12"/>
      <c r="AK375" s="12"/>
      <c r="AL375" s="12"/>
    </row>
    <row r="376" spans="1:38" x14ac:dyDescent="0.3">
      <c r="A376" s="12"/>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c r="AA376" s="12"/>
      <c r="AB376" s="12"/>
      <c r="AC376" s="12"/>
      <c r="AD376" s="12"/>
      <c r="AE376" s="12"/>
      <c r="AF376" s="12"/>
      <c r="AG376" s="12"/>
      <c r="AH376" s="12"/>
      <c r="AI376" s="12"/>
      <c r="AJ376" s="12"/>
      <c r="AK376" s="12"/>
      <c r="AL376" s="12"/>
    </row>
    <row r="377" spans="1:38" x14ac:dyDescent="0.3">
      <c r="A377" s="12"/>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c r="AA377" s="12"/>
      <c r="AB377" s="12"/>
      <c r="AC377" s="12"/>
      <c r="AD377" s="12"/>
      <c r="AE377" s="12"/>
      <c r="AF377" s="12"/>
      <c r="AG377" s="12"/>
      <c r="AH377" s="12"/>
      <c r="AI377" s="12"/>
      <c r="AJ377" s="12"/>
      <c r="AK377" s="12"/>
      <c r="AL377" s="12"/>
    </row>
    <row r="378" spans="1:38" x14ac:dyDescent="0.3">
      <c r="A378" s="12"/>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c r="AA378" s="12"/>
      <c r="AB378" s="12"/>
      <c r="AC378" s="12"/>
      <c r="AD378" s="12"/>
      <c r="AE378" s="12"/>
      <c r="AF378" s="12"/>
      <c r="AG378" s="12"/>
      <c r="AH378" s="12"/>
      <c r="AI378" s="12"/>
      <c r="AJ378" s="12"/>
      <c r="AK378" s="12"/>
      <c r="AL378" s="12"/>
    </row>
    <row r="379" spans="1:38" x14ac:dyDescent="0.3">
      <c r="A379" s="12"/>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c r="AA379" s="12"/>
      <c r="AB379" s="12"/>
      <c r="AC379" s="12"/>
      <c r="AD379" s="12"/>
      <c r="AE379" s="12"/>
      <c r="AF379" s="12"/>
      <c r="AG379" s="12"/>
      <c r="AH379" s="12"/>
      <c r="AI379" s="12"/>
      <c r="AJ379" s="12"/>
      <c r="AK379" s="12"/>
      <c r="AL379" s="12"/>
    </row>
    <row r="380" spans="1:38" x14ac:dyDescent="0.3">
      <c r="A380" s="12"/>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c r="AA380" s="12"/>
      <c r="AB380" s="12"/>
      <c r="AC380" s="12"/>
      <c r="AD380" s="12"/>
      <c r="AE380" s="12"/>
      <c r="AF380" s="12"/>
      <c r="AG380" s="12"/>
      <c r="AH380" s="12"/>
      <c r="AI380" s="12"/>
      <c r="AJ380" s="12"/>
      <c r="AK380" s="12"/>
      <c r="AL380" s="12"/>
    </row>
    <row r="381" spans="1:38" x14ac:dyDescent="0.3">
      <c r="A381" s="12"/>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c r="AA381" s="12"/>
      <c r="AB381" s="12"/>
      <c r="AC381" s="12"/>
      <c r="AD381" s="12"/>
      <c r="AE381" s="12"/>
      <c r="AF381" s="12"/>
      <c r="AG381" s="12"/>
      <c r="AH381" s="12"/>
      <c r="AI381" s="12"/>
      <c r="AJ381" s="12"/>
      <c r="AK381" s="12"/>
      <c r="AL381" s="12"/>
    </row>
    <row r="382" spans="1:38" x14ac:dyDescent="0.3">
      <c r="A382" s="12"/>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c r="AA382" s="12"/>
      <c r="AB382" s="12"/>
      <c r="AC382" s="12"/>
      <c r="AD382" s="12"/>
      <c r="AE382" s="12"/>
      <c r="AF382" s="12"/>
      <c r="AG382" s="12"/>
      <c r="AH382" s="12"/>
      <c r="AI382" s="12"/>
      <c r="AJ382" s="12"/>
      <c r="AK382" s="12"/>
      <c r="AL382" s="12"/>
    </row>
    <row r="383" spans="1:38" x14ac:dyDescent="0.3">
      <c r="A383" s="12"/>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c r="AA383" s="12"/>
      <c r="AB383" s="12"/>
      <c r="AC383" s="12"/>
      <c r="AD383" s="12"/>
      <c r="AE383" s="12"/>
      <c r="AF383" s="12"/>
      <c r="AG383" s="12"/>
      <c r="AH383" s="12"/>
      <c r="AI383" s="12"/>
      <c r="AJ383" s="12"/>
      <c r="AK383" s="12"/>
      <c r="AL383" s="12"/>
    </row>
    <row r="384" spans="1:38" x14ac:dyDescent="0.3">
      <c r="A384" s="12"/>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c r="AA384" s="12"/>
      <c r="AB384" s="12"/>
      <c r="AC384" s="12"/>
      <c r="AD384" s="12"/>
      <c r="AE384" s="12"/>
      <c r="AF384" s="12"/>
      <c r="AG384" s="12"/>
      <c r="AH384" s="12"/>
      <c r="AI384" s="12"/>
      <c r="AJ384" s="12"/>
      <c r="AK384" s="12"/>
      <c r="AL384" s="12"/>
    </row>
    <row r="385" spans="1:38" x14ac:dyDescent="0.3">
      <c r="A385" s="12"/>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c r="AA385" s="12"/>
      <c r="AB385" s="12"/>
      <c r="AC385" s="12"/>
      <c r="AD385" s="12"/>
      <c r="AE385" s="12"/>
      <c r="AF385" s="12"/>
      <c r="AG385" s="12"/>
      <c r="AH385" s="12"/>
      <c r="AI385" s="12"/>
      <c r="AJ385" s="12"/>
      <c r="AK385" s="12"/>
      <c r="AL385" s="12"/>
    </row>
    <row r="386" spans="1:38" x14ac:dyDescent="0.3">
      <c r="A386" s="12"/>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c r="AA386" s="12"/>
      <c r="AB386" s="12"/>
      <c r="AC386" s="12"/>
      <c r="AD386" s="12"/>
      <c r="AE386" s="12"/>
      <c r="AF386" s="12"/>
      <c r="AG386" s="12"/>
      <c r="AH386" s="12"/>
      <c r="AI386" s="12"/>
      <c r="AJ386" s="12"/>
      <c r="AK386" s="12"/>
      <c r="AL386" s="12"/>
    </row>
    <row r="387" spans="1:38" x14ac:dyDescent="0.3">
      <c r="A387" s="12"/>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c r="AA387" s="12"/>
      <c r="AB387" s="12"/>
      <c r="AC387" s="12"/>
      <c r="AD387" s="12"/>
      <c r="AE387" s="12"/>
      <c r="AF387" s="12"/>
      <c r="AG387" s="12"/>
      <c r="AH387" s="12"/>
      <c r="AI387" s="12"/>
      <c r="AJ387" s="12"/>
      <c r="AK387" s="12"/>
      <c r="AL387" s="12"/>
    </row>
    <row r="388" spans="1:38" x14ac:dyDescent="0.3">
      <c r="A388" s="12"/>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c r="AA388" s="12"/>
      <c r="AB388" s="12"/>
      <c r="AC388" s="12"/>
      <c r="AD388" s="12"/>
      <c r="AE388" s="12"/>
      <c r="AF388" s="12"/>
      <c r="AG388" s="12"/>
      <c r="AH388" s="12"/>
      <c r="AI388" s="12"/>
      <c r="AJ388" s="12"/>
      <c r="AK388" s="12"/>
      <c r="AL388" s="12"/>
    </row>
    <row r="389" spans="1:38" x14ac:dyDescent="0.3">
      <c r="A389" s="12"/>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c r="AA389" s="12"/>
      <c r="AB389" s="12"/>
      <c r="AC389" s="12"/>
      <c r="AD389" s="12"/>
      <c r="AE389" s="12"/>
      <c r="AF389" s="12"/>
      <c r="AG389" s="12"/>
      <c r="AH389" s="12"/>
      <c r="AI389" s="12"/>
      <c r="AJ389" s="12"/>
      <c r="AK389" s="12"/>
      <c r="AL389" s="12"/>
    </row>
    <row r="390" spans="1:38" x14ac:dyDescent="0.3">
      <c r="A390" s="12"/>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c r="AA390" s="12"/>
      <c r="AB390" s="12"/>
      <c r="AC390" s="12"/>
      <c r="AD390" s="12"/>
      <c r="AE390" s="12"/>
      <c r="AF390" s="12"/>
      <c r="AG390" s="12"/>
      <c r="AH390" s="12"/>
      <c r="AI390" s="12"/>
      <c r="AJ390" s="12"/>
      <c r="AK390" s="12"/>
      <c r="AL390" s="12"/>
    </row>
    <row r="391" spans="1:38" x14ac:dyDescent="0.3">
      <c r="A391" s="12"/>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c r="AA391" s="12"/>
      <c r="AB391" s="12"/>
      <c r="AC391" s="12"/>
      <c r="AD391" s="12"/>
      <c r="AE391" s="12"/>
      <c r="AF391" s="12"/>
      <c r="AG391" s="12"/>
      <c r="AH391" s="12"/>
      <c r="AI391" s="12"/>
      <c r="AJ391" s="12"/>
      <c r="AK391" s="12"/>
      <c r="AL391" s="12"/>
    </row>
    <row r="392" spans="1:38" x14ac:dyDescent="0.3">
      <c r="A392" s="12"/>
      <c r="B392" s="12"/>
      <c r="C392" s="12"/>
      <c r="D392" s="12"/>
      <c r="E392" s="12"/>
      <c r="F392" s="12"/>
      <c r="G392" s="12"/>
      <c r="H392" s="12"/>
      <c r="I392" s="12"/>
      <c r="J392" s="12"/>
      <c r="K392" s="12"/>
      <c r="L392" s="12"/>
      <c r="M392" s="12"/>
      <c r="N392" s="12"/>
      <c r="O392" s="12"/>
      <c r="P392" s="12"/>
      <c r="Q392" s="12"/>
      <c r="R392" s="12"/>
      <c r="S392" s="12"/>
      <c r="T392" s="12"/>
      <c r="U392" s="12"/>
      <c r="V392" s="12"/>
      <c r="W392" s="12"/>
      <c r="X392" s="12"/>
      <c r="Y392" s="12"/>
      <c r="Z392" s="12"/>
      <c r="AA392" s="12"/>
      <c r="AB392" s="12"/>
      <c r="AC392" s="12"/>
      <c r="AD392" s="12"/>
      <c r="AE392" s="12"/>
      <c r="AF392" s="12"/>
      <c r="AG392" s="12"/>
      <c r="AH392" s="12"/>
      <c r="AI392" s="12"/>
      <c r="AJ392" s="12"/>
      <c r="AK392" s="12"/>
      <c r="AL392" s="12"/>
    </row>
    <row r="393" spans="1:38" x14ac:dyDescent="0.3">
      <c r="A393" s="12"/>
      <c r="B393" s="12"/>
      <c r="C393" s="12"/>
      <c r="D393" s="12"/>
      <c r="E393" s="12"/>
      <c r="F393" s="12"/>
      <c r="G393" s="12"/>
      <c r="H393" s="12"/>
      <c r="I393" s="12"/>
      <c r="J393" s="12"/>
      <c r="K393" s="12"/>
      <c r="L393" s="12"/>
      <c r="M393" s="12"/>
      <c r="N393" s="12"/>
      <c r="O393" s="12"/>
      <c r="P393" s="12"/>
      <c r="Q393" s="12"/>
      <c r="R393" s="12"/>
      <c r="S393" s="12"/>
      <c r="T393" s="12"/>
      <c r="U393" s="12"/>
      <c r="V393" s="12"/>
      <c r="W393" s="12"/>
      <c r="X393" s="12"/>
      <c r="Y393" s="12"/>
      <c r="Z393" s="12"/>
      <c r="AA393" s="12"/>
      <c r="AB393" s="12"/>
      <c r="AC393" s="12"/>
      <c r="AD393" s="12"/>
      <c r="AE393" s="12"/>
      <c r="AF393" s="12"/>
      <c r="AG393" s="12"/>
      <c r="AH393" s="12"/>
      <c r="AI393" s="12"/>
      <c r="AJ393" s="12"/>
      <c r="AK393" s="12"/>
      <c r="AL393" s="12"/>
    </row>
    <row r="394" spans="1:38" x14ac:dyDescent="0.3">
      <c r="A394" s="12"/>
      <c r="B394" s="12"/>
      <c r="C394" s="12"/>
      <c r="D394" s="12"/>
      <c r="E394" s="12"/>
      <c r="F394" s="12"/>
      <c r="G394" s="12"/>
      <c r="H394" s="12"/>
      <c r="I394" s="12"/>
      <c r="J394" s="12"/>
      <c r="K394" s="12"/>
      <c r="L394" s="12"/>
      <c r="M394" s="12"/>
      <c r="N394" s="12"/>
      <c r="O394" s="12"/>
      <c r="P394" s="12"/>
      <c r="Q394" s="12"/>
      <c r="R394" s="12"/>
      <c r="S394" s="12"/>
      <c r="T394" s="12"/>
      <c r="U394" s="12"/>
      <c r="V394" s="12"/>
      <c r="W394" s="12"/>
      <c r="X394" s="12"/>
      <c r="Y394" s="12"/>
      <c r="Z394" s="12"/>
      <c r="AA394" s="12"/>
      <c r="AB394" s="12"/>
      <c r="AC394" s="12"/>
      <c r="AD394" s="12"/>
      <c r="AE394" s="12"/>
      <c r="AF394" s="12"/>
      <c r="AG394" s="12"/>
      <c r="AH394" s="12"/>
      <c r="AI394" s="12"/>
      <c r="AJ394" s="12"/>
      <c r="AK394" s="12"/>
      <c r="AL394" s="12"/>
    </row>
    <row r="395" spans="1:38" x14ac:dyDescent="0.3">
      <c r="A395" s="12"/>
      <c r="B395" s="12"/>
      <c r="C395" s="12"/>
      <c r="D395" s="12"/>
      <c r="E395" s="12"/>
      <c r="F395" s="12"/>
      <c r="G395" s="12"/>
      <c r="H395" s="12"/>
      <c r="I395" s="12"/>
      <c r="J395" s="12"/>
      <c r="K395" s="12"/>
      <c r="L395" s="12"/>
      <c r="M395" s="12"/>
      <c r="N395" s="12"/>
      <c r="O395" s="12"/>
      <c r="P395" s="12"/>
      <c r="Q395" s="12"/>
      <c r="R395" s="12"/>
      <c r="S395" s="12"/>
      <c r="T395" s="12"/>
      <c r="U395" s="12"/>
      <c r="V395" s="12"/>
      <c r="W395" s="12"/>
      <c r="X395" s="12"/>
      <c r="Y395" s="12"/>
      <c r="Z395" s="12"/>
      <c r="AA395" s="12"/>
      <c r="AB395" s="12"/>
      <c r="AC395" s="12"/>
      <c r="AD395" s="12"/>
      <c r="AE395" s="12"/>
      <c r="AF395" s="12"/>
      <c r="AG395" s="12"/>
      <c r="AH395" s="12"/>
      <c r="AI395" s="12"/>
      <c r="AJ395" s="12"/>
      <c r="AK395" s="12"/>
      <c r="AL395" s="12"/>
    </row>
    <row r="396" spans="1:38" x14ac:dyDescent="0.3">
      <c r="A396" s="12"/>
      <c r="B396" s="12"/>
      <c r="C396" s="12"/>
      <c r="D396" s="12"/>
      <c r="E396" s="12"/>
      <c r="F396" s="12"/>
      <c r="G396" s="12"/>
      <c r="H396" s="12"/>
      <c r="I396" s="12"/>
      <c r="J396" s="12"/>
      <c r="K396" s="12"/>
      <c r="L396" s="12"/>
      <c r="M396" s="12"/>
      <c r="N396" s="12"/>
      <c r="O396" s="12"/>
      <c r="P396" s="12"/>
      <c r="Q396" s="12"/>
      <c r="R396" s="12"/>
      <c r="S396" s="12"/>
      <c r="T396" s="12"/>
      <c r="U396" s="12"/>
      <c r="V396" s="12"/>
      <c r="W396" s="12"/>
      <c r="X396" s="12"/>
      <c r="Y396" s="12"/>
      <c r="Z396" s="12"/>
      <c r="AA396" s="12"/>
      <c r="AB396" s="12"/>
      <c r="AC396" s="12"/>
      <c r="AD396" s="12"/>
      <c r="AE396" s="12"/>
      <c r="AF396" s="12"/>
      <c r="AG396" s="12"/>
      <c r="AH396" s="12"/>
      <c r="AI396" s="12"/>
      <c r="AJ396" s="12"/>
      <c r="AK396" s="12"/>
      <c r="AL396" s="12"/>
    </row>
    <row r="397" spans="1:38" x14ac:dyDescent="0.3">
      <c r="A397" s="12"/>
      <c r="B397" s="12"/>
      <c r="C397" s="12"/>
      <c r="D397" s="12"/>
      <c r="E397" s="12"/>
      <c r="F397" s="12"/>
      <c r="G397" s="12"/>
      <c r="H397" s="12"/>
      <c r="I397" s="12"/>
      <c r="J397" s="12"/>
      <c r="K397" s="12"/>
      <c r="L397" s="12"/>
      <c r="M397" s="12"/>
      <c r="N397" s="12"/>
      <c r="O397" s="12"/>
      <c r="P397" s="12"/>
      <c r="Q397" s="12"/>
      <c r="R397" s="12"/>
      <c r="S397" s="12"/>
      <c r="T397" s="12"/>
      <c r="U397" s="12"/>
      <c r="V397" s="12"/>
      <c r="W397" s="12"/>
      <c r="X397" s="12"/>
      <c r="Y397" s="12"/>
      <c r="Z397" s="12"/>
      <c r="AA397" s="12"/>
      <c r="AB397" s="12"/>
      <c r="AC397" s="12"/>
      <c r="AD397" s="12"/>
      <c r="AE397" s="12"/>
      <c r="AF397" s="12"/>
      <c r="AG397" s="12"/>
      <c r="AH397" s="12"/>
      <c r="AI397" s="12"/>
      <c r="AJ397" s="12"/>
      <c r="AK397" s="12"/>
      <c r="AL397" s="12"/>
    </row>
    <row r="398" spans="1:38" x14ac:dyDescent="0.3">
      <c r="A398" s="12"/>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c r="AA398" s="12"/>
      <c r="AB398" s="12"/>
      <c r="AC398" s="12"/>
      <c r="AD398" s="12"/>
      <c r="AE398" s="12"/>
      <c r="AF398" s="12"/>
      <c r="AG398" s="12"/>
      <c r="AH398" s="12"/>
      <c r="AI398" s="12"/>
      <c r="AJ398" s="12"/>
      <c r="AK398" s="12"/>
      <c r="AL398" s="12"/>
    </row>
    <row r="399" spans="1:38" x14ac:dyDescent="0.3">
      <c r="A399" s="12"/>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c r="AA399" s="12"/>
      <c r="AB399" s="12"/>
      <c r="AC399" s="12"/>
      <c r="AD399" s="12"/>
      <c r="AE399" s="12"/>
      <c r="AF399" s="12"/>
      <c r="AG399" s="12"/>
      <c r="AH399" s="12"/>
      <c r="AI399" s="12"/>
      <c r="AJ399" s="12"/>
      <c r="AK399" s="12"/>
      <c r="AL399" s="12"/>
    </row>
    <row r="400" spans="1:38" x14ac:dyDescent="0.3">
      <c r="A400" s="12"/>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c r="AA400" s="12"/>
      <c r="AB400" s="12"/>
      <c r="AC400" s="12"/>
      <c r="AD400" s="12"/>
      <c r="AE400" s="12"/>
      <c r="AF400" s="12"/>
      <c r="AG400" s="12"/>
      <c r="AH400" s="12"/>
      <c r="AI400" s="12"/>
      <c r="AJ400" s="12"/>
      <c r="AK400" s="12"/>
      <c r="AL400" s="12"/>
    </row>
    <row r="401" spans="1:38" x14ac:dyDescent="0.3">
      <c r="A401" s="12"/>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row>
    <row r="402" spans="1:38" x14ac:dyDescent="0.3">
      <c r="A402" s="12"/>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c r="AA402" s="12"/>
      <c r="AB402" s="12"/>
      <c r="AC402" s="12"/>
      <c r="AD402" s="12"/>
      <c r="AE402" s="12"/>
      <c r="AF402" s="12"/>
      <c r="AG402" s="12"/>
      <c r="AH402" s="12"/>
      <c r="AI402" s="12"/>
      <c r="AJ402" s="12"/>
      <c r="AK402" s="12"/>
      <c r="AL402" s="12"/>
    </row>
    <row r="403" spans="1:38" x14ac:dyDescent="0.3">
      <c r="A403" s="12"/>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c r="AA403" s="12"/>
      <c r="AB403" s="12"/>
      <c r="AC403" s="12"/>
      <c r="AD403" s="12"/>
      <c r="AE403" s="12"/>
      <c r="AF403" s="12"/>
      <c r="AG403" s="12"/>
      <c r="AH403" s="12"/>
      <c r="AI403" s="12"/>
      <c r="AJ403" s="12"/>
      <c r="AK403" s="12"/>
      <c r="AL403" s="12"/>
    </row>
    <row r="404" spans="1:38" x14ac:dyDescent="0.3">
      <c r="A404" s="12"/>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c r="AA404" s="12"/>
      <c r="AB404" s="12"/>
      <c r="AC404" s="12"/>
      <c r="AD404" s="12"/>
      <c r="AE404" s="12"/>
      <c r="AF404" s="12"/>
      <c r="AG404" s="12"/>
      <c r="AH404" s="12"/>
      <c r="AI404" s="12"/>
      <c r="AJ404" s="12"/>
      <c r="AK404" s="12"/>
      <c r="AL404" s="12"/>
    </row>
    <row r="405" spans="1:38" x14ac:dyDescent="0.3">
      <c r="A405" s="12"/>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c r="AA405" s="12"/>
      <c r="AB405" s="12"/>
      <c r="AC405" s="12"/>
      <c r="AD405" s="12"/>
      <c r="AE405" s="12"/>
      <c r="AF405" s="12"/>
      <c r="AG405" s="12"/>
      <c r="AH405" s="12"/>
      <c r="AI405" s="12"/>
      <c r="AJ405" s="12"/>
      <c r="AK405" s="12"/>
      <c r="AL405" s="12"/>
    </row>
    <row r="406" spans="1:38" x14ac:dyDescent="0.3">
      <c r="A406" s="12"/>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c r="AA406" s="12"/>
      <c r="AB406" s="12"/>
      <c r="AC406" s="12"/>
      <c r="AD406" s="12"/>
      <c r="AE406" s="12"/>
      <c r="AF406" s="12"/>
      <c r="AG406" s="12"/>
      <c r="AH406" s="12"/>
      <c r="AI406" s="12"/>
      <c r="AJ406" s="12"/>
      <c r="AK406" s="12"/>
      <c r="AL406" s="12"/>
    </row>
    <row r="407" spans="1:38" x14ac:dyDescent="0.3">
      <c r="A407" s="12"/>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c r="AA407" s="12"/>
      <c r="AB407" s="12"/>
      <c r="AC407" s="12"/>
      <c r="AD407" s="12"/>
      <c r="AE407" s="12"/>
      <c r="AF407" s="12"/>
      <c r="AG407" s="12"/>
      <c r="AH407" s="12"/>
      <c r="AI407" s="12"/>
      <c r="AJ407" s="12"/>
      <c r="AK407" s="12"/>
      <c r="AL407" s="12"/>
    </row>
    <row r="408" spans="1:38" x14ac:dyDescent="0.3">
      <c r="A408" s="12"/>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c r="AA408" s="12"/>
      <c r="AB408" s="12"/>
      <c r="AC408" s="12"/>
      <c r="AD408" s="12"/>
      <c r="AE408" s="12"/>
      <c r="AF408" s="12"/>
      <c r="AG408" s="12"/>
      <c r="AH408" s="12"/>
      <c r="AI408" s="12"/>
      <c r="AJ408" s="12"/>
      <c r="AK408" s="12"/>
      <c r="AL408" s="12"/>
    </row>
    <row r="409" spans="1:38" x14ac:dyDescent="0.3">
      <c r="A409" s="12"/>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c r="AA409" s="12"/>
      <c r="AB409" s="12"/>
      <c r="AC409" s="12"/>
      <c r="AD409" s="12"/>
      <c r="AE409" s="12"/>
      <c r="AF409" s="12"/>
      <c r="AG409" s="12"/>
      <c r="AH409" s="12"/>
      <c r="AI409" s="12"/>
      <c r="AJ409" s="12"/>
      <c r="AK409" s="12"/>
      <c r="AL409" s="12"/>
    </row>
    <row r="410" spans="1:38" x14ac:dyDescent="0.3">
      <c r="A410" s="12"/>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c r="AA410" s="12"/>
      <c r="AB410" s="12"/>
      <c r="AC410" s="12"/>
      <c r="AD410" s="12"/>
      <c r="AE410" s="12"/>
      <c r="AF410" s="12"/>
      <c r="AG410" s="12"/>
      <c r="AH410" s="12"/>
      <c r="AI410" s="12"/>
      <c r="AJ410" s="12"/>
      <c r="AK410" s="12"/>
      <c r="AL410" s="12"/>
    </row>
    <row r="411" spans="1:38" x14ac:dyDescent="0.3">
      <c r="A411" s="12"/>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c r="AA411" s="12"/>
      <c r="AB411" s="12"/>
      <c r="AC411" s="12"/>
      <c r="AD411" s="12"/>
      <c r="AE411" s="12"/>
      <c r="AF411" s="12"/>
      <c r="AG411" s="12"/>
      <c r="AH411" s="12"/>
      <c r="AI411" s="12"/>
      <c r="AJ411" s="12"/>
      <c r="AK411" s="12"/>
      <c r="AL411" s="12"/>
    </row>
    <row r="412" spans="1:38" x14ac:dyDescent="0.3">
      <c r="A412" s="12"/>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c r="AA412" s="12"/>
      <c r="AB412" s="12"/>
      <c r="AC412" s="12"/>
      <c r="AD412" s="12"/>
      <c r="AE412" s="12"/>
      <c r="AF412" s="12"/>
      <c r="AG412" s="12"/>
      <c r="AH412" s="12"/>
      <c r="AI412" s="12"/>
      <c r="AJ412" s="12"/>
      <c r="AK412" s="12"/>
      <c r="AL412" s="12"/>
    </row>
    <row r="413" spans="1:38" x14ac:dyDescent="0.3">
      <c r="A413" s="12"/>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c r="AA413" s="12"/>
      <c r="AB413" s="12"/>
      <c r="AC413" s="12"/>
      <c r="AD413" s="12"/>
      <c r="AE413" s="12"/>
      <c r="AF413" s="12"/>
      <c r="AG413" s="12"/>
      <c r="AH413" s="12"/>
      <c r="AI413" s="12"/>
      <c r="AJ413" s="12"/>
      <c r="AK413" s="12"/>
      <c r="AL413" s="12"/>
    </row>
    <row r="414" spans="1:38" x14ac:dyDescent="0.3">
      <c r="A414" s="12"/>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c r="AA414" s="12"/>
      <c r="AB414" s="12"/>
      <c r="AC414" s="12"/>
      <c r="AD414" s="12"/>
      <c r="AE414" s="12"/>
      <c r="AF414" s="12"/>
      <c r="AG414" s="12"/>
      <c r="AH414" s="12"/>
      <c r="AI414" s="12"/>
      <c r="AJ414" s="12"/>
      <c r="AK414" s="12"/>
      <c r="AL414" s="12"/>
    </row>
    <row r="415" spans="1:38" x14ac:dyDescent="0.3">
      <c r="A415" s="12"/>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c r="AA415" s="12"/>
      <c r="AB415" s="12"/>
      <c r="AC415" s="12"/>
      <c r="AD415" s="12"/>
      <c r="AE415" s="12"/>
      <c r="AF415" s="12"/>
      <c r="AG415" s="12"/>
      <c r="AH415" s="12"/>
      <c r="AI415" s="12"/>
      <c r="AJ415" s="12"/>
      <c r="AK415" s="12"/>
      <c r="AL415" s="12"/>
    </row>
    <row r="416" spans="1:38" x14ac:dyDescent="0.3">
      <c r="A416" s="12"/>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c r="AA416" s="12"/>
      <c r="AB416" s="12"/>
      <c r="AC416" s="12"/>
      <c r="AD416" s="12"/>
      <c r="AE416" s="12"/>
      <c r="AF416" s="12"/>
      <c r="AG416" s="12"/>
      <c r="AH416" s="12"/>
      <c r="AI416" s="12"/>
      <c r="AJ416" s="12"/>
      <c r="AK416" s="12"/>
      <c r="AL416" s="12"/>
    </row>
    <row r="417" spans="1:38" x14ac:dyDescent="0.3">
      <c r="A417" s="12"/>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c r="AA417" s="12"/>
      <c r="AB417" s="12"/>
      <c r="AC417" s="12"/>
      <c r="AD417" s="12"/>
      <c r="AE417" s="12"/>
      <c r="AF417" s="12"/>
      <c r="AG417" s="12"/>
      <c r="AH417" s="12"/>
      <c r="AI417" s="12"/>
      <c r="AJ417" s="12"/>
      <c r="AK417" s="12"/>
      <c r="AL417" s="12"/>
    </row>
    <row r="418" spans="1:38" x14ac:dyDescent="0.3">
      <c r="A418" s="12"/>
      <c r="B418" s="12"/>
      <c r="C418" s="12"/>
      <c r="D418" s="12"/>
      <c r="E418" s="12"/>
      <c r="F418" s="12"/>
      <c r="G418" s="12"/>
      <c r="H418" s="12"/>
      <c r="I418" s="12"/>
      <c r="J418" s="12"/>
      <c r="K418" s="12"/>
      <c r="L418" s="12"/>
      <c r="M418" s="12"/>
      <c r="N418" s="12"/>
      <c r="O418" s="12"/>
      <c r="P418" s="12"/>
      <c r="Q418" s="12"/>
      <c r="R418" s="12"/>
      <c r="S418" s="12"/>
      <c r="T418" s="12"/>
      <c r="U418" s="12"/>
      <c r="V418" s="12"/>
      <c r="W418" s="12"/>
      <c r="X418" s="12"/>
      <c r="Y418" s="12"/>
      <c r="Z418" s="12"/>
      <c r="AA418" s="12"/>
      <c r="AB418" s="12"/>
      <c r="AC418" s="12"/>
      <c r="AD418" s="12"/>
      <c r="AE418" s="12"/>
      <c r="AF418" s="12"/>
      <c r="AG418" s="12"/>
      <c r="AH418" s="12"/>
      <c r="AI418" s="12"/>
      <c r="AJ418" s="12"/>
      <c r="AK418" s="12"/>
      <c r="AL418" s="12"/>
    </row>
    <row r="419" spans="1:38" x14ac:dyDescent="0.3">
      <c r="A419" s="12"/>
      <c r="B419" s="12"/>
      <c r="C419" s="12"/>
      <c r="D419" s="12"/>
      <c r="E419" s="12"/>
      <c r="F419" s="12"/>
      <c r="G419" s="12"/>
      <c r="H419" s="12"/>
      <c r="I419" s="12"/>
      <c r="J419" s="12"/>
      <c r="K419" s="12"/>
      <c r="L419" s="12"/>
      <c r="M419" s="12"/>
      <c r="N419" s="12"/>
      <c r="O419" s="12"/>
      <c r="P419" s="12"/>
      <c r="Q419" s="12"/>
      <c r="R419" s="12"/>
      <c r="S419" s="12"/>
      <c r="T419" s="12"/>
      <c r="U419" s="12"/>
      <c r="V419" s="12"/>
      <c r="W419" s="12"/>
      <c r="X419" s="12"/>
      <c r="Y419" s="12"/>
      <c r="Z419" s="12"/>
      <c r="AA419" s="12"/>
      <c r="AB419" s="12"/>
      <c r="AC419" s="12"/>
      <c r="AD419" s="12"/>
      <c r="AE419" s="12"/>
      <c r="AF419" s="12"/>
      <c r="AG419" s="12"/>
      <c r="AH419" s="12"/>
      <c r="AI419" s="12"/>
      <c r="AJ419" s="12"/>
      <c r="AK419" s="12"/>
      <c r="AL419" s="12"/>
    </row>
    <row r="420" spans="1:38" x14ac:dyDescent="0.3">
      <c r="A420" s="12"/>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c r="AA420" s="12"/>
      <c r="AB420" s="12"/>
      <c r="AC420" s="12"/>
      <c r="AD420" s="12"/>
      <c r="AE420" s="12"/>
      <c r="AF420" s="12"/>
      <c r="AG420" s="12"/>
      <c r="AH420" s="12"/>
      <c r="AI420" s="12"/>
      <c r="AJ420" s="12"/>
      <c r="AK420" s="12"/>
      <c r="AL420" s="12"/>
    </row>
    <row r="421" spans="1:38" x14ac:dyDescent="0.3">
      <c r="A421" s="12"/>
      <c r="B421" s="12"/>
      <c r="C421" s="12"/>
      <c r="D421" s="12"/>
      <c r="E421" s="12"/>
      <c r="F421" s="12"/>
      <c r="G421" s="12"/>
      <c r="H421" s="12"/>
      <c r="I421" s="12"/>
      <c r="J421" s="12"/>
      <c r="K421" s="12"/>
      <c r="L421" s="12"/>
      <c r="M421" s="12"/>
      <c r="N421" s="12"/>
      <c r="O421" s="12"/>
      <c r="P421" s="12"/>
      <c r="Q421" s="12"/>
      <c r="R421" s="12"/>
      <c r="S421" s="12"/>
      <c r="T421" s="12"/>
      <c r="U421" s="12"/>
      <c r="V421" s="12"/>
      <c r="W421" s="12"/>
      <c r="X421" s="12"/>
      <c r="Y421" s="12"/>
      <c r="Z421" s="12"/>
      <c r="AA421" s="12"/>
      <c r="AB421" s="12"/>
      <c r="AC421" s="12"/>
      <c r="AD421" s="12"/>
      <c r="AE421" s="12"/>
      <c r="AF421" s="12"/>
      <c r="AG421" s="12"/>
      <c r="AH421" s="12"/>
      <c r="AI421" s="12"/>
      <c r="AJ421" s="12"/>
      <c r="AK421" s="12"/>
      <c r="AL421" s="12"/>
    </row>
    <row r="422" spans="1:38" x14ac:dyDescent="0.3">
      <c r="A422" s="12"/>
      <c r="B422" s="12"/>
      <c r="C422" s="12"/>
      <c r="D422" s="12"/>
      <c r="E422" s="12"/>
      <c r="F422" s="12"/>
      <c r="G422" s="12"/>
      <c r="H422" s="12"/>
      <c r="I422" s="12"/>
      <c r="J422" s="12"/>
      <c r="K422" s="12"/>
      <c r="L422" s="12"/>
      <c r="M422" s="12"/>
      <c r="N422" s="12"/>
      <c r="O422" s="12"/>
      <c r="P422" s="12"/>
      <c r="Q422" s="12"/>
      <c r="R422" s="12"/>
      <c r="S422" s="12"/>
      <c r="T422" s="12"/>
      <c r="U422" s="12"/>
      <c r="V422" s="12"/>
      <c r="W422" s="12"/>
      <c r="X422" s="12"/>
      <c r="Y422" s="12"/>
      <c r="Z422" s="12"/>
      <c r="AA422" s="12"/>
      <c r="AB422" s="12"/>
      <c r="AC422" s="12"/>
      <c r="AD422" s="12"/>
      <c r="AE422" s="12"/>
      <c r="AF422" s="12"/>
      <c r="AG422" s="12"/>
      <c r="AH422" s="12"/>
      <c r="AI422" s="12"/>
      <c r="AJ422" s="12"/>
      <c r="AK422" s="12"/>
      <c r="AL422" s="12"/>
    </row>
    <row r="423" spans="1:38" x14ac:dyDescent="0.3">
      <c r="A423" s="12"/>
      <c r="B423" s="12"/>
      <c r="C423" s="12"/>
      <c r="D423" s="12"/>
      <c r="E423" s="12"/>
      <c r="F423" s="12"/>
      <c r="G423" s="12"/>
      <c r="H423" s="12"/>
      <c r="I423" s="12"/>
      <c r="J423" s="12"/>
      <c r="K423" s="12"/>
      <c r="L423" s="12"/>
      <c r="M423" s="12"/>
      <c r="N423" s="12"/>
      <c r="O423" s="12"/>
      <c r="P423" s="12"/>
      <c r="Q423" s="12"/>
      <c r="R423" s="12"/>
      <c r="S423" s="12"/>
      <c r="T423" s="12"/>
      <c r="U423" s="12"/>
      <c r="V423" s="12"/>
      <c r="W423" s="12"/>
      <c r="X423" s="12"/>
      <c r="Y423" s="12"/>
      <c r="Z423" s="12"/>
      <c r="AA423" s="12"/>
      <c r="AB423" s="12"/>
      <c r="AC423" s="12"/>
      <c r="AD423" s="12"/>
      <c r="AE423" s="12"/>
      <c r="AF423" s="12"/>
      <c r="AG423" s="12"/>
      <c r="AH423" s="12"/>
      <c r="AI423" s="12"/>
      <c r="AJ423" s="12"/>
      <c r="AK423" s="12"/>
      <c r="AL423" s="12"/>
    </row>
    <row r="424" spans="1:38" x14ac:dyDescent="0.3">
      <c r="A424" s="12"/>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c r="AA424" s="12"/>
      <c r="AB424" s="12"/>
      <c r="AC424" s="12"/>
      <c r="AD424" s="12"/>
      <c r="AE424" s="12"/>
      <c r="AF424" s="12"/>
      <c r="AG424" s="12"/>
      <c r="AH424" s="12"/>
      <c r="AI424" s="12"/>
      <c r="AJ424" s="12"/>
      <c r="AK424" s="12"/>
      <c r="AL424" s="12"/>
    </row>
    <row r="425" spans="1:38" x14ac:dyDescent="0.3">
      <c r="A425" s="12"/>
      <c r="B425" s="12"/>
      <c r="C425" s="12"/>
      <c r="D425" s="12"/>
      <c r="E425" s="12"/>
      <c r="F425" s="12"/>
      <c r="G425" s="12"/>
      <c r="H425" s="12"/>
      <c r="I425" s="12"/>
      <c r="J425" s="12"/>
      <c r="K425" s="12"/>
      <c r="L425" s="12"/>
      <c r="M425" s="12"/>
      <c r="N425" s="12"/>
      <c r="O425" s="12"/>
      <c r="P425" s="12"/>
      <c r="Q425" s="12"/>
      <c r="R425" s="12"/>
      <c r="S425" s="12"/>
      <c r="T425" s="12"/>
      <c r="U425" s="12"/>
      <c r="V425" s="12"/>
      <c r="W425" s="12"/>
      <c r="X425" s="12"/>
      <c r="Y425" s="12"/>
      <c r="Z425" s="12"/>
      <c r="AA425" s="12"/>
      <c r="AB425" s="12"/>
      <c r="AC425" s="12"/>
      <c r="AD425" s="12"/>
      <c r="AE425" s="12"/>
      <c r="AF425" s="12"/>
      <c r="AG425" s="12"/>
      <c r="AH425" s="12"/>
      <c r="AI425" s="12"/>
      <c r="AJ425" s="12"/>
      <c r="AK425" s="12"/>
      <c r="AL425" s="12"/>
    </row>
    <row r="426" spans="1:38" x14ac:dyDescent="0.3">
      <c r="A426" s="12"/>
      <c r="B426" s="12"/>
      <c r="C426" s="12"/>
      <c r="D426" s="12"/>
      <c r="E426" s="12"/>
      <c r="F426" s="12"/>
      <c r="G426" s="12"/>
      <c r="H426" s="12"/>
      <c r="I426" s="12"/>
      <c r="J426" s="12"/>
      <c r="K426" s="12"/>
      <c r="L426" s="12"/>
      <c r="M426" s="12"/>
      <c r="N426" s="12"/>
      <c r="O426" s="12"/>
      <c r="P426" s="12"/>
      <c r="Q426" s="12"/>
      <c r="R426" s="12"/>
      <c r="S426" s="12"/>
      <c r="T426" s="12"/>
      <c r="U426" s="12"/>
      <c r="V426" s="12"/>
      <c r="W426" s="12"/>
      <c r="X426" s="12"/>
      <c r="Y426" s="12"/>
      <c r="Z426" s="12"/>
      <c r="AA426" s="12"/>
      <c r="AB426" s="12"/>
      <c r="AC426" s="12"/>
      <c r="AD426" s="12"/>
      <c r="AE426" s="12"/>
      <c r="AF426" s="12"/>
      <c r="AG426" s="12"/>
      <c r="AH426" s="12"/>
      <c r="AI426" s="12"/>
      <c r="AJ426" s="12"/>
      <c r="AK426" s="12"/>
      <c r="AL426" s="12"/>
    </row>
    <row r="427" spans="1:38" x14ac:dyDescent="0.3">
      <c r="A427" s="12"/>
      <c r="B427" s="12"/>
      <c r="C427" s="12"/>
      <c r="D427" s="12"/>
      <c r="E427" s="12"/>
      <c r="F427" s="12"/>
      <c r="G427" s="12"/>
      <c r="H427" s="12"/>
      <c r="I427" s="12"/>
      <c r="J427" s="12"/>
      <c r="K427" s="12"/>
      <c r="L427" s="12"/>
      <c r="M427" s="12"/>
      <c r="N427" s="12"/>
      <c r="O427" s="12"/>
      <c r="P427" s="12"/>
      <c r="Q427" s="12"/>
      <c r="R427" s="12"/>
      <c r="S427" s="12"/>
      <c r="T427" s="12"/>
      <c r="U427" s="12"/>
      <c r="V427" s="12"/>
      <c r="W427" s="12"/>
      <c r="X427" s="12"/>
      <c r="Y427" s="12"/>
      <c r="Z427" s="12"/>
      <c r="AA427" s="12"/>
      <c r="AB427" s="12"/>
      <c r="AC427" s="12"/>
      <c r="AD427" s="12"/>
      <c r="AE427" s="12"/>
      <c r="AF427" s="12"/>
      <c r="AG427" s="12"/>
      <c r="AH427" s="12"/>
      <c r="AI427" s="12"/>
      <c r="AJ427" s="12"/>
      <c r="AK427" s="12"/>
      <c r="AL427" s="12"/>
    </row>
    <row r="428" spans="1:38" x14ac:dyDescent="0.3">
      <c r="A428" s="12"/>
      <c r="B428" s="12"/>
      <c r="C428" s="12"/>
      <c r="D428" s="12"/>
      <c r="E428" s="12"/>
      <c r="F428" s="12"/>
      <c r="G428" s="12"/>
      <c r="H428" s="12"/>
      <c r="I428" s="12"/>
      <c r="J428" s="12"/>
      <c r="K428" s="12"/>
      <c r="L428" s="12"/>
      <c r="M428" s="12"/>
      <c r="N428" s="12"/>
      <c r="O428" s="12"/>
      <c r="P428" s="12"/>
      <c r="Q428" s="12"/>
      <c r="R428" s="12"/>
      <c r="S428" s="12"/>
      <c r="T428" s="12"/>
      <c r="U428" s="12"/>
      <c r="V428" s="12"/>
      <c r="W428" s="12"/>
      <c r="X428" s="12"/>
      <c r="Y428" s="12"/>
      <c r="Z428" s="12"/>
      <c r="AA428" s="12"/>
      <c r="AB428" s="12"/>
      <c r="AC428" s="12"/>
      <c r="AD428" s="12"/>
      <c r="AE428" s="12"/>
      <c r="AF428" s="12"/>
      <c r="AG428" s="12"/>
      <c r="AH428" s="12"/>
      <c r="AI428" s="12"/>
      <c r="AJ428" s="12"/>
      <c r="AK428" s="12"/>
      <c r="AL428" s="12"/>
    </row>
    <row r="429" spans="1:38" x14ac:dyDescent="0.3">
      <c r="A429" s="12"/>
      <c r="B429" s="12"/>
      <c r="C429" s="12"/>
      <c r="D429" s="12"/>
      <c r="E429" s="12"/>
      <c r="F429" s="12"/>
      <c r="G429" s="12"/>
      <c r="H429" s="12"/>
      <c r="I429" s="12"/>
      <c r="J429" s="12"/>
      <c r="K429" s="12"/>
      <c r="L429" s="12"/>
      <c r="M429" s="12"/>
      <c r="N429" s="12"/>
      <c r="O429" s="12"/>
      <c r="P429" s="12"/>
      <c r="Q429" s="12"/>
      <c r="R429" s="12"/>
      <c r="S429" s="12"/>
      <c r="T429" s="12"/>
      <c r="U429" s="12"/>
      <c r="V429" s="12"/>
      <c r="W429" s="12"/>
      <c r="X429" s="12"/>
      <c r="Y429" s="12"/>
      <c r="Z429" s="12"/>
      <c r="AA429" s="12"/>
      <c r="AB429" s="12"/>
      <c r="AC429" s="12"/>
      <c r="AD429" s="12"/>
      <c r="AE429" s="12"/>
      <c r="AF429" s="12"/>
      <c r="AG429" s="12"/>
      <c r="AH429" s="12"/>
      <c r="AI429" s="12"/>
      <c r="AJ429" s="12"/>
      <c r="AK429" s="12"/>
      <c r="AL429" s="12"/>
    </row>
    <row r="430" spans="1:38" x14ac:dyDescent="0.3">
      <c r="A430" s="12"/>
      <c r="B430" s="12"/>
      <c r="C430" s="12"/>
      <c r="D430" s="12"/>
      <c r="E430" s="12"/>
      <c r="F430" s="12"/>
      <c r="G430" s="12"/>
      <c r="H430" s="12"/>
      <c r="I430" s="12"/>
      <c r="J430" s="12"/>
      <c r="K430" s="12"/>
      <c r="L430" s="12"/>
      <c r="M430" s="12"/>
      <c r="N430" s="12"/>
      <c r="O430" s="12"/>
      <c r="P430" s="12"/>
      <c r="Q430" s="12"/>
      <c r="R430" s="12"/>
      <c r="S430" s="12"/>
      <c r="T430" s="12"/>
      <c r="U430" s="12"/>
      <c r="V430" s="12"/>
      <c r="W430" s="12"/>
      <c r="X430" s="12"/>
      <c r="Y430" s="12"/>
      <c r="Z430" s="12"/>
      <c r="AA430" s="12"/>
      <c r="AB430" s="12"/>
      <c r="AC430" s="12"/>
      <c r="AD430" s="12"/>
      <c r="AE430" s="12"/>
      <c r="AF430" s="12"/>
      <c r="AG430" s="12"/>
      <c r="AH430" s="12"/>
      <c r="AI430" s="12"/>
      <c r="AJ430" s="12"/>
      <c r="AK430" s="12"/>
      <c r="AL430" s="12"/>
    </row>
    <row r="431" spans="1:38" x14ac:dyDescent="0.3">
      <c r="A431" s="12"/>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c r="AA431" s="12"/>
      <c r="AB431" s="12"/>
      <c r="AC431" s="12"/>
      <c r="AD431" s="12"/>
      <c r="AE431" s="12"/>
      <c r="AF431" s="12"/>
      <c r="AG431" s="12"/>
      <c r="AH431" s="12"/>
      <c r="AI431" s="12"/>
      <c r="AJ431" s="12"/>
      <c r="AK431" s="12"/>
      <c r="AL431" s="12"/>
    </row>
    <row r="432" spans="1:38" x14ac:dyDescent="0.3">
      <c r="A432" s="12"/>
      <c r="B432" s="12"/>
      <c r="C432" s="12"/>
      <c r="D432" s="12"/>
      <c r="E432" s="12"/>
      <c r="F432" s="12"/>
      <c r="G432" s="12"/>
      <c r="H432" s="12"/>
      <c r="I432" s="12"/>
      <c r="J432" s="12"/>
      <c r="K432" s="12"/>
      <c r="L432" s="12"/>
      <c r="M432" s="12"/>
      <c r="N432" s="12"/>
      <c r="O432" s="12"/>
      <c r="P432" s="12"/>
      <c r="Q432" s="12"/>
      <c r="R432" s="12"/>
      <c r="S432" s="12"/>
      <c r="T432" s="12"/>
      <c r="U432" s="12"/>
      <c r="V432" s="12"/>
      <c r="W432" s="12"/>
      <c r="X432" s="12"/>
      <c r="Y432" s="12"/>
      <c r="Z432" s="12"/>
      <c r="AA432" s="12"/>
      <c r="AB432" s="12"/>
      <c r="AC432" s="12"/>
      <c r="AD432" s="12"/>
      <c r="AE432" s="12"/>
      <c r="AF432" s="12"/>
      <c r="AG432" s="12"/>
      <c r="AH432" s="12"/>
      <c r="AI432" s="12"/>
      <c r="AJ432" s="12"/>
      <c r="AK432" s="12"/>
      <c r="AL432" s="12"/>
    </row>
    <row r="433" spans="1:38" x14ac:dyDescent="0.3">
      <c r="A433" s="12"/>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c r="AA433" s="12"/>
      <c r="AB433" s="12"/>
      <c r="AC433" s="12"/>
      <c r="AD433" s="12"/>
      <c r="AE433" s="12"/>
      <c r="AF433" s="12"/>
      <c r="AG433" s="12"/>
      <c r="AH433" s="12"/>
      <c r="AI433" s="12"/>
      <c r="AJ433" s="12"/>
      <c r="AK433" s="12"/>
      <c r="AL433" s="12"/>
    </row>
    <row r="434" spans="1:38" x14ac:dyDescent="0.3">
      <c r="A434" s="12"/>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c r="AA434" s="12"/>
      <c r="AB434" s="12"/>
      <c r="AC434" s="12"/>
      <c r="AD434" s="12"/>
      <c r="AE434" s="12"/>
      <c r="AF434" s="12"/>
      <c r="AG434" s="12"/>
      <c r="AH434" s="12"/>
      <c r="AI434" s="12"/>
      <c r="AJ434" s="12"/>
      <c r="AK434" s="12"/>
      <c r="AL434" s="12"/>
    </row>
    <row r="435" spans="1:38" x14ac:dyDescent="0.3">
      <c r="A435" s="12"/>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c r="AA435" s="12"/>
      <c r="AB435" s="12"/>
      <c r="AC435" s="12"/>
      <c r="AD435" s="12"/>
      <c r="AE435" s="12"/>
      <c r="AF435" s="12"/>
      <c r="AG435" s="12"/>
      <c r="AH435" s="12"/>
      <c r="AI435" s="12"/>
      <c r="AJ435" s="12"/>
      <c r="AK435" s="12"/>
      <c r="AL435" s="12"/>
    </row>
    <row r="436" spans="1:38" x14ac:dyDescent="0.3">
      <c r="A436" s="12"/>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c r="AA436" s="12"/>
      <c r="AB436" s="12"/>
      <c r="AC436" s="12"/>
      <c r="AD436" s="12"/>
      <c r="AE436" s="12"/>
      <c r="AF436" s="12"/>
      <c r="AG436" s="12"/>
      <c r="AH436" s="12"/>
      <c r="AI436" s="12"/>
      <c r="AJ436" s="12"/>
      <c r="AK436" s="12"/>
      <c r="AL436" s="12"/>
    </row>
    <row r="437" spans="1:38" x14ac:dyDescent="0.3">
      <c r="A437" s="12"/>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c r="AA437" s="12"/>
      <c r="AB437" s="12"/>
      <c r="AC437" s="12"/>
      <c r="AD437" s="12"/>
      <c r="AE437" s="12"/>
      <c r="AF437" s="12"/>
      <c r="AG437" s="12"/>
      <c r="AH437" s="12"/>
      <c r="AI437" s="12"/>
      <c r="AJ437" s="12"/>
      <c r="AK437" s="12"/>
      <c r="AL437" s="12"/>
    </row>
    <row r="438" spans="1:38" x14ac:dyDescent="0.3">
      <c r="A438" s="12"/>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c r="AA438" s="12"/>
      <c r="AB438" s="12"/>
      <c r="AC438" s="12"/>
      <c r="AD438" s="12"/>
      <c r="AE438" s="12"/>
      <c r="AF438" s="12"/>
      <c r="AG438" s="12"/>
      <c r="AH438" s="12"/>
      <c r="AI438" s="12"/>
      <c r="AJ438" s="12"/>
      <c r="AK438" s="12"/>
      <c r="AL438" s="12"/>
    </row>
    <row r="439" spans="1:38" x14ac:dyDescent="0.3">
      <c r="A439" s="12"/>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c r="AA439" s="12"/>
      <c r="AB439" s="12"/>
      <c r="AC439" s="12"/>
      <c r="AD439" s="12"/>
      <c r="AE439" s="12"/>
      <c r="AF439" s="12"/>
      <c r="AG439" s="12"/>
      <c r="AH439" s="12"/>
      <c r="AI439" s="12"/>
      <c r="AJ439" s="12"/>
      <c r="AK439" s="12"/>
      <c r="AL439" s="12"/>
    </row>
    <row r="440" spans="1:38" x14ac:dyDescent="0.3">
      <c r="A440" s="12"/>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c r="AA440" s="12"/>
      <c r="AB440" s="12"/>
      <c r="AC440" s="12"/>
      <c r="AD440" s="12"/>
      <c r="AE440" s="12"/>
      <c r="AF440" s="12"/>
      <c r="AG440" s="12"/>
      <c r="AH440" s="12"/>
      <c r="AI440" s="12"/>
      <c r="AJ440" s="12"/>
      <c r="AK440" s="12"/>
      <c r="AL440" s="12"/>
    </row>
    <row r="441" spans="1:38" x14ac:dyDescent="0.3">
      <c r="A441" s="12"/>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c r="AA441" s="12"/>
      <c r="AB441" s="12"/>
      <c r="AC441" s="12"/>
      <c r="AD441" s="12"/>
      <c r="AE441" s="12"/>
      <c r="AF441" s="12"/>
      <c r="AG441" s="12"/>
      <c r="AH441" s="12"/>
      <c r="AI441" s="12"/>
      <c r="AJ441" s="12"/>
      <c r="AK441" s="12"/>
      <c r="AL441" s="12"/>
    </row>
    <row r="442" spans="1:38" x14ac:dyDescent="0.3">
      <c r="A442" s="12"/>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c r="AA442" s="12"/>
      <c r="AB442" s="12"/>
      <c r="AC442" s="12"/>
      <c r="AD442" s="12"/>
      <c r="AE442" s="12"/>
      <c r="AF442" s="12"/>
      <c r="AG442" s="12"/>
      <c r="AH442" s="12"/>
      <c r="AI442" s="12"/>
      <c r="AJ442" s="12"/>
      <c r="AK442" s="12"/>
      <c r="AL442" s="12"/>
    </row>
    <row r="443" spans="1:38" x14ac:dyDescent="0.3">
      <c r="A443" s="12"/>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c r="AA443" s="12"/>
      <c r="AB443" s="12"/>
      <c r="AC443" s="12"/>
      <c r="AD443" s="12"/>
      <c r="AE443" s="12"/>
      <c r="AF443" s="12"/>
      <c r="AG443" s="12"/>
      <c r="AH443" s="12"/>
      <c r="AI443" s="12"/>
      <c r="AJ443" s="12"/>
      <c r="AK443" s="12"/>
      <c r="AL443" s="12"/>
    </row>
    <row r="444" spans="1:38" x14ac:dyDescent="0.3">
      <c r="A444" s="12"/>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c r="AA444" s="12"/>
      <c r="AB444" s="12"/>
      <c r="AC444" s="12"/>
      <c r="AD444" s="12"/>
      <c r="AE444" s="12"/>
      <c r="AF444" s="12"/>
      <c r="AG444" s="12"/>
      <c r="AH444" s="12"/>
      <c r="AI444" s="12"/>
      <c r="AJ444" s="12"/>
      <c r="AK444" s="12"/>
      <c r="AL444" s="12"/>
    </row>
    <row r="445" spans="1:38" x14ac:dyDescent="0.3">
      <c r="A445" s="12"/>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c r="AA445" s="12"/>
      <c r="AB445" s="12"/>
      <c r="AC445" s="12"/>
      <c r="AD445" s="12"/>
      <c r="AE445" s="12"/>
      <c r="AF445" s="12"/>
      <c r="AG445" s="12"/>
      <c r="AH445" s="12"/>
      <c r="AI445" s="12"/>
      <c r="AJ445" s="12"/>
      <c r="AK445" s="12"/>
      <c r="AL445" s="12"/>
    </row>
    <row r="446" spans="1:38" x14ac:dyDescent="0.3">
      <c r="A446" s="12"/>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c r="AA446" s="12"/>
      <c r="AB446" s="12"/>
      <c r="AC446" s="12"/>
      <c r="AD446" s="12"/>
      <c r="AE446" s="12"/>
      <c r="AF446" s="12"/>
      <c r="AG446" s="12"/>
      <c r="AH446" s="12"/>
      <c r="AI446" s="12"/>
      <c r="AJ446" s="12"/>
      <c r="AK446" s="12"/>
      <c r="AL446" s="12"/>
    </row>
    <row r="447" spans="1:38" x14ac:dyDescent="0.3">
      <c r="A447" s="12"/>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c r="AA447" s="12"/>
      <c r="AB447" s="12"/>
      <c r="AC447" s="12"/>
      <c r="AD447" s="12"/>
      <c r="AE447" s="12"/>
      <c r="AF447" s="12"/>
      <c r="AG447" s="12"/>
      <c r="AH447" s="12"/>
      <c r="AI447" s="12"/>
      <c r="AJ447" s="12"/>
      <c r="AK447" s="12"/>
      <c r="AL447" s="12"/>
    </row>
    <row r="448" spans="1:38" x14ac:dyDescent="0.3">
      <c r="A448" s="12"/>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c r="AA448" s="12"/>
      <c r="AB448" s="12"/>
      <c r="AC448" s="12"/>
      <c r="AD448" s="12"/>
      <c r="AE448" s="12"/>
      <c r="AF448" s="12"/>
      <c r="AG448" s="12"/>
      <c r="AH448" s="12"/>
      <c r="AI448" s="12"/>
      <c r="AJ448" s="12"/>
      <c r="AK448" s="12"/>
      <c r="AL448" s="12"/>
    </row>
    <row r="449" spans="1:38" x14ac:dyDescent="0.3">
      <c r="A449" s="12"/>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c r="AA449" s="12"/>
      <c r="AB449" s="12"/>
      <c r="AC449" s="12"/>
      <c r="AD449" s="12"/>
      <c r="AE449" s="12"/>
      <c r="AF449" s="12"/>
      <c r="AG449" s="12"/>
      <c r="AH449" s="12"/>
      <c r="AI449" s="12"/>
      <c r="AJ449" s="12"/>
      <c r="AK449" s="12"/>
      <c r="AL449" s="12"/>
    </row>
    <row r="450" spans="1:38" x14ac:dyDescent="0.3">
      <c r="A450" s="12"/>
      <c r="B450" s="12"/>
      <c r="C450" s="12"/>
      <c r="D450" s="12"/>
      <c r="E450" s="12"/>
      <c r="F450" s="12"/>
      <c r="G450" s="12"/>
      <c r="H450" s="12"/>
      <c r="I450" s="12"/>
      <c r="J450" s="12"/>
      <c r="K450" s="12"/>
      <c r="L450" s="12"/>
      <c r="M450" s="12"/>
      <c r="N450" s="12"/>
      <c r="O450" s="12"/>
      <c r="P450" s="12"/>
      <c r="Q450" s="12"/>
      <c r="R450" s="12"/>
      <c r="S450" s="12"/>
      <c r="T450" s="12"/>
      <c r="U450" s="12"/>
      <c r="V450" s="12"/>
      <c r="W450" s="12"/>
      <c r="X450" s="12"/>
      <c r="Y450" s="12"/>
      <c r="Z450" s="12"/>
      <c r="AA450" s="12"/>
      <c r="AB450" s="12"/>
      <c r="AC450" s="12"/>
      <c r="AD450" s="12"/>
      <c r="AE450" s="12"/>
      <c r="AF450" s="12"/>
      <c r="AG450" s="12"/>
      <c r="AH450" s="12"/>
      <c r="AI450" s="12"/>
      <c r="AJ450" s="12"/>
      <c r="AK450" s="12"/>
      <c r="AL450" s="12"/>
    </row>
    <row r="451" spans="1:38" x14ac:dyDescent="0.3">
      <c r="A451" s="12"/>
      <c r="B451" s="12"/>
      <c r="C451" s="12"/>
      <c r="D451" s="12"/>
      <c r="E451" s="12"/>
      <c r="F451" s="12"/>
      <c r="G451" s="12"/>
      <c r="H451" s="12"/>
      <c r="I451" s="12"/>
      <c r="J451" s="12"/>
      <c r="K451" s="12"/>
      <c r="L451" s="12"/>
      <c r="M451" s="12"/>
      <c r="N451" s="12"/>
      <c r="O451" s="12"/>
      <c r="P451" s="12"/>
      <c r="Q451" s="12"/>
      <c r="R451" s="12"/>
      <c r="S451" s="12"/>
      <c r="T451" s="12"/>
      <c r="U451" s="12"/>
      <c r="V451" s="12"/>
      <c r="W451" s="12"/>
      <c r="X451" s="12"/>
      <c r="Y451" s="12"/>
      <c r="Z451" s="12"/>
      <c r="AA451" s="12"/>
      <c r="AB451" s="12"/>
      <c r="AC451" s="12"/>
      <c r="AD451" s="12"/>
      <c r="AE451" s="12"/>
      <c r="AF451" s="12"/>
      <c r="AG451" s="12"/>
      <c r="AH451" s="12"/>
      <c r="AI451" s="12"/>
      <c r="AJ451" s="12"/>
      <c r="AK451" s="12"/>
      <c r="AL451" s="12"/>
    </row>
    <row r="452" spans="1:38" x14ac:dyDescent="0.3">
      <c r="A452" s="12"/>
      <c r="B452" s="12"/>
      <c r="C452" s="12"/>
      <c r="D452" s="12"/>
      <c r="E452" s="12"/>
      <c r="F452" s="12"/>
      <c r="G452" s="12"/>
      <c r="H452" s="12"/>
      <c r="I452" s="12"/>
      <c r="J452" s="12"/>
      <c r="K452" s="12"/>
      <c r="L452" s="12"/>
      <c r="M452" s="12"/>
      <c r="N452" s="12"/>
      <c r="O452" s="12"/>
      <c r="P452" s="12"/>
      <c r="Q452" s="12"/>
      <c r="R452" s="12"/>
      <c r="S452" s="12"/>
      <c r="T452" s="12"/>
      <c r="U452" s="12"/>
      <c r="V452" s="12"/>
      <c r="W452" s="12"/>
      <c r="X452" s="12"/>
      <c r="Y452" s="12"/>
      <c r="Z452" s="12"/>
      <c r="AA452" s="12"/>
      <c r="AB452" s="12"/>
      <c r="AC452" s="12"/>
      <c r="AD452" s="12"/>
      <c r="AE452" s="12"/>
      <c r="AF452" s="12"/>
      <c r="AG452" s="12"/>
      <c r="AH452" s="12"/>
      <c r="AI452" s="12"/>
      <c r="AJ452" s="12"/>
      <c r="AK452" s="12"/>
      <c r="AL452" s="12"/>
    </row>
    <row r="453" spans="1:38" x14ac:dyDescent="0.3">
      <c r="A453" s="12"/>
      <c r="B453" s="12"/>
      <c r="C453" s="12"/>
      <c r="D453" s="12"/>
      <c r="E453" s="12"/>
      <c r="F453" s="12"/>
      <c r="G453" s="12"/>
      <c r="H453" s="12"/>
      <c r="I453" s="12"/>
      <c r="J453" s="12"/>
      <c r="K453" s="12"/>
      <c r="L453" s="12"/>
      <c r="M453" s="12"/>
      <c r="N453" s="12"/>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row>
    <row r="454" spans="1:38" x14ac:dyDescent="0.3">
      <c r="A454" s="12"/>
      <c r="B454" s="12"/>
      <c r="C454" s="12"/>
      <c r="D454" s="12"/>
      <c r="E454" s="12"/>
      <c r="F454" s="12"/>
      <c r="G454" s="12"/>
      <c r="H454" s="12"/>
      <c r="I454" s="12"/>
      <c r="J454" s="12"/>
      <c r="K454" s="12"/>
      <c r="L454" s="12"/>
      <c r="M454" s="12"/>
      <c r="N454" s="12"/>
      <c r="O454" s="12"/>
      <c r="P454" s="12"/>
      <c r="Q454" s="12"/>
      <c r="R454" s="12"/>
      <c r="S454" s="12"/>
      <c r="T454" s="12"/>
      <c r="U454" s="12"/>
      <c r="V454" s="12"/>
      <c r="W454" s="12"/>
      <c r="X454" s="12"/>
      <c r="Y454" s="12"/>
      <c r="Z454" s="12"/>
      <c r="AA454" s="12"/>
      <c r="AB454" s="12"/>
      <c r="AC454" s="12"/>
      <c r="AD454" s="12"/>
      <c r="AE454" s="12"/>
      <c r="AF454" s="12"/>
      <c r="AG454" s="12"/>
      <c r="AH454" s="12"/>
      <c r="AI454" s="12"/>
      <c r="AJ454" s="12"/>
      <c r="AK454" s="12"/>
      <c r="AL454" s="12"/>
    </row>
    <row r="455" spans="1:38" x14ac:dyDescent="0.3">
      <c r="A455" s="12"/>
      <c r="B455" s="12"/>
      <c r="C455" s="12"/>
      <c r="D455" s="12"/>
      <c r="E455" s="12"/>
      <c r="F455" s="12"/>
      <c r="G455" s="12"/>
      <c r="H455" s="12"/>
      <c r="I455" s="12"/>
      <c r="J455" s="12"/>
      <c r="K455" s="12"/>
      <c r="L455" s="12"/>
      <c r="M455" s="12"/>
      <c r="N455" s="12"/>
      <c r="O455" s="12"/>
      <c r="P455" s="12"/>
      <c r="Q455" s="12"/>
      <c r="R455" s="12"/>
      <c r="S455" s="12"/>
      <c r="T455" s="12"/>
      <c r="U455" s="12"/>
      <c r="V455" s="12"/>
      <c r="W455" s="12"/>
      <c r="X455" s="12"/>
      <c r="Y455" s="12"/>
      <c r="Z455" s="12"/>
      <c r="AA455" s="12"/>
      <c r="AB455" s="12"/>
      <c r="AC455" s="12"/>
      <c r="AD455" s="12"/>
      <c r="AE455" s="12"/>
      <c r="AF455" s="12"/>
      <c r="AG455" s="12"/>
      <c r="AH455" s="12"/>
      <c r="AI455" s="12"/>
      <c r="AJ455" s="12"/>
      <c r="AK455" s="12"/>
      <c r="AL455" s="12"/>
    </row>
    <row r="456" spans="1:38" x14ac:dyDescent="0.3">
      <c r="A456" s="12"/>
      <c r="B456" s="12"/>
      <c r="C456" s="12"/>
      <c r="D456" s="12"/>
      <c r="E456" s="12"/>
      <c r="F456" s="12"/>
      <c r="G456" s="12"/>
      <c r="H456" s="12"/>
      <c r="I456" s="12"/>
      <c r="J456" s="12"/>
      <c r="K456" s="12"/>
      <c r="L456" s="12"/>
      <c r="M456" s="12"/>
      <c r="N456" s="12"/>
      <c r="O456" s="12"/>
      <c r="P456" s="12"/>
      <c r="Q456" s="12"/>
      <c r="R456" s="12"/>
      <c r="S456" s="12"/>
      <c r="T456" s="12"/>
      <c r="U456" s="12"/>
      <c r="V456" s="12"/>
      <c r="W456" s="12"/>
      <c r="X456" s="12"/>
      <c r="Y456" s="12"/>
      <c r="Z456" s="12"/>
      <c r="AA456" s="12"/>
      <c r="AB456" s="12"/>
      <c r="AC456" s="12"/>
      <c r="AD456" s="12"/>
      <c r="AE456" s="12"/>
      <c r="AF456" s="12"/>
      <c r="AG456" s="12"/>
      <c r="AH456" s="12"/>
      <c r="AI456" s="12"/>
      <c r="AJ456" s="12"/>
      <c r="AK456" s="12"/>
      <c r="AL456" s="12"/>
    </row>
    <row r="457" spans="1:38" x14ac:dyDescent="0.3">
      <c r="A457" s="12"/>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c r="AA457" s="12"/>
      <c r="AB457" s="12"/>
      <c r="AC457" s="12"/>
      <c r="AD457" s="12"/>
      <c r="AE457" s="12"/>
      <c r="AF457" s="12"/>
      <c r="AG457" s="12"/>
      <c r="AH457" s="12"/>
      <c r="AI457" s="12"/>
      <c r="AJ457" s="12"/>
      <c r="AK457" s="12"/>
      <c r="AL457" s="12"/>
    </row>
    <row r="458" spans="1:38" x14ac:dyDescent="0.3">
      <c r="A458" s="12"/>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c r="AA458" s="12"/>
      <c r="AB458" s="12"/>
      <c r="AC458" s="12"/>
      <c r="AD458" s="12"/>
      <c r="AE458" s="12"/>
      <c r="AF458" s="12"/>
      <c r="AG458" s="12"/>
      <c r="AH458" s="12"/>
      <c r="AI458" s="12"/>
      <c r="AJ458" s="12"/>
      <c r="AK458" s="12"/>
      <c r="AL458" s="12"/>
    </row>
    <row r="459" spans="1:38" x14ac:dyDescent="0.3">
      <c r="A459" s="12"/>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c r="AA459" s="12"/>
      <c r="AB459" s="12"/>
      <c r="AC459" s="12"/>
      <c r="AD459" s="12"/>
      <c r="AE459" s="12"/>
      <c r="AF459" s="12"/>
      <c r="AG459" s="12"/>
      <c r="AH459" s="12"/>
      <c r="AI459" s="12"/>
      <c r="AJ459" s="12"/>
      <c r="AK459" s="12"/>
      <c r="AL459" s="12"/>
    </row>
    <row r="460" spans="1:38" x14ac:dyDescent="0.3">
      <c r="A460" s="12"/>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c r="AA460" s="12"/>
      <c r="AB460" s="12"/>
      <c r="AC460" s="12"/>
      <c r="AD460" s="12"/>
      <c r="AE460" s="12"/>
      <c r="AF460" s="12"/>
      <c r="AG460" s="12"/>
      <c r="AH460" s="12"/>
      <c r="AI460" s="12"/>
      <c r="AJ460" s="12"/>
      <c r="AK460" s="12"/>
      <c r="AL460" s="12"/>
    </row>
    <row r="461" spans="1:38" x14ac:dyDescent="0.3">
      <c r="A461" s="12"/>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c r="AA461" s="12"/>
      <c r="AB461" s="12"/>
      <c r="AC461" s="12"/>
      <c r="AD461" s="12"/>
      <c r="AE461" s="12"/>
      <c r="AF461" s="12"/>
      <c r="AG461" s="12"/>
      <c r="AH461" s="12"/>
      <c r="AI461" s="12"/>
      <c r="AJ461" s="12"/>
      <c r="AK461" s="12"/>
      <c r="AL461" s="12"/>
    </row>
    <row r="462" spans="1:38" x14ac:dyDescent="0.3">
      <c r="A462" s="12"/>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c r="AA462" s="12"/>
      <c r="AB462" s="12"/>
      <c r="AC462" s="12"/>
      <c r="AD462" s="12"/>
      <c r="AE462" s="12"/>
      <c r="AF462" s="12"/>
      <c r="AG462" s="12"/>
      <c r="AH462" s="12"/>
      <c r="AI462" s="12"/>
      <c r="AJ462" s="12"/>
      <c r="AK462" s="12"/>
      <c r="AL462" s="12"/>
    </row>
    <row r="463" spans="1:38" x14ac:dyDescent="0.3">
      <c r="A463" s="12"/>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c r="AA463" s="12"/>
      <c r="AB463" s="12"/>
      <c r="AC463" s="12"/>
      <c r="AD463" s="12"/>
      <c r="AE463" s="12"/>
      <c r="AF463" s="12"/>
      <c r="AG463" s="12"/>
      <c r="AH463" s="12"/>
      <c r="AI463" s="12"/>
      <c r="AJ463" s="12"/>
      <c r="AK463" s="12"/>
      <c r="AL463" s="12"/>
    </row>
    <row r="464" spans="1:38" x14ac:dyDescent="0.3">
      <c r="A464" s="12"/>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c r="AA464" s="12"/>
      <c r="AB464" s="12"/>
      <c r="AC464" s="12"/>
      <c r="AD464" s="12"/>
      <c r="AE464" s="12"/>
      <c r="AF464" s="12"/>
      <c r="AG464" s="12"/>
      <c r="AH464" s="12"/>
      <c r="AI464" s="12"/>
      <c r="AJ464" s="12"/>
      <c r="AK464" s="12"/>
      <c r="AL464" s="12"/>
    </row>
    <row r="465" spans="1:38" x14ac:dyDescent="0.3">
      <c r="A465" s="12"/>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c r="AA465" s="12"/>
      <c r="AB465" s="12"/>
      <c r="AC465" s="12"/>
      <c r="AD465" s="12"/>
      <c r="AE465" s="12"/>
      <c r="AF465" s="12"/>
      <c r="AG465" s="12"/>
      <c r="AH465" s="12"/>
      <c r="AI465" s="12"/>
      <c r="AJ465" s="12"/>
      <c r="AK465" s="12"/>
      <c r="AL465" s="12"/>
    </row>
    <row r="466" spans="1:38" x14ac:dyDescent="0.3">
      <c r="A466" s="12"/>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c r="AA466" s="12"/>
      <c r="AB466" s="12"/>
      <c r="AC466" s="12"/>
      <c r="AD466" s="12"/>
      <c r="AE466" s="12"/>
      <c r="AF466" s="12"/>
      <c r="AG466" s="12"/>
      <c r="AH466" s="12"/>
      <c r="AI466" s="12"/>
      <c r="AJ466" s="12"/>
      <c r="AK466" s="12"/>
      <c r="AL466" s="12"/>
    </row>
    <row r="467" spans="1:38" x14ac:dyDescent="0.3">
      <c r="A467" s="12"/>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c r="AA467" s="12"/>
      <c r="AB467" s="12"/>
      <c r="AC467" s="12"/>
      <c r="AD467" s="12"/>
      <c r="AE467" s="12"/>
      <c r="AF467" s="12"/>
      <c r="AG467" s="12"/>
      <c r="AH467" s="12"/>
      <c r="AI467" s="12"/>
      <c r="AJ467" s="12"/>
      <c r="AK467" s="12"/>
      <c r="AL467" s="12"/>
    </row>
    <row r="468" spans="1:38" x14ac:dyDescent="0.3">
      <c r="A468" s="12"/>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c r="AA468" s="12"/>
      <c r="AB468" s="12"/>
      <c r="AC468" s="12"/>
      <c r="AD468" s="12"/>
      <c r="AE468" s="12"/>
      <c r="AF468" s="12"/>
      <c r="AG468" s="12"/>
      <c r="AH468" s="12"/>
      <c r="AI468" s="12"/>
      <c r="AJ468" s="12"/>
      <c r="AK468" s="12"/>
      <c r="AL468" s="12"/>
    </row>
    <row r="469" spans="1:38" x14ac:dyDescent="0.3">
      <c r="A469" s="12"/>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c r="AA469" s="12"/>
      <c r="AB469" s="12"/>
      <c r="AC469" s="12"/>
      <c r="AD469" s="12"/>
      <c r="AE469" s="12"/>
      <c r="AF469" s="12"/>
      <c r="AG469" s="12"/>
      <c r="AH469" s="12"/>
      <c r="AI469" s="12"/>
      <c r="AJ469" s="12"/>
      <c r="AK469" s="12"/>
      <c r="AL469" s="12"/>
    </row>
    <row r="470" spans="1:38" x14ac:dyDescent="0.3">
      <c r="A470" s="12"/>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c r="AA470" s="12"/>
      <c r="AB470" s="12"/>
      <c r="AC470" s="12"/>
      <c r="AD470" s="12"/>
      <c r="AE470" s="12"/>
      <c r="AF470" s="12"/>
      <c r="AG470" s="12"/>
      <c r="AH470" s="12"/>
      <c r="AI470" s="12"/>
      <c r="AJ470" s="12"/>
      <c r="AK470" s="12"/>
      <c r="AL470" s="12"/>
    </row>
    <row r="471" spans="1:38" x14ac:dyDescent="0.3">
      <c r="A471" s="12"/>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c r="AA471" s="12"/>
      <c r="AB471" s="12"/>
      <c r="AC471" s="12"/>
      <c r="AD471" s="12"/>
      <c r="AE471" s="12"/>
      <c r="AF471" s="12"/>
      <c r="AG471" s="12"/>
      <c r="AH471" s="12"/>
      <c r="AI471" s="12"/>
      <c r="AJ471" s="12"/>
      <c r="AK471" s="12"/>
      <c r="AL471" s="12"/>
    </row>
    <row r="472" spans="1:38" x14ac:dyDescent="0.3">
      <c r="A472" s="12"/>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c r="AA472" s="12"/>
      <c r="AB472" s="12"/>
      <c r="AC472" s="12"/>
      <c r="AD472" s="12"/>
      <c r="AE472" s="12"/>
      <c r="AF472" s="12"/>
      <c r="AG472" s="12"/>
      <c r="AH472" s="12"/>
      <c r="AI472" s="12"/>
      <c r="AJ472" s="12"/>
      <c r="AK472" s="12"/>
      <c r="AL472" s="12"/>
    </row>
    <row r="473" spans="1:38" x14ac:dyDescent="0.3">
      <c r="A473" s="12"/>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c r="AA473" s="12"/>
      <c r="AB473" s="12"/>
      <c r="AC473" s="12"/>
      <c r="AD473" s="12"/>
      <c r="AE473" s="12"/>
      <c r="AF473" s="12"/>
      <c r="AG473" s="12"/>
      <c r="AH473" s="12"/>
      <c r="AI473" s="12"/>
      <c r="AJ473" s="12"/>
      <c r="AK473" s="12"/>
      <c r="AL473" s="12"/>
    </row>
    <row r="474" spans="1:38" x14ac:dyDescent="0.3">
      <c r="A474" s="12"/>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c r="AA474" s="12"/>
      <c r="AB474" s="12"/>
      <c r="AC474" s="12"/>
      <c r="AD474" s="12"/>
      <c r="AE474" s="12"/>
      <c r="AF474" s="12"/>
      <c r="AG474" s="12"/>
      <c r="AH474" s="12"/>
      <c r="AI474" s="12"/>
      <c r="AJ474" s="12"/>
      <c r="AK474" s="12"/>
      <c r="AL474" s="12"/>
    </row>
    <row r="475" spans="1:38" x14ac:dyDescent="0.3">
      <c r="A475" s="12"/>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c r="AA475" s="12"/>
      <c r="AB475" s="12"/>
      <c r="AC475" s="12"/>
      <c r="AD475" s="12"/>
      <c r="AE475" s="12"/>
      <c r="AF475" s="12"/>
      <c r="AG475" s="12"/>
      <c r="AH475" s="12"/>
      <c r="AI475" s="12"/>
      <c r="AJ475" s="12"/>
      <c r="AK475" s="12"/>
      <c r="AL475" s="12"/>
    </row>
    <row r="476" spans="1:38" x14ac:dyDescent="0.3">
      <c r="A476" s="12"/>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c r="AA476" s="12"/>
      <c r="AB476" s="12"/>
      <c r="AC476" s="12"/>
      <c r="AD476" s="12"/>
      <c r="AE476" s="12"/>
      <c r="AF476" s="12"/>
      <c r="AG476" s="12"/>
      <c r="AH476" s="12"/>
      <c r="AI476" s="12"/>
      <c r="AJ476" s="12"/>
      <c r="AK476" s="12"/>
      <c r="AL476" s="12"/>
    </row>
    <row r="477" spans="1:38" x14ac:dyDescent="0.3">
      <c r="A477" s="12"/>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c r="AA477" s="12"/>
      <c r="AB477" s="12"/>
      <c r="AC477" s="12"/>
      <c r="AD477" s="12"/>
      <c r="AE477" s="12"/>
      <c r="AF477" s="12"/>
      <c r="AG477" s="12"/>
      <c r="AH477" s="12"/>
      <c r="AI477" s="12"/>
      <c r="AJ477" s="12"/>
      <c r="AK477" s="12"/>
      <c r="AL477" s="12"/>
    </row>
    <row r="478" spans="1:38" x14ac:dyDescent="0.3">
      <c r="A478" s="12"/>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c r="AA478" s="12"/>
      <c r="AB478" s="12"/>
      <c r="AC478" s="12"/>
      <c r="AD478" s="12"/>
      <c r="AE478" s="12"/>
      <c r="AF478" s="12"/>
      <c r="AG478" s="12"/>
      <c r="AH478" s="12"/>
      <c r="AI478" s="12"/>
      <c r="AJ478" s="12"/>
      <c r="AK478" s="12"/>
      <c r="AL478" s="12"/>
    </row>
    <row r="479" spans="1:38" x14ac:dyDescent="0.3">
      <c r="A479" s="12"/>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c r="AA479" s="12"/>
      <c r="AB479" s="12"/>
      <c r="AC479" s="12"/>
      <c r="AD479" s="12"/>
      <c r="AE479" s="12"/>
      <c r="AF479" s="12"/>
      <c r="AG479" s="12"/>
      <c r="AH479" s="12"/>
      <c r="AI479" s="12"/>
      <c r="AJ479" s="12"/>
      <c r="AK479" s="12"/>
      <c r="AL479" s="12"/>
    </row>
    <row r="480" spans="1:38" x14ac:dyDescent="0.3">
      <c r="A480" s="12"/>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c r="AA480" s="12"/>
      <c r="AB480" s="12"/>
      <c r="AC480" s="12"/>
      <c r="AD480" s="12"/>
      <c r="AE480" s="12"/>
      <c r="AF480" s="12"/>
      <c r="AG480" s="12"/>
      <c r="AH480" s="12"/>
      <c r="AI480" s="12"/>
      <c r="AJ480" s="12"/>
      <c r="AK480" s="12"/>
      <c r="AL480" s="12"/>
    </row>
    <row r="481" spans="1:38" x14ac:dyDescent="0.3">
      <c r="A481" s="12"/>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c r="AA481" s="12"/>
      <c r="AB481" s="12"/>
      <c r="AC481" s="12"/>
      <c r="AD481" s="12"/>
      <c r="AE481" s="12"/>
      <c r="AF481" s="12"/>
      <c r="AG481" s="12"/>
      <c r="AH481" s="12"/>
      <c r="AI481" s="12"/>
      <c r="AJ481" s="12"/>
      <c r="AK481" s="12"/>
      <c r="AL481" s="12"/>
    </row>
    <row r="482" spans="1:38" x14ac:dyDescent="0.3">
      <c r="A482" s="12"/>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c r="AA482" s="12"/>
      <c r="AB482" s="12"/>
      <c r="AC482" s="12"/>
      <c r="AD482" s="12"/>
      <c r="AE482" s="12"/>
      <c r="AF482" s="12"/>
      <c r="AG482" s="12"/>
      <c r="AH482" s="12"/>
      <c r="AI482" s="12"/>
      <c r="AJ482" s="12"/>
      <c r="AK482" s="12"/>
      <c r="AL482" s="12"/>
    </row>
    <row r="483" spans="1:38" x14ac:dyDescent="0.3">
      <c r="A483" s="12"/>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c r="AA483" s="12"/>
      <c r="AB483" s="12"/>
      <c r="AC483" s="12"/>
      <c r="AD483" s="12"/>
      <c r="AE483" s="12"/>
      <c r="AF483" s="12"/>
      <c r="AG483" s="12"/>
      <c r="AH483" s="12"/>
      <c r="AI483" s="12"/>
      <c r="AJ483" s="12"/>
      <c r="AK483" s="12"/>
      <c r="AL483" s="12"/>
    </row>
    <row r="484" spans="1:38" x14ac:dyDescent="0.3">
      <c r="A484" s="12"/>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c r="AA484" s="12"/>
      <c r="AB484" s="12"/>
      <c r="AC484" s="12"/>
      <c r="AD484" s="12"/>
      <c r="AE484" s="12"/>
      <c r="AF484" s="12"/>
      <c r="AG484" s="12"/>
      <c r="AH484" s="12"/>
      <c r="AI484" s="12"/>
      <c r="AJ484" s="12"/>
      <c r="AK484" s="12"/>
      <c r="AL484" s="12"/>
    </row>
    <row r="485" spans="1:38" x14ac:dyDescent="0.3">
      <c r="A485" s="12"/>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c r="AA485" s="12"/>
      <c r="AB485" s="12"/>
      <c r="AC485" s="12"/>
      <c r="AD485" s="12"/>
      <c r="AE485" s="12"/>
      <c r="AF485" s="12"/>
      <c r="AG485" s="12"/>
      <c r="AH485" s="12"/>
      <c r="AI485" s="12"/>
      <c r="AJ485" s="12"/>
      <c r="AK485" s="12"/>
      <c r="AL485" s="12"/>
    </row>
    <row r="486" spans="1:38" x14ac:dyDescent="0.3">
      <c r="A486" s="12"/>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c r="AA486" s="12"/>
      <c r="AB486" s="12"/>
      <c r="AC486" s="12"/>
      <c r="AD486" s="12"/>
      <c r="AE486" s="12"/>
      <c r="AF486" s="12"/>
      <c r="AG486" s="12"/>
      <c r="AH486" s="12"/>
      <c r="AI486" s="12"/>
      <c r="AJ486" s="12"/>
      <c r="AK486" s="12"/>
      <c r="AL486" s="12"/>
    </row>
    <row r="487" spans="1:38" x14ac:dyDescent="0.3">
      <c r="A487" s="12"/>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row>
    <row r="488" spans="1:38" x14ac:dyDescent="0.3">
      <c r="A488" s="12"/>
      <c r="B488" s="12"/>
      <c r="C488" s="12"/>
      <c r="D488" s="12"/>
      <c r="E488" s="12"/>
      <c r="F488" s="12"/>
      <c r="G488" s="12"/>
      <c r="H488" s="12"/>
      <c r="I488" s="12"/>
      <c r="J488" s="12"/>
      <c r="K488" s="12"/>
      <c r="L488" s="12"/>
      <c r="M488" s="12"/>
      <c r="N488" s="12"/>
      <c r="O488" s="12"/>
      <c r="P488" s="12"/>
      <c r="Q488" s="12"/>
      <c r="R488" s="12"/>
      <c r="S488" s="12"/>
      <c r="T488" s="12"/>
      <c r="U488" s="12"/>
      <c r="V488" s="12"/>
      <c r="W488" s="12"/>
      <c r="X488" s="12"/>
      <c r="Y488" s="12"/>
      <c r="Z488" s="12"/>
      <c r="AA488" s="12"/>
      <c r="AB488" s="12"/>
      <c r="AC488" s="12"/>
      <c r="AD488" s="12"/>
      <c r="AE488" s="12"/>
      <c r="AF488" s="12"/>
      <c r="AG488" s="12"/>
      <c r="AH488" s="12"/>
      <c r="AI488" s="12"/>
      <c r="AJ488" s="12"/>
      <c r="AK488" s="12"/>
      <c r="AL488" s="12"/>
    </row>
    <row r="489" spans="1:38" x14ac:dyDescent="0.3">
      <c r="A489" s="12"/>
      <c r="B489" s="12"/>
      <c r="C489" s="12"/>
      <c r="D489" s="12"/>
      <c r="E489" s="12"/>
      <c r="F489" s="12"/>
      <c r="G489" s="12"/>
      <c r="H489" s="12"/>
      <c r="I489" s="12"/>
      <c r="J489" s="12"/>
      <c r="K489" s="12"/>
      <c r="L489" s="12"/>
      <c r="M489" s="12"/>
      <c r="N489" s="12"/>
      <c r="O489" s="12"/>
      <c r="P489" s="12"/>
      <c r="Q489" s="12"/>
      <c r="R489" s="12"/>
      <c r="S489" s="12"/>
      <c r="T489" s="12"/>
      <c r="U489" s="12"/>
      <c r="V489" s="12"/>
      <c r="W489" s="12"/>
      <c r="X489" s="12"/>
      <c r="Y489" s="12"/>
      <c r="Z489" s="12"/>
      <c r="AA489" s="12"/>
      <c r="AB489" s="12"/>
      <c r="AC489" s="12"/>
      <c r="AD489" s="12"/>
      <c r="AE489" s="12"/>
      <c r="AF489" s="12"/>
      <c r="AG489" s="12"/>
      <c r="AH489" s="12"/>
      <c r="AI489" s="12"/>
      <c r="AJ489" s="12"/>
      <c r="AK489" s="12"/>
      <c r="AL489" s="12"/>
    </row>
    <row r="490" spans="1:38" x14ac:dyDescent="0.3">
      <c r="A490" s="12"/>
      <c r="B490" s="12"/>
      <c r="C490" s="12"/>
      <c r="D490" s="12"/>
      <c r="E490" s="12"/>
      <c r="F490" s="12"/>
      <c r="G490" s="12"/>
      <c r="H490" s="12"/>
      <c r="I490" s="12"/>
      <c r="J490" s="12"/>
      <c r="K490" s="12"/>
      <c r="L490" s="12"/>
      <c r="M490" s="12"/>
      <c r="N490" s="12"/>
      <c r="O490" s="12"/>
      <c r="P490" s="12"/>
      <c r="Q490" s="12"/>
      <c r="R490" s="12"/>
      <c r="S490" s="12"/>
      <c r="T490" s="12"/>
      <c r="U490" s="12"/>
      <c r="V490" s="12"/>
      <c r="W490" s="12"/>
      <c r="X490" s="12"/>
      <c r="Y490" s="12"/>
      <c r="Z490" s="12"/>
      <c r="AA490" s="12"/>
      <c r="AB490" s="12"/>
      <c r="AC490" s="12"/>
      <c r="AD490" s="12"/>
      <c r="AE490" s="12"/>
      <c r="AF490" s="12"/>
      <c r="AG490" s="12"/>
      <c r="AH490" s="12"/>
      <c r="AI490" s="12"/>
      <c r="AJ490" s="12"/>
      <c r="AK490" s="12"/>
      <c r="AL490" s="12"/>
    </row>
    <row r="491" spans="1:38" x14ac:dyDescent="0.3">
      <c r="A491" s="12"/>
      <c r="B491" s="12"/>
      <c r="C491" s="12"/>
      <c r="D491" s="12"/>
      <c r="E491" s="12"/>
      <c r="F491" s="12"/>
      <c r="G491" s="12"/>
      <c r="H491" s="12"/>
      <c r="I491" s="12"/>
      <c r="J491" s="12"/>
      <c r="K491" s="12"/>
      <c r="L491" s="12"/>
      <c r="M491" s="12"/>
      <c r="N491" s="12"/>
      <c r="O491" s="12"/>
      <c r="P491" s="12"/>
      <c r="Q491" s="12"/>
      <c r="R491" s="12"/>
      <c r="S491" s="12"/>
      <c r="T491" s="12"/>
      <c r="U491" s="12"/>
      <c r="V491" s="12"/>
      <c r="W491" s="12"/>
      <c r="X491" s="12"/>
      <c r="Y491" s="12"/>
      <c r="Z491" s="12"/>
      <c r="AA491" s="12"/>
      <c r="AB491" s="12"/>
      <c r="AC491" s="12"/>
      <c r="AD491" s="12"/>
      <c r="AE491" s="12"/>
      <c r="AF491" s="12"/>
      <c r="AG491" s="12"/>
      <c r="AH491" s="12"/>
      <c r="AI491" s="12"/>
      <c r="AJ491" s="12"/>
      <c r="AK491" s="12"/>
      <c r="AL491" s="12"/>
    </row>
    <row r="492" spans="1:38" x14ac:dyDescent="0.3">
      <c r="A492" s="12"/>
      <c r="B492" s="12"/>
      <c r="C492" s="12"/>
      <c r="D492" s="12"/>
      <c r="E492" s="12"/>
      <c r="F492" s="12"/>
      <c r="G492" s="12"/>
      <c r="H492" s="12"/>
      <c r="I492" s="12"/>
      <c r="J492" s="12"/>
      <c r="K492" s="12"/>
      <c r="L492" s="12"/>
      <c r="M492" s="12"/>
      <c r="N492" s="12"/>
      <c r="O492" s="12"/>
      <c r="P492" s="12"/>
      <c r="Q492" s="12"/>
      <c r="R492" s="12"/>
      <c r="S492" s="12"/>
      <c r="T492" s="12"/>
      <c r="U492" s="12"/>
      <c r="V492" s="12"/>
      <c r="W492" s="12"/>
      <c r="X492" s="12"/>
      <c r="Y492" s="12"/>
      <c r="Z492" s="12"/>
      <c r="AA492" s="12"/>
      <c r="AB492" s="12"/>
      <c r="AC492" s="12"/>
      <c r="AD492" s="12"/>
      <c r="AE492" s="12"/>
      <c r="AF492" s="12"/>
      <c r="AG492" s="12"/>
      <c r="AH492" s="12"/>
      <c r="AI492" s="12"/>
      <c r="AJ492" s="12"/>
      <c r="AK492" s="12"/>
      <c r="AL492" s="12"/>
    </row>
    <row r="493" spans="1:38" x14ac:dyDescent="0.3">
      <c r="A493" s="12"/>
      <c r="B493" s="12"/>
      <c r="C493" s="12"/>
      <c r="D493" s="12"/>
      <c r="E493" s="12"/>
      <c r="F493" s="12"/>
      <c r="G493" s="12"/>
      <c r="H493" s="12"/>
      <c r="I493" s="12"/>
      <c r="J493" s="12"/>
      <c r="K493" s="12"/>
      <c r="L493" s="12"/>
      <c r="M493" s="12"/>
      <c r="N493" s="12"/>
      <c r="O493" s="12"/>
      <c r="P493" s="12"/>
      <c r="Q493" s="12"/>
      <c r="R493" s="12"/>
      <c r="S493" s="12"/>
      <c r="T493" s="12"/>
      <c r="U493" s="12"/>
      <c r="V493" s="12"/>
      <c r="W493" s="12"/>
      <c r="X493" s="12"/>
      <c r="Y493" s="12"/>
      <c r="Z493" s="12"/>
      <c r="AA493" s="12"/>
      <c r="AB493" s="12"/>
      <c r="AC493" s="12"/>
      <c r="AD493" s="12"/>
      <c r="AE493" s="12"/>
      <c r="AF493" s="12"/>
      <c r="AG493" s="12"/>
      <c r="AH493" s="12"/>
      <c r="AI493" s="12"/>
      <c r="AJ493" s="12"/>
      <c r="AK493" s="12"/>
      <c r="AL493" s="12"/>
    </row>
    <row r="494" spans="1:38" x14ac:dyDescent="0.3">
      <c r="A494" s="12"/>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c r="AA494" s="12"/>
      <c r="AB494" s="12"/>
      <c r="AC494" s="12"/>
      <c r="AD494" s="12"/>
      <c r="AE494" s="12"/>
      <c r="AF494" s="12"/>
      <c r="AG494" s="12"/>
      <c r="AH494" s="12"/>
      <c r="AI494" s="12"/>
      <c r="AJ494" s="12"/>
      <c r="AK494" s="12"/>
      <c r="AL494" s="12"/>
    </row>
    <row r="495" spans="1:38" x14ac:dyDescent="0.3">
      <c r="A495" s="12"/>
      <c r="B495" s="12"/>
      <c r="C495" s="12"/>
      <c r="D495" s="12"/>
      <c r="E495" s="12"/>
      <c r="F495" s="12"/>
      <c r="G495" s="12"/>
      <c r="H495" s="12"/>
      <c r="I495" s="12"/>
      <c r="J495" s="12"/>
      <c r="K495" s="12"/>
      <c r="L495" s="12"/>
      <c r="M495" s="12"/>
      <c r="N495" s="12"/>
      <c r="O495" s="12"/>
      <c r="P495" s="12"/>
      <c r="Q495" s="12"/>
      <c r="R495" s="12"/>
      <c r="S495" s="12"/>
      <c r="T495" s="12"/>
      <c r="U495" s="12"/>
      <c r="V495" s="12"/>
      <c r="W495" s="12"/>
      <c r="X495" s="12"/>
      <c r="Y495" s="12"/>
      <c r="Z495" s="12"/>
      <c r="AA495" s="12"/>
      <c r="AB495" s="12"/>
      <c r="AC495" s="12"/>
      <c r="AD495" s="12"/>
      <c r="AE495" s="12"/>
      <c r="AF495" s="12"/>
      <c r="AG495" s="12"/>
      <c r="AH495" s="12"/>
      <c r="AI495" s="12"/>
      <c r="AJ495" s="12"/>
      <c r="AK495" s="12"/>
      <c r="AL495" s="12"/>
    </row>
    <row r="496" spans="1:38" x14ac:dyDescent="0.3">
      <c r="A496" s="12"/>
      <c r="B496" s="12"/>
      <c r="C496" s="12"/>
      <c r="D496" s="12"/>
      <c r="E496" s="12"/>
      <c r="F496" s="12"/>
      <c r="G496" s="12"/>
      <c r="H496" s="12"/>
      <c r="I496" s="12"/>
      <c r="J496" s="12"/>
      <c r="K496" s="12"/>
      <c r="L496" s="12"/>
      <c r="M496" s="12"/>
      <c r="N496" s="12"/>
      <c r="O496" s="12"/>
      <c r="P496" s="12"/>
      <c r="Q496" s="12"/>
      <c r="R496" s="12"/>
      <c r="S496" s="12"/>
      <c r="T496" s="12"/>
      <c r="U496" s="12"/>
      <c r="V496" s="12"/>
      <c r="W496" s="12"/>
      <c r="X496" s="12"/>
      <c r="Y496" s="12"/>
      <c r="Z496" s="12"/>
      <c r="AA496" s="12"/>
      <c r="AB496" s="12"/>
      <c r="AC496" s="12"/>
      <c r="AD496" s="12"/>
      <c r="AE496" s="12"/>
      <c r="AF496" s="12"/>
      <c r="AG496" s="12"/>
      <c r="AH496" s="12"/>
      <c r="AI496" s="12"/>
      <c r="AJ496" s="12"/>
      <c r="AK496" s="12"/>
      <c r="AL496" s="12"/>
    </row>
    <row r="497" spans="1:38" x14ac:dyDescent="0.3">
      <c r="A497" s="12"/>
      <c r="B497" s="12"/>
      <c r="C497" s="12"/>
      <c r="D497" s="12"/>
      <c r="E497" s="12"/>
      <c r="F497" s="12"/>
      <c r="G497" s="12"/>
      <c r="H497" s="12"/>
      <c r="I497" s="12"/>
      <c r="J497" s="12"/>
      <c r="K497" s="12"/>
      <c r="L497" s="12"/>
      <c r="M497" s="12"/>
      <c r="N497" s="12"/>
      <c r="O497" s="12"/>
      <c r="P497" s="12"/>
      <c r="Q497" s="12"/>
      <c r="R497" s="12"/>
      <c r="S497" s="12"/>
      <c r="T497" s="12"/>
      <c r="U497" s="12"/>
      <c r="V497" s="12"/>
      <c r="W497" s="12"/>
      <c r="X497" s="12"/>
      <c r="Y497" s="12"/>
      <c r="Z497" s="12"/>
      <c r="AA497" s="12"/>
      <c r="AB497" s="12"/>
      <c r="AC497" s="12"/>
      <c r="AD497" s="12"/>
      <c r="AE497" s="12"/>
      <c r="AF497" s="12"/>
      <c r="AG497" s="12"/>
      <c r="AH497" s="12"/>
      <c r="AI497" s="12"/>
      <c r="AJ497" s="12"/>
      <c r="AK497" s="12"/>
      <c r="AL497" s="12"/>
    </row>
    <row r="498" spans="1:38" x14ac:dyDescent="0.3">
      <c r="A498" s="12"/>
      <c r="B498" s="12"/>
      <c r="C498" s="12"/>
      <c r="D498" s="12"/>
      <c r="E498" s="12"/>
      <c r="F498" s="12"/>
      <c r="G498" s="12"/>
      <c r="H498" s="12"/>
      <c r="I498" s="12"/>
      <c r="J498" s="12"/>
      <c r="K498" s="12"/>
      <c r="L498" s="12"/>
      <c r="M498" s="12"/>
      <c r="N498" s="12"/>
      <c r="O498" s="12"/>
      <c r="P498" s="12"/>
      <c r="Q498" s="12"/>
      <c r="R498" s="12"/>
      <c r="S498" s="12"/>
      <c r="T498" s="12"/>
      <c r="U498" s="12"/>
      <c r="V498" s="12"/>
      <c r="W498" s="12"/>
      <c r="X498" s="12"/>
      <c r="Y498" s="12"/>
      <c r="Z498" s="12"/>
      <c r="AA498" s="12"/>
      <c r="AB498" s="12"/>
      <c r="AC498" s="12"/>
      <c r="AD498" s="12"/>
      <c r="AE498" s="12"/>
      <c r="AF498" s="12"/>
      <c r="AG498" s="12"/>
      <c r="AH498" s="12"/>
      <c r="AI498" s="12"/>
      <c r="AJ498" s="12"/>
      <c r="AK498" s="12"/>
      <c r="AL498" s="12"/>
    </row>
    <row r="499" spans="1:38" x14ac:dyDescent="0.3">
      <c r="A499" s="12"/>
      <c r="B499" s="12"/>
      <c r="C499" s="12"/>
      <c r="D499" s="12"/>
      <c r="E499" s="12"/>
      <c r="F499" s="12"/>
      <c r="G499" s="12"/>
      <c r="H499" s="12"/>
      <c r="I499" s="12"/>
      <c r="J499" s="12"/>
      <c r="K499" s="12"/>
      <c r="L499" s="12"/>
      <c r="M499" s="12"/>
      <c r="N499" s="12"/>
      <c r="O499" s="12"/>
      <c r="P499" s="12"/>
      <c r="Q499" s="12"/>
      <c r="R499" s="12"/>
      <c r="S499" s="12"/>
      <c r="T499" s="12"/>
      <c r="U499" s="12"/>
      <c r="V499" s="12"/>
      <c r="W499" s="12"/>
      <c r="X499" s="12"/>
      <c r="Y499" s="12"/>
      <c r="Z499" s="12"/>
      <c r="AA499" s="12"/>
      <c r="AB499" s="12"/>
      <c r="AC499" s="12"/>
      <c r="AD499" s="12"/>
      <c r="AE499" s="12"/>
      <c r="AF499" s="12"/>
      <c r="AG499" s="12"/>
      <c r="AH499" s="12"/>
      <c r="AI499" s="12"/>
      <c r="AJ499" s="12"/>
      <c r="AK499" s="12"/>
      <c r="AL499" s="12"/>
    </row>
    <row r="500" spans="1:38" x14ac:dyDescent="0.3">
      <c r="A500" s="12"/>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c r="AA500" s="12"/>
      <c r="AB500" s="12"/>
      <c r="AC500" s="12"/>
      <c r="AD500" s="12"/>
      <c r="AE500" s="12"/>
      <c r="AF500" s="12"/>
      <c r="AG500" s="12"/>
      <c r="AH500" s="12"/>
      <c r="AI500" s="12"/>
      <c r="AJ500" s="12"/>
      <c r="AK500" s="12"/>
      <c r="AL500" s="12"/>
    </row>
    <row r="501" spans="1:38" x14ac:dyDescent="0.3">
      <c r="A501" s="12"/>
      <c r="B501" s="12"/>
      <c r="C501" s="12"/>
      <c r="D501" s="12"/>
      <c r="E501" s="12"/>
      <c r="F501" s="12"/>
      <c r="G501" s="12"/>
      <c r="H501" s="12"/>
      <c r="I501" s="12"/>
      <c r="J501" s="12"/>
      <c r="K501" s="12"/>
      <c r="L501" s="12"/>
      <c r="M501" s="12"/>
      <c r="N501" s="12"/>
      <c r="O501" s="12"/>
      <c r="P501" s="12"/>
      <c r="Q501" s="12"/>
      <c r="R501" s="12"/>
      <c r="S501" s="12"/>
      <c r="T501" s="12"/>
      <c r="U501" s="12"/>
      <c r="V501" s="12"/>
      <c r="W501" s="12"/>
      <c r="X501" s="12"/>
      <c r="Y501" s="12"/>
      <c r="Z501" s="12"/>
      <c r="AA501" s="12"/>
      <c r="AB501" s="12"/>
      <c r="AC501" s="12"/>
      <c r="AD501" s="12"/>
      <c r="AE501" s="12"/>
      <c r="AF501" s="12"/>
      <c r="AG501" s="12"/>
      <c r="AH501" s="12"/>
      <c r="AI501" s="12"/>
      <c r="AJ501" s="12"/>
      <c r="AK501" s="12"/>
      <c r="AL501" s="12"/>
    </row>
    <row r="502" spans="1:38" x14ac:dyDescent="0.3">
      <c r="A502" s="12"/>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c r="AA502" s="12"/>
      <c r="AB502" s="12"/>
      <c r="AC502" s="12"/>
      <c r="AD502" s="12"/>
      <c r="AE502" s="12"/>
      <c r="AF502" s="12"/>
      <c r="AG502" s="12"/>
      <c r="AH502" s="12"/>
      <c r="AI502" s="12"/>
      <c r="AJ502" s="12"/>
      <c r="AK502" s="12"/>
      <c r="AL502" s="12"/>
    </row>
    <row r="503" spans="1:38" x14ac:dyDescent="0.3">
      <c r="A503" s="12"/>
      <c r="B503" s="12"/>
      <c r="C503" s="12"/>
      <c r="D503" s="12"/>
      <c r="E503" s="12"/>
      <c r="F503" s="12"/>
      <c r="G503" s="12"/>
      <c r="H503" s="12"/>
      <c r="I503" s="12"/>
      <c r="J503" s="12"/>
      <c r="K503" s="12"/>
      <c r="L503" s="12"/>
      <c r="M503" s="12"/>
      <c r="N503" s="12"/>
      <c r="O503" s="12"/>
      <c r="P503" s="12"/>
      <c r="Q503" s="12"/>
      <c r="R503" s="12"/>
      <c r="S503" s="12"/>
      <c r="T503" s="12"/>
      <c r="U503" s="12"/>
      <c r="V503" s="12"/>
      <c r="W503" s="12"/>
      <c r="X503" s="12"/>
      <c r="Y503" s="12"/>
      <c r="Z503" s="12"/>
      <c r="AA503" s="12"/>
      <c r="AB503" s="12"/>
      <c r="AC503" s="12"/>
      <c r="AD503" s="12"/>
      <c r="AE503" s="12"/>
      <c r="AF503" s="12"/>
      <c r="AG503" s="12"/>
      <c r="AH503" s="12"/>
      <c r="AI503" s="12"/>
      <c r="AJ503" s="12"/>
      <c r="AK503" s="12"/>
      <c r="AL503" s="12"/>
    </row>
    <row r="504" spans="1:38" x14ac:dyDescent="0.3">
      <c r="A504" s="12"/>
      <c r="B504" s="12"/>
      <c r="C504" s="12"/>
      <c r="D504" s="12"/>
      <c r="E504" s="12"/>
      <c r="F504" s="12"/>
      <c r="G504" s="12"/>
      <c r="H504" s="12"/>
      <c r="I504" s="12"/>
      <c r="J504" s="12"/>
      <c r="K504" s="12"/>
      <c r="L504" s="12"/>
      <c r="M504" s="12"/>
      <c r="N504" s="12"/>
      <c r="O504" s="12"/>
      <c r="P504" s="12"/>
      <c r="Q504" s="12"/>
      <c r="R504" s="12"/>
      <c r="S504" s="12"/>
      <c r="T504" s="12"/>
      <c r="U504" s="12"/>
      <c r="V504" s="12"/>
      <c r="W504" s="12"/>
      <c r="X504" s="12"/>
      <c r="Y504" s="12"/>
      <c r="Z504" s="12"/>
      <c r="AA504" s="12"/>
      <c r="AB504" s="12"/>
      <c r="AC504" s="12"/>
      <c r="AD504" s="12"/>
      <c r="AE504" s="12"/>
      <c r="AF504" s="12"/>
      <c r="AG504" s="12"/>
      <c r="AH504" s="12"/>
      <c r="AI504" s="12"/>
      <c r="AJ504" s="12"/>
      <c r="AK504" s="12"/>
      <c r="AL504" s="12"/>
    </row>
    <row r="505" spans="1:38" x14ac:dyDescent="0.3">
      <c r="A505" s="12"/>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c r="AA505" s="12"/>
      <c r="AB505" s="12"/>
      <c r="AC505" s="12"/>
      <c r="AD505" s="12"/>
      <c r="AE505" s="12"/>
      <c r="AF505" s="12"/>
      <c r="AG505" s="12"/>
      <c r="AH505" s="12"/>
      <c r="AI505" s="12"/>
      <c r="AJ505" s="12"/>
      <c r="AK505" s="12"/>
      <c r="AL505" s="12"/>
    </row>
    <row r="506" spans="1:38" x14ac:dyDescent="0.3">
      <c r="A506" s="12"/>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c r="AA506" s="12"/>
      <c r="AB506" s="12"/>
      <c r="AC506" s="12"/>
      <c r="AD506" s="12"/>
      <c r="AE506" s="12"/>
      <c r="AF506" s="12"/>
      <c r="AG506" s="12"/>
      <c r="AH506" s="12"/>
      <c r="AI506" s="12"/>
      <c r="AJ506" s="12"/>
      <c r="AK506" s="12"/>
      <c r="AL506" s="12"/>
    </row>
    <row r="507" spans="1:38" x14ac:dyDescent="0.3">
      <c r="A507" s="12"/>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c r="AA507" s="12"/>
      <c r="AB507" s="12"/>
      <c r="AC507" s="12"/>
      <c r="AD507" s="12"/>
      <c r="AE507" s="12"/>
      <c r="AF507" s="12"/>
      <c r="AG507" s="12"/>
      <c r="AH507" s="12"/>
      <c r="AI507" s="12"/>
      <c r="AJ507" s="12"/>
      <c r="AK507" s="12"/>
      <c r="AL507" s="12"/>
    </row>
    <row r="508" spans="1:38" x14ac:dyDescent="0.3">
      <c r="A508" s="12"/>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c r="AA508" s="12"/>
      <c r="AB508" s="12"/>
      <c r="AC508" s="12"/>
      <c r="AD508" s="12"/>
      <c r="AE508" s="12"/>
      <c r="AF508" s="12"/>
      <c r="AG508" s="12"/>
      <c r="AH508" s="12"/>
      <c r="AI508" s="12"/>
      <c r="AJ508" s="12"/>
      <c r="AK508" s="12"/>
      <c r="AL508" s="12"/>
    </row>
    <row r="509" spans="1:38" x14ac:dyDescent="0.3">
      <c r="A509" s="12"/>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c r="AA509" s="12"/>
      <c r="AB509" s="12"/>
      <c r="AC509" s="12"/>
      <c r="AD509" s="12"/>
      <c r="AE509" s="12"/>
      <c r="AF509" s="12"/>
      <c r="AG509" s="12"/>
      <c r="AH509" s="12"/>
      <c r="AI509" s="12"/>
      <c r="AJ509" s="12"/>
      <c r="AK509" s="12"/>
      <c r="AL509" s="12"/>
    </row>
    <row r="510" spans="1:38" x14ac:dyDescent="0.3">
      <c r="A510" s="12"/>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c r="AA510" s="12"/>
      <c r="AB510" s="12"/>
      <c r="AC510" s="12"/>
      <c r="AD510" s="12"/>
      <c r="AE510" s="12"/>
      <c r="AF510" s="12"/>
      <c r="AG510" s="12"/>
      <c r="AH510" s="12"/>
      <c r="AI510" s="12"/>
      <c r="AJ510" s="12"/>
      <c r="AK510" s="12"/>
      <c r="AL510" s="12"/>
    </row>
    <row r="511" spans="1:38" x14ac:dyDescent="0.3">
      <c r="A511" s="12"/>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c r="AA511" s="12"/>
      <c r="AB511" s="12"/>
      <c r="AC511" s="12"/>
      <c r="AD511" s="12"/>
      <c r="AE511" s="12"/>
      <c r="AF511" s="12"/>
      <c r="AG511" s="12"/>
      <c r="AH511" s="12"/>
      <c r="AI511" s="12"/>
      <c r="AJ511" s="12"/>
      <c r="AK511" s="12"/>
      <c r="AL511" s="12"/>
    </row>
    <row r="512" spans="1:38" x14ac:dyDescent="0.3">
      <c r="A512" s="12"/>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c r="AA512" s="12"/>
      <c r="AB512" s="12"/>
      <c r="AC512" s="12"/>
      <c r="AD512" s="12"/>
      <c r="AE512" s="12"/>
      <c r="AF512" s="12"/>
      <c r="AG512" s="12"/>
      <c r="AH512" s="12"/>
      <c r="AI512" s="12"/>
      <c r="AJ512" s="12"/>
      <c r="AK512" s="12"/>
      <c r="AL512" s="12"/>
    </row>
    <row r="513" spans="1:38" x14ac:dyDescent="0.3">
      <c r="A513" s="12"/>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c r="AA513" s="12"/>
      <c r="AB513" s="12"/>
      <c r="AC513" s="12"/>
      <c r="AD513" s="12"/>
      <c r="AE513" s="12"/>
      <c r="AF513" s="12"/>
      <c r="AG513" s="12"/>
      <c r="AH513" s="12"/>
      <c r="AI513" s="12"/>
      <c r="AJ513" s="12"/>
      <c r="AK513" s="12"/>
      <c r="AL513" s="12"/>
    </row>
    <row r="514" spans="1:38" x14ac:dyDescent="0.3">
      <c r="A514" s="12"/>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c r="AA514" s="12"/>
      <c r="AB514" s="12"/>
      <c r="AC514" s="12"/>
      <c r="AD514" s="12"/>
      <c r="AE514" s="12"/>
      <c r="AF514" s="12"/>
      <c r="AG514" s="12"/>
      <c r="AH514" s="12"/>
      <c r="AI514" s="12"/>
      <c r="AJ514" s="12"/>
      <c r="AK514" s="12"/>
      <c r="AL514" s="12"/>
    </row>
    <row r="515" spans="1:38" x14ac:dyDescent="0.3">
      <c r="A515" s="12"/>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c r="AA515" s="12"/>
      <c r="AB515" s="12"/>
      <c r="AC515" s="12"/>
      <c r="AD515" s="12"/>
      <c r="AE515" s="12"/>
      <c r="AF515" s="12"/>
      <c r="AG515" s="12"/>
      <c r="AH515" s="12"/>
      <c r="AI515" s="12"/>
      <c r="AJ515" s="12"/>
      <c r="AK515" s="12"/>
      <c r="AL515" s="12"/>
    </row>
    <row r="516" spans="1:38" x14ac:dyDescent="0.3">
      <c r="A516" s="12"/>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c r="AA516" s="12"/>
      <c r="AB516" s="12"/>
      <c r="AC516" s="12"/>
      <c r="AD516" s="12"/>
      <c r="AE516" s="12"/>
      <c r="AF516" s="12"/>
      <c r="AG516" s="12"/>
      <c r="AH516" s="12"/>
      <c r="AI516" s="12"/>
      <c r="AJ516" s="12"/>
      <c r="AK516" s="12"/>
      <c r="AL516" s="12"/>
    </row>
    <row r="517" spans="1:38" x14ac:dyDescent="0.3">
      <c r="A517" s="12"/>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c r="AA517" s="12"/>
      <c r="AB517" s="12"/>
      <c r="AC517" s="12"/>
      <c r="AD517" s="12"/>
      <c r="AE517" s="12"/>
      <c r="AF517" s="12"/>
      <c r="AG517" s="12"/>
      <c r="AH517" s="12"/>
      <c r="AI517" s="12"/>
      <c r="AJ517" s="12"/>
      <c r="AK517" s="12"/>
      <c r="AL517" s="12"/>
    </row>
    <row r="518" spans="1:38" x14ac:dyDescent="0.3">
      <c r="A518" s="12"/>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c r="AA518" s="12"/>
      <c r="AB518" s="12"/>
      <c r="AC518" s="12"/>
      <c r="AD518" s="12"/>
      <c r="AE518" s="12"/>
      <c r="AF518" s="12"/>
      <c r="AG518" s="12"/>
      <c r="AH518" s="12"/>
      <c r="AI518" s="12"/>
      <c r="AJ518" s="12"/>
      <c r="AK518" s="12"/>
      <c r="AL518" s="12"/>
    </row>
    <row r="519" spans="1:38" x14ac:dyDescent="0.3">
      <c r="A519" s="12"/>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row>
    <row r="520" spans="1:38" x14ac:dyDescent="0.3">
      <c r="A520" s="12"/>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c r="AA520" s="12"/>
      <c r="AB520" s="12"/>
      <c r="AC520" s="12"/>
      <c r="AD520" s="12"/>
      <c r="AE520" s="12"/>
      <c r="AF520" s="12"/>
      <c r="AG520" s="12"/>
      <c r="AH520" s="12"/>
      <c r="AI520" s="12"/>
      <c r="AJ520" s="12"/>
      <c r="AK520" s="12"/>
      <c r="AL520" s="12"/>
    </row>
    <row r="521" spans="1:38" x14ac:dyDescent="0.3">
      <c r="A521" s="12"/>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c r="AA521" s="12"/>
      <c r="AB521" s="12"/>
      <c r="AC521" s="12"/>
      <c r="AD521" s="12"/>
      <c r="AE521" s="12"/>
      <c r="AF521" s="12"/>
      <c r="AG521" s="12"/>
      <c r="AH521" s="12"/>
      <c r="AI521" s="12"/>
      <c r="AJ521" s="12"/>
      <c r="AK521" s="12"/>
      <c r="AL521" s="12"/>
    </row>
    <row r="522" spans="1:38" x14ac:dyDescent="0.3">
      <c r="A522" s="12"/>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c r="AA522" s="12"/>
      <c r="AB522" s="12"/>
      <c r="AC522" s="12"/>
      <c r="AD522" s="12"/>
      <c r="AE522" s="12"/>
      <c r="AF522" s="12"/>
      <c r="AG522" s="12"/>
      <c r="AH522" s="12"/>
      <c r="AI522" s="12"/>
      <c r="AJ522" s="12"/>
      <c r="AK522" s="12"/>
      <c r="AL522" s="12"/>
    </row>
    <row r="523" spans="1:38" x14ac:dyDescent="0.3">
      <c r="A523" s="12"/>
      <c r="B523" s="12"/>
      <c r="C523" s="12"/>
      <c r="D523" s="12"/>
      <c r="E523" s="12"/>
      <c r="F523" s="12"/>
      <c r="G523" s="12"/>
      <c r="H523" s="12"/>
      <c r="I523" s="12"/>
      <c r="J523" s="12"/>
      <c r="K523" s="12"/>
      <c r="L523" s="12"/>
      <c r="M523" s="12"/>
      <c r="N523" s="12"/>
      <c r="O523" s="12"/>
      <c r="P523" s="12"/>
      <c r="Q523" s="12"/>
      <c r="R523" s="12"/>
      <c r="S523" s="12"/>
      <c r="T523" s="12"/>
      <c r="U523" s="12"/>
      <c r="V523" s="12"/>
      <c r="W523" s="12"/>
      <c r="X523" s="12"/>
      <c r="Y523" s="12"/>
      <c r="Z523" s="12"/>
      <c r="AA523" s="12"/>
      <c r="AB523" s="12"/>
      <c r="AC523" s="12"/>
      <c r="AD523" s="12"/>
      <c r="AE523" s="12"/>
      <c r="AF523" s="12"/>
      <c r="AG523" s="12"/>
      <c r="AH523" s="12"/>
      <c r="AI523" s="12"/>
      <c r="AJ523" s="12"/>
      <c r="AK523" s="12"/>
      <c r="AL523" s="12"/>
    </row>
    <row r="524" spans="1:38" x14ac:dyDescent="0.3">
      <c r="A524" s="12"/>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c r="AA524" s="12"/>
      <c r="AB524" s="12"/>
      <c r="AC524" s="12"/>
      <c r="AD524" s="12"/>
      <c r="AE524" s="12"/>
      <c r="AF524" s="12"/>
      <c r="AG524" s="12"/>
      <c r="AH524" s="12"/>
      <c r="AI524" s="12"/>
      <c r="AJ524" s="12"/>
      <c r="AK524" s="12"/>
      <c r="AL524" s="12"/>
    </row>
    <row r="525" spans="1:38" x14ac:dyDescent="0.3">
      <c r="A525" s="12"/>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c r="AA525" s="12"/>
      <c r="AB525" s="12"/>
      <c r="AC525" s="12"/>
      <c r="AD525" s="12"/>
      <c r="AE525" s="12"/>
      <c r="AF525" s="12"/>
      <c r="AG525" s="12"/>
      <c r="AH525" s="12"/>
      <c r="AI525" s="12"/>
      <c r="AJ525" s="12"/>
      <c r="AK525" s="12"/>
      <c r="AL525" s="12"/>
    </row>
    <row r="526" spans="1:38" x14ac:dyDescent="0.3">
      <c r="A526" s="12"/>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c r="AA526" s="12"/>
      <c r="AB526" s="12"/>
      <c r="AC526" s="12"/>
      <c r="AD526" s="12"/>
      <c r="AE526" s="12"/>
      <c r="AF526" s="12"/>
      <c r="AG526" s="12"/>
      <c r="AH526" s="12"/>
      <c r="AI526" s="12"/>
      <c r="AJ526" s="12"/>
      <c r="AK526" s="12"/>
      <c r="AL526" s="12"/>
    </row>
    <row r="527" spans="1:38" x14ac:dyDescent="0.3">
      <c r="A527" s="12"/>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c r="AA527" s="12"/>
      <c r="AB527" s="12"/>
      <c r="AC527" s="12"/>
      <c r="AD527" s="12"/>
      <c r="AE527" s="12"/>
      <c r="AF527" s="12"/>
      <c r="AG527" s="12"/>
      <c r="AH527" s="12"/>
      <c r="AI527" s="12"/>
      <c r="AJ527" s="12"/>
      <c r="AK527" s="12"/>
      <c r="AL527" s="12"/>
    </row>
    <row r="528" spans="1:38" x14ac:dyDescent="0.3">
      <c r="A528" s="12"/>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c r="AA528" s="12"/>
      <c r="AB528" s="12"/>
      <c r="AC528" s="12"/>
      <c r="AD528" s="12"/>
      <c r="AE528" s="12"/>
      <c r="AF528" s="12"/>
      <c r="AG528" s="12"/>
      <c r="AH528" s="12"/>
      <c r="AI528" s="12"/>
      <c r="AJ528" s="12"/>
      <c r="AK528" s="12"/>
      <c r="AL528" s="12"/>
    </row>
    <row r="529" spans="1:38" x14ac:dyDescent="0.3">
      <c r="A529" s="12"/>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c r="AA529" s="12"/>
      <c r="AB529" s="12"/>
      <c r="AC529" s="12"/>
      <c r="AD529" s="12"/>
      <c r="AE529" s="12"/>
      <c r="AF529" s="12"/>
      <c r="AG529" s="12"/>
      <c r="AH529" s="12"/>
      <c r="AI529" s="12"/>
      <c r="AJ529" s="12"/>
      <c r="AK529" s="12"/>
      <c r="AL529" s="12"/>
    </row>
    <row r="530" spans="1:38" x14ac:dyDescent="0.3">
      <c r="A530" s="12"/>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c r="AA530" s="12"/>
      <c r="AB530" s="12"/>
      <c r="AC530" s="12"/>
      <c r="AD530" s="12"/>
      <c r="AE530" s="12"/>
      <c r="AF530" s="12"/>
      <c r="AG530" s="12"/>
      <c r="AH530" s="12"/>
      <c r="AI530" s="12"/>
      <c r="AJ530" s="12"/>
      <c r="AK530" s="12"/>
      <c r="AL530" s="12"/>
    </row>
    <row r="531" spans="1:38" x14ac:dyDescent="0.3">
      <c r="A531" s="12"/>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c r="AA531" s="12"/>
      <c r="AB531" s="12"/>
      <c r="AC531" s="12"/>
      <c r="AD531" s="12"/>
      <c r="AE531" s="12"/>
      <c r="AF531" s="12"/>
      <c r="AG531" s="12"/>
      <c r="AH531" s="12"/>
      <c r="AI531" s="12"/>
      <c r="AJ531" s="12"/>
      <c r="AK531" s="12"/>
      <c r="AL531" s="12"/>
    </row>
    <row r="532" spans="1:38" x14ac:dyDescent="0.3">
      <c r="A532" s="12"/>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c r="AA532" s="12"/>
      <c r="AB532" s="12"/>
      <c r="AC532" s="12"/>
      <c r="AD532" s="12"/>
      <c r="AE532" s="12"/>
      <c r="AF532" s="12"/>
      <c r="AG532" s="12"/>
      <c r="AH532" s="12"/>
      <c r="AI532" s="12"/>
      <c r="AJ532" s="12"/>
      <c r="AK532" s="12"/>
      <c r="AL532" s="12"/>
    </row>
    <row r="533" spans="1:38" x14ac:dyDescent="0.3">
      <c r="A533" s="12"/>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c r="AA533" s="12"/>
      <c r="AB533" s="12"/>
      <c r="AC533" s="12"/>
      <c r="AD533" s="12"/>
      <c r="AE533" s="12"/>
      <c r="AF533" s="12"/>
      <c r="AG533" s="12"/>
      <c r="AH533" s="12"/>
      <c r="AI533" s="12"/>
      <c r="AJ533" s="12"/>
      <c r="AK533" s="12"/>
      <c r="AL533" s="12"/>
    </row>
    <row r="534" spans="1:38" x14ac:dyDescent="0.3">
      <c r="A534" s="12"/>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c r="AA534" s="12"/>
      <c r="AB534" s="12"/>
      <c r="AC534" s="12"/>
      <c r="AD534" s="12"/>
      <c r="AE534" s="12"/>
      <c r="AF534" s="12"/>
      <c r="AG534" s="12"/>
      <c r="AH534" s="12"/>
      <c r="AI534" s="12"/>
      <c r="AJ534" s="12"/>
      <c r="AK534" s="12"/>
      <c r="AL534" s="12"/>
    </row>
    <row r="535" spans="1:38" x14ac:dyDescent="0.3">
      <c r="A535" s="12"/>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c r="AA535" s="12"/>
      <c r="AB535" s="12"/>
      <c r="AC535" s="12"/>
      <c r="AD535" s="12"/>
      <c r="AE535" s="12"/>
      <c r="AF535" s="12"/>
      <c r="AG535" s="12"/>
      <c r="AH535" s="12"/>
      <c r="AI535" s="12"/>
      <c r="AJ535" s="12"/>
      <c r="AK535" s="12"/>
      <c r="AL535" s="12"/>
    </row>
    <row r="536" spans="1:38" x14ac:dyDescent="0.3">
      <c r="A536" s="12"/>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c r="AA536" s="12"/>
      <c r="AB536" s="12"/>
      <c r="AC536" s="12"/>
      <c r="AD536" s="12"/>
      <c r="AE536" s="12"/>
      <c r="AF536" s="12"/>
      <c r="AG536" s="12"/>
      <c r="AH536" s="12"/>
      <c r="AI536" s="12"/>
      <c r="AJ536" s="12"/>
      <c r="AK536" s="12"/>
      <c r="AL536" s="12"/>
    </row>
    <row r="537" spans="1:38" x14ac:dyDescent="0.3">
      <c r="A537" s="12"/>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c r="AA537" s="12"/>
      <c r="AB537" s="12"/>
      <c r="AC537" s="12"/>
      <c r="AD537" s="12"/>
      <c r="AE537" s="12"/>
      <c r="AF537" s="12"/>
      <c r="AG537" s="12"/>
      <c r="AH537" s="12"/>
      <c r="AI537" s="12"/>
      <c r="AJ537" s="12"/>
      <c r="AK537" s="12"/>
      <c r="AL537" s="12"/>
    </row>
    <row r="538" spans="1:38" x14ac:dyDescent="0.3">
      <c r="A538" s="12"/>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c r="AA538" s="12"/>
      <c r="AB538" s="12"/>
      <c r="AC538" s="12"/>
      <c r="AD538" s="12"/>
      <c r="AE538" s="12"/>
      <c r="AF538" s="12"/>
      <c r="AG538" s="12"/>
      <c r="AH538" s="12"/>
      <c r="AI538" s="12"/>
      <c r="AJ538" s="12"/>
      <c r="AK538" s="12"/>
      <c r="AL538" s="12"/>
    </row>
    <row r="539" spans="1:38" x14ac:dyDescent="0.3">
      <c r="A539" s="12"/>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c r="AA539" s="12"/>
      <c r="AB539" s="12"/>
      <c r="AC539" s="12"/>
      <c r="AD539" s="12"/>
      <c r="AE539" s="12"/>
      <c r="AF539" s="12"/>
      <c r="AG539" s="12"/>
      <c r="AH539" s="12"/>
      <c r="AI539" s="12"/>
      <c r="AJ539" s="12"/>
      <c r="AK539" s="12"/>
      <c r="AL539" s="12"/>
    </row>
    <row r="540" spans="1:38" x14ac:dyDescent="0.3">
      <c r="A540" s="12"/>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c r="AA540" s="12"/>
      <c r="AB540" s="12"/>
      <c r="AC540" s="12"/>
      <c r="AD540" s="12"/>
      <c r="AE540" s="12"/>
      <c r="AF540" s="12"/>
      <c r="AG540" s="12"/>
      <c r="AH540" s="12"/>
      <c r="AI540" s="12"/>
      <c r="AJ540" s="12"/>
      <c r="AK540" s="12"/>
      <c r="AL540" s="12"/>
    </row>
    <row r="541" spans="1:38" x14ac:dyDescent="0.3">
      <c r="A541" s="12"/>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c r="AA541" s="12"/>
      <c r="AB541" s="12"/>
      <c r="AC541" s="12"/>
      <c r="AD541" s="12"/>
      <c r="AE541" s="12"/>
      <c r="AF541" s="12"/>
      <c r="AG541" s="12"/>
      <c r="AH541" s="12"/>
      <c r="AI541" s="12"/>
      <c r="AJ541" s="12"/>
      <c r="AK541" s="12"/>
      <c r="AL541" s="12"/>
    </row>
    <row r="542" spans="1:38" x14ac:dyDescent="0.3">
      <c r="A542" s="12"/>
      <c r="B542" s="12"/>
      <c r="C542" s="12"/>
      <c r="D542" s="12"/>
      <c r="E542" s="12"/>
      <c r="F542" s="12"/>
      <c r="G542" s="12"/>
      <c r="H542" s="12"/>
      <c r="I542" s="12"/>
      <c r="J542" s="12"/>
      <c r="K542" s="12"/>
      <c r="L542" s="12"/>
      <c r="M542" s="12"/>
      <c r="N542" s="12"/>
      <c r="O542" s="12"/>
      <c r="P542" s="12"/>
      <c r="Q542" s="12"/>
      <c r="R542" s="12"/>
      <c r="S542" s="12"/>
      <c r="T542" s="12"/>
      <c r="U542" s="12"/>
      <c r="V542" s="12"/>
      <c r="W542" s="12"/>
      <c r="X542" s="12"/>
      <c r="Y542" s="12"/>
      <c r="Z542" s="12"/>
      <c r="AA542" s="12"/>
      <c r="AB542" s="12"/>
      <c r="AC542" s="12"/>
      <c r="AD542" s="12"/>
      <c r="AE542" s="12"/>
      <c r="AF542" s="12"/>
      <c r="AG542" s="12"/>
      <c r="AH542" s="12"/>
      <c r="AI542" s="12"/>
      <c r="AJ542" s="12"/>
      <c r="AK542" s="12"/>
      <c r="AL542" s="12"/>
    </row>
    <row r="543" spans="1:38" x14ac:dyDescent="0.3">
      <c r="A543" s="12"/>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c r="AA543" s="12"/>
      <c r="AB543" s="12"/>
      <c r="AC543" s="12"/>
      <c r="AD543" s="12"/>
      <c r="AE543" s="12"/>
      <c r="AF543" s="12"/>
      <c r="AG543" s="12"/>
      <c r="AH543" s="12"/>
      <c r="AI543" s="12"/>
      <c r="AJ543" s="12"/>
      <c r="AK543" s="12"/>
      <c r="AL543" s="12"/>
    </row>
    <row r="544" spans="1:38" x14ac:dyDescent="0.3">
      <c r="A544" s="12"/>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c r="AA544" s="12"/>
      <c r="AB544" s="12"/>
      <c r="AC544" s="12"/>
      <c r="AD544" s="12"/>
      <c r="AE544" s="12"/>
      <c r="AF544" s="12"/>
      <c r="AG544" s="12"/>
      <c r="AH544" s="12"/>
      <c r="AI544" s="12"/>
      <c r="AJ544" s="12"/>
      <c r="AK544" s="12"/>
      <c r="AL544" s="12"/>
    </row>
    <row r="545" spans="1:38" x14ac:dyDescent="0.3">
      <c r="A545" s="12"/>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c r="AA545" s="12"/>
      <c r="AB545" s="12"/>
      <c r="AC545" s="12"/>
      <c r="AD545" s="12"/>
      <c r="AE545" s="12"/>
      <c r="AF545" s="12"/>
      <c r="AG545" s="12"/>
      <c r="AH545" s="12"/>
      <c r="AI545" s="12"/>
      <c r="AJ545" s="12"/>
      <c r="AK545" s="12"/>
      <c r="AL545" s="12"/>
    </row>
    <row r="546" spans="1:38" x14ac:dyDescent="0.3">
      <c r="A546" s="12"/>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c r="AA546" s="12"/>
      <c r="AB546" s="12"/>
      <c r="AC546" s="12"/>
      <c r="AD546" s="12"/>
      <c r="AE546" s="12"/>
      <c r="AF546" s="12"/>
      <c r="AG546" s="12"/>
      <c r="AH546" s="12"/>
      <c r="AI546" s="12"/>
      <c r="AJ546" s="12"/>
      <c r="AK546" s="12"/>
      <c r="AL546" s="12"/>
    </row>
    <row r="547" spans="1:38" x14ac:dyDescent="0.3">
      <c r="A547" s="12"/>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2"/>
      <c r="AA547" s="12"/>
      <c r="AB547" s="12"/>
      <c r="AC547" s="12"/>
      <c r="AD547" s="12"/>
      <c r="AE547" s="12"/>
      <c r="AF547" s="12"/>
      <c r="AG547" s="12"/>
      <c r="AH547" s="12"/>
      <c r="AI547" s="12"/>
      <c r="AJ547" s="12"/>
      <c r="AK547" s="12"/>
      <c r="AL547" s="12"/>
    </row>
    <row r="548" spans="1:38" x14ac:dyDescent="0.3">
      <c r="A548" s="12"/>
      <c r="B548" s="12"/>
      <c r="C548" s="12"/>
      <c r="D548" s="12"/>
      <c r="E548" s="12"/>
      <c r="F548" s="12"/>
      <c r="G548" s="12"/>
      <c r="H548" s="12"/>
      <c r="I548" s="12"/>
      <c r="J548" s="12"/>
      <c r="K548" s="12"/>
      <c r="L548" s="12"/>
      <c r="M548" s="12"/>
      <c r="N548" s="12"/>
      <c r="O548" s="12"/>
      <c r="P548" s="12"/>
      <c r="Q548" s="12"/>
      <c r="R548" s="12"/>
      <c r="S548" s="12"/>
      <c r="T548" s="12"/>
      <c r="U548" s="12"/>
      <c r="V548" s="12"/>
      <c r="W548" s="12"/>
      <c r="X548" s="12"/>
      <c r="Y548" s="12"/>
      <c r="Z548" s="12"/>
      <c r="AA548" s="12"/>
      <c r="AB548" s="12"/>
      <c r="AC548" s="12"/>
      <c r="AD548" s="12"/>
      <c r="AE548" s="12"/>
      <c r="AF548" s="12"/>
      <c r="AG548" s="12"/>
      <c r="AH548" s="12"/>
      <c r="AI548" s="12"/>
      <c r="AJ548" s="12"/>
      <c r="AK548" s="12"/>
      <c r="AL548" s="12"/>
    </row>
    <row r="549" spans="1:38" x14ac:dyDescent="0.3">
      <c r="A549" s="12"/>
      <c r="B549" s="12"/>
      <c r="C549" s="12"/>
      <c r="D549" s="12"/>
      <c r="E549" s="12"/>
      <c r="F549" s="12"/>
      <c r="G549" s="12"/>
      <c r="H549" s="12"/>
      <c r="I549" s="12"/>
      <c r="J549" s="12"/>
      <c r="K549" s="12"/>
      <c r="L549" s="12"/>
      <c r="M549" s="12"/>
      <c r="N549" s="12"/>
      <c r="O549" s="12"/>
      <c r="P549" s="12"/>
      <c r="Q549" s="12"/>
      <c r="R549" s="12"/>
      <c r="S549" s="12"/>
      <c r="T549" s="12"/>
      <c r="U549" s="12"/>
      <c r="V549" s="12"/>
      <c r="W549" s="12"/>
      <c r="X549" s="12"/>
      <c r="Y549" s="12"/>
      <c r="Z549" s="12"/>
      <c r="AA549" s="12"/>
      <c r="AB549" s="12"/>
      <c r="AC549" s="12"/>
      <c r="AD549" s="12"/>
      <c r="AE549" s="12"/>
      <c r="AF549" s="12"/>
      <c r="AG549" s="12"/>
      <c r="AH549" s="12"/>
      <c r="AI549" s="12"/>
      <c r="AJ549" s="12"/>
      <c r="AK549" s="12"/>
      <c r="AL549" s="12"/>
    </row>
    <row r="550" spans="1:38" x14ac:dyDescent="0.3">
      <c r="A550" s="12"/>
      <c r="B550" s="12"/>
      <c r="C550" s="12"/>
      <c r="D550" s="12"/>
      <c r="E550" s="12"/>
      <c r="F550" s="12"/>
      <c r="G550" s="12"/>
      <c r="H550" s="12"/>
      <c r="I550" s="12"/>
      <c r="J550" s="12"/>
      <c r="K550" s="12"/>
      <c r="L550" s="12"/>
      <c r="M550" s="12"/>
      <c r="N550" s="12"/>
      <c r="O550" s="12"/>
      <c r="P550" s="12"/>
      <c r="Q550" s="12"/>
      <c r="R550" s="12"/>
      <c r="S550" s="12"/>
      <c r="T550" s="12"/>
      <c r="U550" s="12"/>
      <c r="V550" s="12"/>
      <c r="W550" s="12"/>
      <c r="X550" s="12"/>
      <c r="Y550" s="12"/>
      <c r="Z550" s="12"/>
      <c r="AA550" s="12"/>
      <c r="AB550" s="12"/>
      <c r="AC550" s="12"/>
      <c r="AD550" s="12"/>
      <c r="AE550" s="12"/>
      <c r="AF550" s="12"/>
      <c r="AG550" s="12"/>
      <c r="AH550" s="12"/>
      <c r="AI550" s="12"/>
      <c r="AJ550" s="12"/>
      <c r="AK550" s="12"/>
      <c r="AL550" s="12"/>
    </row>
    <row r="551" spans="1:38" x14ac:dyDescent="0.3">
      <c r="A551" s="12"/>
      <c r="B551" s="12"/>
      <c r="C551" s="12"/>
      <c r="D551" s="12"/>
      <c r="E551" s="12"/>
      <c r="F551" s="12"/>
      <c r="G551" s="12"/>
      <c r="H551" s="12"/>
      <c r="I551" s="12"/>
      <c r="J551" s="12"/>
      <c r="K551" s="12"/>
      <c r="L551" s="12"/>
      <c r="M551" s="12"/>
      <c r="N551" s="12"/>
      <c r="O551" s="12"/>
      <c r="P551" s="12"/>
      <c r="Q551" s="12"/>
      <c r="R551" s="12"/>
      <c r="S551" s="12"/>
      <c r="T551" s="12"/>
      <c r="U551" s="12"/>
      <c r="V551" s="12"/>
      <c r="W551" s="12"/>
      <c r="X551" s="12"/>
      <c r="Y551" s="12"/>
      <c r="Z551" s="12"/>
      <c r="AA551" s="12"/>
      <c r="AB551" s="12"/>
      <c r="AC551" s="12"/>
      <c r="AD551" s="12"/>
      <c r="AE551" s="12"/>
      <c r="AF551" s="12"/>
      <c r="AG551" s="12"/>
      <c r="AH551" s="12"/>
      <c r="AI551" s="12"/>
      <c r="AJ551" s="12"/>
      <c r="AK551" s="12"/>
      <c r="AL551" s="12"/>
    </row>
    <row r="552" spans="1:38" x14ac:dyDescent="0.3">
      <c r="A552" s="12"/>
      <c r="B552" s="12"/>
      <c r="C552" s="12"/>
      <c r="D552" s="12"/>
      <c r="E552" s="12"/>
      <c r="F552" s="12"/>
      <c r="G552" s="12"/>
      <c r="H552" s="12"/>
      <c r="I552" s="12"/>
      <c r="J552" s="12"/>
      <c r="K552" s="12"/>
      <c r="L552" s="12"/>
      <c r="M552" s="12"/>
      <c r="N552" s="12"/>
      <c r="O552" s="12"/>
      <c r="P552" s="12"/>
      <c r="Q552" s="12"/>
      <c r="R552" s="12"/>
      <c r="S552" s="12"/>
      <c r="T552" s="12"/>
      <c r="U552" s="12"/>
      <c r="V552" s="12"/>
      <c r="W552" s="12"/>
      <c r="X552" s="12"/>
      <c r="Y552" s="12"/>
      <c r="Z552" s="12"/>
      <c r="AA552" s="12"/>
      <c r="AB552" s="12"/>
      <c r="AC552" s="12"/>
      <c r="AD552" s="12"/>
      <c r="AE552" s="12"/>
      <c r="AF552" s="12"/>
      <c r="AG552" s="12"/>
      <c r="AH552" s="12"/>
      <c r="AI552" s="12"/>
      <c r="AJ552" s="12"/>
      <c r="AK552" s="12"/>
      <c r="AL552" s="12"/>
    </row>
    <row r="553" spans="1:38" x14ac:dyDescent="0.3">
      <c r="A553" s="12"/>
      <c r="B553" s="12"/>
      <c r="C553" s="12"/>
      <c r="D553" s="12"/>
      <c r="E553" s="12"/>
      <c r="F553" s="12"/>
      <c r="G553" s="12"/>
      <c r="H553" s="12"/>
      <c r="I553" s="12"/>
      <c r="J553" s="12"/>
      <c r="K553" s="12"/>
      <c r="L553" s="12"/>
      <c r="M553" s="12"/>
      <c r="N553" s="12"/>
      <c r="O553" s="12"/>
      <c r="P553" s="12"/>
      <c r="Q553" s="12"/>
      <c r="R553" s="12"/>
      <c r="S553" s="12"/>
      <c r="T553" s="12"/>
      <c r="U553" s="12"/>
      <c r="V553" s="12"/>
      <c r="W553" s="12"/>
      <c r="X553" s="12"/>
      <c r="Y553" s="12"/>
      <c r="Z553" s="12"/>
      <c r="AA553" s="12"/>
      <c r="AB553" s="12"/>
      <c r="AC553" s="12"/>
      <c r="AD553" s="12"/>
      <c r="AE553" s="12"/>
      <c r="AF553" s="12"/>
      <c r="AG553" s="12"/>
      <c r="AH553" s="12"/>
      <c r="AI553" s="12"/>
      <c r="AJ553" s="12"/>
      <c r="AK553" s="12"/>
      <c r="AL553" s="12"/>
    </row>
    <row r="554" spans="1:38" x14ac:dyDescent="0.3">
      <c r="A554" s="12"/>
      <c r="B554" s="12"/>
      <c r="C554" s="12"/>
      <c r="D554" s="12"/>
      <c r="E554" s="12"/>
      <c r="F554" s="12"/>
      <c r="G554" s="12"/>
      <c r="H554" s="12"/>
      <c r="I554" s="12"/>
      <c r="J554" s="12"/>
      <c r="K554" s="12"/>
      <c r="L554" s="12"/>
      <c r="M554" s="12"/>
      <c r="N554" s="12"/>
      <c r="O554" s="12"/>
      <c r="P554" s="12"/>
      <c r="Q554" s="12"/>
      <c r="R554" s="12"/>
      <c r="S554" s="12"/>
      <c r="T554" s="12"/>
      <c r="U554" s="12"/>
      <c r="V554" s="12"/>
      <c r="W554" s="12"/>
      <c r="X554" s="12"/>
      <c r="Y554" s="12"/>
      <c r="Z554" s="12"/>
      <c r="AA554" s="12"/>
      <c r="AB554" s="12"/>
      <c r="AC554" s="12"/>
      <c r="AD554" s="12"/>
      <c r="AE554" s="12"/>
      <c r="AF554" s="12"/>
      <c r="AG554" s="12"/>
      <c r="AH554" s="12"/>
      <c r="AI554" s="12"/>
      <c r="AJ554" s="12"/>
      <c r="AK554" s="12"/>
      <c r="AL554" s="12"/>
    </row>
    <row r="555" spans="1:38" x14ac:dyDescent="0.3">
      <c r="A555" s="12"/>
      <c r="B555" s="12"/>
      <c r="C555" s="12"/>
      <c r="D555" s="12"/>
      <c r="E555" s="12"/>
      <c r="F555" s="12"/>
      <c r="G555" s="12"/>
      <c r="H555" s="12"/>
      <c r="I555" s="12"/>
      <c r="J555" s="12"/>
      <c r="K555" s="12"/>
      <c r="L555" s="12"/>
      <c r="M555" s="12"/>
      <c r="N555" s="12"/>
      <c r="O555" s="12"/>
      <c r="P555" s="12"/>
      <c r="Q555" s="12"/>
      <c r="R555" s="12"/>
      <c r="S555" s="12"/>
      <c r="T555" s="12"/>
      <c r="U555" s="12"/>
      <c r="V555" s="12"/>
      <c r="W555" s="12"/>
      <c r="X555" s="12"/>
      <c r="Y555" s="12"/>
      <c r="Z555" s="12"/>
      <c r="AA555" s="12"/>
      <c r="AB555" s="12"/>
      <c r="AC555" s="12"/>
      <c r="AD555" s="12"/>
      <c r="AE555" s="12"/>
      <c r="AF555" s="12"/>
      <c r="AG555" s="12"/>
      <c r="AH555" s="12"/>
      <c r="AI555" s="12"/>
      <c r="AJ555" s="12"/>
      <c r="AK555" s="12"/>
      <c r="AL555" s="12"/>
    </row>
    <row r="556" spans="1:38" x14ac:dyDescent="0.3">
      <c r="A556" s="12"/>
      <c r="B556" s="12"/>
      <c r="C556" s="12"/>
      <c r="D556" s="12"/>
      <c r="E556" s="12"/>
      <c r="F556" s="12"/>
      <c r="G556" s="12"/>
      <c r="H556" s="12"/>
      <c r="I556" s="12"/>
      <c r="J556" s="12"/>
      <c r="K556" s="12"/>
      <c r="L556" s="12"/>
      <c r="M556" s="12"/>
      <c r="N556" s="12"/>
      <c r="O556" s="12"/>
      <c r="P556" s="12"/>
      <c r="Q556" s="12"/>
      <c r="R556" s="12"/>
      <c r="S556" s="12"/>
      <c r="T556" s="12"/>
      <c r="U556" s="12"/>
      <c r="V556" s="12"/>
      <c r="W556" s="12"/>
      <c r="X556" s="12"/>
      <c r="Y556" s="12"/>
      <c r="Z556" s="12"/>
      <c r="AA556" s="12"/>
      <c r="AB556" s="12"/>
      <c r="AC556" s="12"/>
      <c r="AD556" s="12"/>
      <c r="AE556" s="12"/>
      <c r="AF556" s="12"/>
      <c r="AG556" s="12"/>
      <c r="AH556" s="12"/>
      <c r="AI556" s="12"/>
      <c r="AJ556" s="12"/>
      <c r="AK556" s="12"/>
      <c r="AL556" s="12"/>
    </row>
    <row r="557" spans="1:38" x14ac:dyDescent="0.3">
      <c r="A557" s="12"/>
      <c r="B557" s="12"/>
      <c r="C557" s="12"/>
      <c r="D557" s="12"/>
      <c r="E557" s="12"/>
      <c r="F557" s="12"/>
      <c r="G557" s="12"/>
      <c r="H557" s="12"/>
      <c r="I557" s="12"/>
      <c r="J557" s="12"/>
      <c r="K557" s="12"/>
      <c r="L557" s="12"/>
      <c r="M557" s="12"/>
      <c r="N557" s="12"/>
      <c r="O557" s="12"/>
      <c r="P557" s="12"/>
      <c r="Q557" s="12"/>
      <c r="R557" s="12"/>
      <c r="S557" s="12"/>
      <c r="T557" s="12"/>
      <c r="U557" s="12"/>
      <c r="V557" s="12"/>
      <c r="W557" s="12"/>
      <c r="X557" s="12"/>
      <c r="Y557" s="12"/>
      <c r="Z557" s="12"/>
      <c r="AA557" s="12"/>
      <c r="AB557" s="12"/>
      <c r="AC557" s="12"/>
      <c r="AD557" s="12"/>
      <c r="AE557" s="12"/>
      <c r="AF557" s="12"/>
      <c r="AG557" s="12"/>
      <c r="AH557" s="12"/>
      <c r="AI557" s="12"/>
      <c r="AJ557" s="12"/>
      <c r="AK557" s="12"/>
      <c r="AL557" s="12"/>
    </row>
    <row r="558" spans="1:38" x14ac:dyDescent="0.3">
      <c r="A558" s="12"/>
      <c r="B558" s="12"/>
      <c r="C558" s="12"/>
      <c r="D558" s="12"/>
      <c r="E558" s="12"/>
      <c r="F558" s="12"/>
      <c r="G558" s="12"/>
      <c r="H558" s="12"/>
      <c r="I558" s="12"/>
      <c r="J558" s="12"/>
      <c r="K558" s="12"/>
      <c r="L558" s="12"/>
      <c r="M558" s="12"/>
      <c r="N558" s="12"/>
      <c r="O558" s="12"/>
      <c r="P558" s="12"/>
      <c r="Q558" s="12"/>
      <c r="R558" s="12"/>
      <c r="S558" s="12"/>
      <c r="T558" s="12"/>
      <c r="U558" s="12"/>
      <c r="V558" s="12"/>
      <c r="W558" s="12"/>
      <c r="X558" s="12"/>
      <c r="Y558" s="12"/>
      <c r="Z558" s="12"/>
      <c r="AA558" s="12"/>
      <c r="AB558" s="12"/>
      <c r="AC558" s="12"/>
      <c r="AD558" s="12"/>
      <c r="AE558" s="12"/>
      <c r="AF558" s="12"/>
      <c r="AG558" s="12"/>
      <c r="AH558" s="12"/>
      <c r="AI558" s="12"/>
      <c r="AJ558" s="12"/>
      <c r="AK558" s="12"/>
      <c r="AL558" s="12"/>
    </row>
    <row r="559" spans="1:38" x14ac:dyDescent="0.3">
      <c r="A559" s="12"/>
      <c r="B559" s="12"/>
      <c r="C559" s="12"/>
      <c r="D559" s="12"/>
      <c r="E559" s="12"/>
      <c r="F559" s="12"/>
      <c r="G559" s="12"/>
      <c r="H559" s="12"/>
      <c r="I559" s="12"/>
      <c r="J559" s="12"/>
      <c r="K559" s="12"/>
      <c r="L559" s="12"/>
      <c r="M559" s="12"/>
      <c r="N559" s="12"/>
      <c r="O559" s="12"/>
      <c r="P559" s="12"/>
      <c r="Q559" s="12"/>
      <c r="R559" s="12"/>
      <c r="S559" s="12"/>
      <c r="T559" s="12"/>
      <c r="U559" s="12"/>
      <c r="V559" s="12"/>
      <c r="W559" s="12"/>
      <c r="X559" s="12"/>
      <c r="Y559" s="12"/>
      <c r="Z559" s="12"/>
      <c r="AA559" s="12"/>
      <c r="AB559" s="12"/>
      <c r="AC559" s="12"/>
      <c r="AD559" s="12"/>
      <c r="AE559" s="12"/>
      <c r="AF559" s="12"/>
      <c r="AG559" s="12"/>
      <c r="AH559" s="12"/>
      <c r="AI559" s="12"/>
      <c r="AJ559" s="12"/>
      <c r="AK559" s="12"/>
      <c r="AL559" s="12"/>
    </row>
    <row r="560" spans="1:38" x14ac:dyDescent="0.3">
      <c r="A560" s="12"/>
      <c r="B560" s="12"/>
      <c r="C560" s="12"/>
      <c r="D560" s="12"/>
      <c r="E560" s="12"/>
      <c r="F560" s="12"/>
      <c r="G560" s="12"/>
      <c r="H560" s="12"/>
      <c r="I560" s="12"/>
      <c r="J560" s="12"/>
      <c r="K560" s="12"/>
      <c r="L560" s="12"/>
      <c r="M560" s="12"/>
      <c r="N560" s="12"/>
      <c r="O560" s="12"/>
      <c r="P560" s="12"/>
      <c r="Q560" s="12"/>
      <c r="R560" s="12"/>
      <c r="S560" s="12"/>
      <c r="T560" s="12"/>
      <c r="U560" s="12"/>
      <c r="V560" s="12"/>
      <c r="W560" s="12"/>
      <c r="X560" s="12"/>
      <c r="Y560" s="12"/>
      <c r="Z560" s="12"/>
      <c r="AA560" s="12"/>
      <c r="AB560" s="12"/>
      <c r="AC560" s="12"/>
      <c r="AD560" s="12"/>
      <c r="AE560" s="12"/>
      <c r="AF560" s="12"/>
      <c r="AG560" s="12"/>
      <c r="AH560" s="12"/>
      <c r="AI560" s="12"/>
      <c r="AJ560" s="12"/>
      <c r="AK560" s="12"/>
      <c r="AL560" s="12"/>
    </row>
    <row r="561" spans="1:38" x14ac:dyDescent="0.3">
      <c r="A561" s="12"/>
      <c r="B561" s="12"/>
      <c r="C561" s="12"/>
      <c r="D561" s="12"/>
      <c r="E561" s="12"/>
      <c r="F561" s="12"/>
      <c r="G561" s="12"/>
      <c r="H561" s="12"/>
      <c r="I561" s="12"/>
      <c r="J561" s="12"/>
      <c r="K561" s="12"/>
      <c r="L561" s="12"/>
      <c r="M561" s="12"/>
      <c r="N561" s="12"/>
      <c r="O561" s="12"/>
      <c r="P561" s="12"/>
      <c r="Q561" s="12"/>
      <c r="R561" s="12"/>
      <c r="S561" s="12"/>
      <c r="T561" s="12"/>
      <c r="U561" s="12"/>
      <c r="V561" s="12"/>
      <c r="W561" s="12"/>
      <c r="X561" s="12"/>
      <c r="Y561" s="12"/>
      <c r="Z561" s="12"/>
      <c r="AA561" s="12"/>
      <c r="AB561" s="12"/>
      <c r="AC561" s="12"/>
      <c r="AD561" s="12"/>
      <c r="AE561" s="12"/>
      <c r="AF561" s="12"/>
      <c r="AG561" s="12"/>
      <c r="AH561" s="12"/>
      <c r="AI561" s="12"/>
      <c r="AJ561" s="12"/>
      <c r="AK561" s="12"/>
      <c r="AL561" s="12"/>
    </row>
    <row r="562" spans="1:38" x14ac:dyDescent="0.3">
      <c r="A562" s="12"/>
      <c r="B562" s="12"/>
      <c r="C562" s="12"/>
      <c r="D562" s="12"/>
      <c r="E562" s="12"/>
      <c r="F562" s="12"/>
      <c r="G562" s="12"/>
      <c r="H562" s="12"/>
      <c r="I562" s="12"/>
      <c r="J562" s="12"/>
      <c r="K562" s="12"/>
      <c r="L562" s="12"/>
      <c r="M562" s="12"/>
      <c r="N562" s="12"/>
      <c r="O562" s="12"/>
      <c r="P562" s="12"/>
      <c r="Q562" s="12"/>
      <c r="R562" s="12"/>
      <c r="S562" s="12"/>
      <c r="T562" s="12"/>
      <c r="U562" s="12"/>
      <c r="V562" s="12"/>
      <c r="W562" s="12"/>
      <c r="X562" s="12"/>
      <c r="Y562" s="12"/>
      <c r="Z562" s="12"/>
      <c r="AA562" s="12"/>
      <c r="AB562" s="12"/>
      <c r="AC562" s="12"/>
      <c r="AD562" s="12"/>
      <c r="AE562" s="12"/>
      <c r="AF562" s="12"/>
      <c r="AG562" s="12"/>
      <c r="AH562" s="12"/>
      <c r="AI562" s="12"/>
      <c r="AJ562" s="12"/>
      <c r="AK562" s="12"/>
      <c r="AL562" s="12"/>
    </row>
    <row r="563" spans="1:38" x14ac:dyDescent="0.3">
      <c r="A563" s="12"/>
      <c r="B563" s="12"/>
      <c r="C563" s="12"/>
      <c r="D563" s="12"/>
      <c r="E563" s="12"/>
      <c r="F563" s="12"/>
      <c r="G563" s="12"/>
      <c r="H563" s="12"/>
      <c r="I563" s="12"/>
      <c r="J563" s="12"/>
      <c r="K563" s="12"/>
      <c r="L563" s="12"/>
      <c r="M563" s="12"/>
      <c r="N563" s="12"/>
      <c r="O563" s="12"/>
      <c r="P563" s="12"/>
      <c r="Q563" s="12"/>
      <c r="R563" s="12"/>
      <c r="S563" s="12"/>
      <c r="T563" s="12"/>
      <c r="U563" s="12"/>
      <c r="V563" s="12"/>
      <c r="W563" s="12"/>
      <c r="X563" s="12"/>
      <c r="Y563" s="12"/>
      <c r="Z563" s="12"/>
      <c r="AA563" s="12"/>
      <c r="AB563" s="12"/>
      <c r="AC563" s="12"/>
      <c r="AD563" s="12"/>
      <c r="AE563" s="12"/>
      <c r="AF563" s="12"/>
      <c r="AG563" s="12"/>
      <c r="AH563" s="12"/>
      <c r="AI563" s="12"/>
      <c r="AJ563" s="12"/>
      <c r="AK563" s="12"/>
      <c r="AL563" s="12"/>
    </row>
    <row r="564" spans="1:38" x14ac:dyDescent="0.3">
      <c r="A564" s="12"/>
      <c r="B564" s="12"/>
      <c r="C564" s="12"/>
      <c r="D564" s="12"/>
      <c r="E564" s="12"/>
      <c r="F564" s="12"/>
      <c r="G564" s="12"/>
      <c r="H564" s="12"/>
      <c r="I564" s="12"/>
      <c r="J564" s="12"/>
      <c r="K564" s="12"/>
      <c r="L564" s="12"/>
      <c r="M564" s="12"/>
      <c r="N564" s="12"/>
      <c r="O564" s="12"/>
      <c r="P564" s="12"/>
      <c r="Q564" s="12"/>
      <c r="R564" s="12"/>
      <c r="S564" s="12"/>
      <c r="T564" s="12"/>
      <c r="U564" s="12"/>
      <c r="V564" s="12"/>
      <c r="W564" s="12"/>
      <c r="X564" s="12"/>
      <c r="Y564" s="12"/>
      <c r="Z564" s="12"/>
      <c r="AA564" s="12"/>
      <c r="AB564" s="12"/>
      <c r="AC564" s="12"/>
      <c r="AD564" s="12"/>
      <c r="AE564" s="12"/>
      <c r="AF564" s="12"/>
      <c r="AG564" s="12"/>
      <c r="AH564" s="12"/>
      <c r="AI564" s="12"/>
      <c r="AJ564" s="12"/>
      <c r="AK564" s="12"/>
      <c r="AL564" s="12"/>
    </row>
    <row r="565" spans="1:38" x14ac:dyDescent="0.3">
      <c r="A565" s="12"/>
      <c r="B565" s="12"/>
      <c r="C565" s="12"/>
      <c r="D565" s="12"/>
      <c r="E565" s="12"/>
      <c r="F565" s="12"/>
      <c r="G565" s="12"/>
      <c r="H565" s="12"/>
      <c r="I565" s="12"/>
      <c r="J565" s="12"/>
      <c r="K565" s="12"/>
      <c r="L565" s="12"/>
      <c r="M565" s="12"/>
      <c r="N565" s="12"/>
      <c r="O565" s="12"/>
      <c r="P565" s="12"/>
      <c r="Q565" s="12"/>
      <c r="R565" s="12"/>
      <c r="S565" s="12"/>
      <c r="T565" s="12"/>
      <c r="U565" s="12"/>
      <c r="V565" s="12"/>
      <c r="W565" s="12"/>
      <c r="X565" s="12"/>
      <c r="Y565" s="12"/>
      <c r="Z565" s="12"/>
      <c r="AA565" s="12"/>
      <c r="AB565" s="12"/>
      <c r="AC565" s="12"/>
      <c r="AD565" s="12"/>
      <c r="AE565" s="12"/>
      <c r="AF565" s="12"/>
      <c r="AG565" s="12"/>
      <c r="AH565" s="12"/>
      <c r="AI565" s="12"/>
      <c r="AJ565" s="12"/>
      <c r="AK565" s="12"/>
      <c r="AL565" s="12"/>
    </row>
    <row r="566" spans="1:38" x14ac:dyDescent="0.3">
      <c r="A566" s="12"/>
      <c r="B566" s="12"/>
      <c r="C566" s="12"/>
      <c r="D566" s="12"/>
      <c r="E566" s="12"/>
      <c r="F566" s="12"/>
      <c r="G566" s="12"/>
      <c r="H566" s="12"/>
      <c r="I566" s="12"/>
      <c r="J566" s="12"/>
      <c r="K566" s="12"/>
      <c r="L566" s="12"/>
      <c r="M566" s="12"/>
      <c r="N566" s="12"/>
      <c r="O566" s="12"/>
      <c r="P566" s="12"/>
      <c r="Q566" s="12"/>
      <c r="R566" s="12"/>
      <c r="S566" s="12"/>
      <c r="T566" s="12"/>
      <c r="U566" s="12"/>
      <c r="V566" s="12"/>
      <c r="W566" s="12"/>
      <c r="X566" s="12"/>
      <c r="Y566" s="12"/>
      <c r="Z566" s="12"/>
      <c r="AA566" s="12"/>
      <c r="AB566" s="12"/>
      <c r="AC566" s="12"/>
      <c r="AD566" s="12"/>
      <c r="AE566" s="12"/>
      <c r="AF566" s="12"/>
      <c r="AG566" s="12"/>
      <c r="AH566" s="12"/>
      <c r="AI566" s="12"/>
      <c r="AJ566" s="12"/>
      <c r="AK566" s="12"/>
      <c r="AL566" s="12"/>
    </row>
    <row r="567" spans="1:38" x14ac:dyDescent="0.3">
      <c r="A567" s="12"/>
      <c r="B567" s="12"/>
      <c r="C567" s="12"/>
      <c r="D567" s="12"/>
      <c r="E567" s="12"/>
      <c r="F567" s="12"/>
      <c r="G567" s="12"/>
      <c r="H567" s="12"/>
      <c r="I567" s="12"/>
      <c r="J567" s="12"/>
      <c r="K567" s="12"/>
      <c r="L567" s="12"/>
      <c r="M567" s="12"/>
      <c r="N567" s="12"/>
      <c r="O567" s="12"/>
      <c r="P567" s="12"/>
      <c r="Q567" s="12"/>
      <c r="R567" s="12"/>
      <c r="S567" s="12"/>
      <c r="T567" s="12"/>
      <c r="U567" s="12"/>
      <c r="V567" s="12"/>
      <c r="W567" s="12"/>
      <c r="X567" s="12"/>
      <c r="Y567" s="12"/>
      <c r="Z567" s="12"/>
      <c r="AA567" s="12"/>
      <c r="AB567" s="12"/>
      <c r="AC567" s="12"/>
      <c r="AD567" s="12"/>
      <c r="AE567" s="12"/>
      <c r="AF567" s="12"/>
      <c r="AG567" s="12"/>
      <c r="AH567" s="12"/>
      <c r="AI567" s="12"/>
      <c r="AJ567" s="12"/>
      <c r="AK567" s="12"/>
      <c r="AL567" s="12"/>
    </row>
    <row r="568" spans="1:38" x14ac:dyDescent="0.3">
      <c r="A568" s="12"/>
      <c r="B568" s="12"/>
      <c r="C568" s="12"/>
      <c r="D568" s="12"/>
      <c r="E568" s="12"/>
      <c r="F568" s="12"/>
      <c r="G568" s="12"/>
      <c r="H568" s="12"/>
      <c r="I568" s="12"/>
      <c r="J568" s="12"/>
      <c r="K568" s="12"/>
      <c r="L568" s="12"/>
      <c r="M568" s="12"/>
      <c r="N568" s="12"/>
      <c r="O568" s="12"/>
      <c r="P568" s="12"/>
      <c r="Q568" s="12"/>
      <c r="R568" s="12"/>
      <c r="S568" s="12"/>
      <c r="T568" s="12"/>
      <c r="U568" s="12"/>
      <c r="V568" s="12"/>
      <c r="W568" s="12"/>
      <c r="X568" s="12"/>
      <c r="Y568" s="12"/>
      <c r="Z568" s="12"/>
      <c r="AA568" s="12"/>
      <c r="AB568" s="12"/>
      <c r="AC568" s="12"/>
      <c r="AD568" s="12"/>
      <c r="AE568" s="12"/>
      <c r="AF568" s="12"/>
      <c r="AG568" s="12"/>
      <c r="AH568" s="12"/>
      <c r="AI568" s="12"/>
      <c r="AJ568" s="12"/>
      <c r="AK568" s="12"/>
      <c r="AL568" s="12"/>
    </row>
    <row r="569" spans="1:38" x14ac:dyDescent="0.3">
      <c r="A569" s="12"/>
      <c r="B569" s="12"/>
      <c r="C569" s="12"/>
      <c r="D569" s="12"/>
      <c r="E569" s="12"/>
      <c r="F569" s="12"/>
      <c r="G569" s="12"/>
      <c r="H569" s="12"/>
      <c r="I569" s="12"/>
      <c r="J569" s="12"/>
      <c r="K569" s="12"/>
      <c r="L569" s="12"/>
      <c r="M569" s="12"/>
      <c r="N569" s="12"/>
      <c r="O569" s="12"/>
      <c r="P569" s="12"/>
      <c r="Q569" s="12"/>
      <c r="R569" s="12"/>
      <c r="S569" s="12"/>
      <c r="T569" s="12"/>
      <c r="U569" s="12"/>
      <c r="V569" s="12"/>
      <c r="W569" s="12"/>
      <c r="X569" s="12"/>
      <c r="Y569" s="12"/>
      <c r="Z569" s="12"/>
      <c r="AA569" s="12"/>
      <c r="AB569" s="12"/>
      <c r="AC569" s="12"/>
      <c r="AD569" s="12"/>
      <c r="AE569" s="12"/>
      <c r="AF569" s="12"/>
      <c r="AG569" s="12"/>
      <c r="AH569" s="12"/>
      <c r="AI569" s="12"/>
      <c r="AJ569" s="12"/>
      <c r="AK569" s="12"/>
      <c r="AL569" s="12"/>
    </row>
    <row r="570" spans="1:38" x14ac:dyDescent="0.3">
      <c r="A570" s="12"/>
      <c r="B570" s="12"/>
      <c r="C570" s="12"/>
      <c r="D570" s="12"/>
      <c r="E570" s="12"/>
      <c r="F570" s="12"/>
      <c r="G570" s="12"/>
      <c r="H570" s="12"/>
      <c r="I570" s="12"/>
      <c r="J570" s="12"/>
      <c r="K570" s="12"/>
      <c r="L570" s="12"/>
      <c r="M570" s="12"/>
      <c r="N570" s="12"/>
      <c r="O570" s="12"/>
      <c r="P570" s="12"/>
      <c r="Q570" s="12"/>
      <c r="R570" s="12"/>
      <c r="S570" s="12"/>
      <c r="T570" s="12"/>
      <c r="U570" s="12"/>
      <c r="V570" s="12"/>
      <c r="W570" s="12"/>
      <c r="X570" s="12"/>
      <c r="Y570" s="12"/>
      <c r="Z570" s="12"/>
      <c r="AA570" s="12"/>
      <c r="AB570" s="12"/>
      <c r="AC570" s="12"/>
      <c r="AD570" s="12"/>
      <c r="AE570" s="12"/>
      <c r="AF570" s="12"/>
      <c r="AG570" s="12"/>
      <c r="AH570" s="12"/>
      <c r="AI570" s="12"/>
      <c r="AJ570" s="12"/>
      <c r="AK570" s="12"/>
      <c r="AL570" s="12"/>
    </row>
    <row r="571" spans="1:38" x14ac:dyDescent="0.3">
      <c r="A571" s="12"/>
      <c r="B571" s="12"/>
      <c r="C571" s="12"/>
      <c r="D571" s="12"/>
      <c r="E571" s="12"/>
      <c r="F571" s="12"/>
      <c r="G571" s="12"/>
      <c r="H571" s="12"/>
      <c r="I571" s="12"/>
      <c r="J571" s="12"/>
      <c r="K571" s="12"/>
      <c r="L571" s="12"/>
      <c r="M571" s="12"/>
      <c r="N571" s="12"/>
      <c r="O571" s="12"/>
      <c r="P571" s="12"/>
      <c r="Q571" s="12"/>
      <c r="R571" s="12"/>
      <c r="S571" s="12"/>
      <c r="T571" s="12"/>
      <c r="U571" s="12"/>
      <c r="V571" s="12"/>
      <c r="W571" s="12"/>
      <c r="X571" s="12"/>
      <c r="Y571" s="12"/>
      <c r="Z571" s="12"/>
      <c r="AA571" s="12"/>
      <c r="AB571" s="12"/>
      <c r="AC571" s="12"/>
      <c r="AD571" s="12"/>
      <c r="AE571" s="12"/>
      <c r="AF571" s="12"/>
      <c r="AG571" s="12"/>
      <c r="AH571" s="12"/>
      <c r="AI571" s="12"/>
      <c r="AJ571" s="12"/>
      <c r="AK571" s="12"/>
      <c r="AL571" s="12"/>
    </row>
    <row r="572" spans="1:38" x14ac:dyDescent="0.3">
      <c r="A572" s="12"/>
      <c r="B572" s="12"/>
      <c r="C572" s="12"/>
      <c r="D572" s="12"/>
      <c r="E572" s="12"/>
      <c r="F572" s="12"/>
      <c r="G572" s="12"/>
      <c r="H572" s="12"/>
      <c r="I572" s="12"/>
      <c r="J572" s="12"/>
      <c r="K572" s="12"/>
      <c r="L572" s="12"/>
      <c r="M572" s="12"/>
      <c r="N572" s="12"/>
      <c r="O572" s="12"/>
      <c r="P572" s="12"/>
      <c r="Q572" s="12"/>
      <c r="R572" s="12"/>
      <c r="S572" s="12"/>
      <c r="T572" s="12"/>
      <c r="U572" s="12"/>
      <c r="V572" s="12"/>
      <c r="W572" s="12"/>
      <c r="X572" s="12"/>
      <c r="Y572" s="12"/>
      <c r="Z572" s="12"/>
      <c r="AA572" s="12"/>
      <c r="AB572" s="12"/>
      <c r="AC572" s="12"/>
      <c r="AD572" s="12"/>
      <c r="AE572" s="12"/>
      <c r="AF572" s="12"/>
      <c r="AG572" s="12"/>
      <c r="AH572" s="12"/>
      <c r="AI572" s="12"/>
      <c r="AJ572" s="12"/>
      <c r="AK572" s="12"/>
      <c r="AL572" s="12"/>
    </row>
    <row r="573" spans="1:38" x14ac:dyDescent="0.3">
      <c r="A573" s="12"/>
      <c r="B573" s="12"/>
      <c r="C573" s="12"/>
      <c r="D573" s="12"/>
      <c r="E573" s="12"/>
      <c r="F573" s="12"/>
      <c r="G573" s="12"/>
      <c r="H573" s="12"/>
      <c r="I573" s="12"/>
      <c r="J573" s="12"/>
      <c r="K573" s="12"/>
      <c r="L573" s="12"/>
      <c r="M573" s="12"/>
      <c r="N573" s="12"/>
      <c r="O573" s="12"/>
      <c r="P573" s="12"/>
      <c r="Q573" s="12"/>
      <c r="R573" s="12"/>
      <c r="S573" s="12"/>
      <c r="T573" s="12"/>
      <c r="U573" s="12"/>
      <c r="V573" s="12"/>
      <c r="W573" s="12"/>
      <c r="X573" s="12"/>
      <c r="Y573" s="12"/>
      <c r="Z573" s="12"/>
      <c r="AA573" s="12"/>
      <c r="AB573" s="12"/>
      <c r="AC573" s="12"/>
      <c r="AD573" s="12"/>
      <c r="AE573" s="12"/>
      <c r="AF573" s="12"/>
      <c r="AG573" s="12"/>
      <c r="AH573" s="12"/>
      <c r="AI573" s="12"/>
      <c r="AJ573" s="12"/>
      <c r="AK573" s="12"/>
      <c r="AL573" s="12"/>
    </row>
    <row r="574" spans="1:38" x14ac:dyDescent="0.3">
      <c r="A574" s="12"/>
      <c r="B574" s="12"/>
      <c r="C574" s="12"/>
      <c r="D574" s="12"/>
      <c r="E574" s="12"/>
      <c r="F574" s="12"/>
      <c r="G574" s="12"/>
      <c r="H574" s="12"/>
      <c r="I574" s="12"/>
      <c r="J574" s="12"/>
      <c r="K574" s="12"/>
      <c r="L574" s="12"/>
      <c r="M574" s="12"/>
      <c r="N574" s="12"/>
      <c r="O574" s="12"/>
      <c r="P574" s="12"/>
      <c r="Q574" s="12"/>
      <c r="R574" s="12"/>
      <c r="S574" s="12"/>
      <c r="T574" s="12"/>
      <c r="U574" s="12"/>
      <c r="V574" s="12"/>
      <c r="W574" s="12"/>
      <c r="X574" s="12"/>
      <c r="Y574" s="12"/>
      <c r="Z574" s="12"/>
      <c r="AA574" s="12"/>
      <c r="AB574" s="12"/>
      <c r="AC574" s="12"/>
      <c r="AD574" s="12"/>
      <c r="AE574" s="12"/>
      <c r="AF574" s="12"/>
      <c r="AG574" s="12"/>
      <c r="AH574" s="12"/>
      <c r="AI574" s="12"/>
      <c r="AJ574" s="12"/>
      <c r="AK574" s="12"/>
      <c r="AL574" s="12"/>
    </row>
    <row r="575" spans="1:38" x14ac:dyDescent="0.3">
      <c r="A575" s="12"/>
      <c r="B575" s="12"/>
      <c r="C575" s="12"/>
      <c r="D575" s="12"/>
      <c r="E575" s="12"/>
      <c r="F575" s="12"/>
      <c r="G575" s="12"/>
      <c r="H575" s="12"/>
      <c r="I575" s="12"/>
      <c r="J575" s="12"/>
      <c r="K575" s="12"/>
      <c r="L575" s="12"/>
      <c r="M575" s="12"/>
      <c r="N575" s="12"/>
      <c r="O575" s="12"/>
      <c r="P575" s="12"/>
      <c r="Q575" s="12"/>
      <c r="R575" s="12"/>
      <c r="S575" s="12"/>
      <c r="T575" s="12"/>
      <c r="U575" s="12"/>
      <c r="V575" s="12"/>
      <c r="W575" s="12"/>
      <c r="X575" s="12"/>
      <c r="Y575" s="12"/>
      <c r="Z575" s="12"/>
      <c r="AA575" s="12"/>
      <c r="AB575" s="12"/>
      <c r="AC575" s="12"/>
      <c r="AD575" s="12"/>
      <c r="AE575" s="12"/>
      <c r="AF575" s="12"/>
      <c r="AG575" s="12"/>
      <c r="AH575" s="12"/>
      <c r="AI575" s="12"/>
      <c r="AJ575" s="12"/>
      <c r="AK575" s="12"/>
      <c r="AL575" s="12"/>
    </row>
    <row r="576" spans="1:38" x14ac:dyDescent="0.3">
      <c r="A576" s="12"/>
      <c r="B576" s="12"/>
      <c r="C576" s="12"/>
      <c r="D576" s="12"/>
      <c r="E576" s="12"/>
      <c r="F576" s="12"/>
      <c r="G576" s="12"/>
      <c r="H576" s="12"/>
      <c r="I576" s="12"/>
      <c r="J576" s="12"/>
      <c r="K576" s="12"/>
      <c r="L576" s="12"/>
      <c r="M576" s="12"/>
      <c r="N576" s="12"/>
      <c r="O576" s="12"/>
      <c r="P576" s="12"/>
      <c r="Q576" s="12"/>
      <c r="R576" s="12"/>
      <c r="S576" s="12"/>
      <c r="T576" s="12"/>
      <c r="U576" s="12"/>
      <c r="V576" s="12"/>
      <c r="W576" s="12"/>
      <c r="X576" s="12"/>
      <c r="Y576" s="12"/>
      <c r="Z576" s="12"/>
      <c r="AA576" s="12"/>
      <c r="AB576" s="12"/>
      <c r="AC576" s="12"/>
      <c r="AD576" s="12"/>
      <c r="AE576" s="12"/>
      <c r="AF576" s="12"/>
      <c r="AG576" s="12"/>
      <c r="AH576" s="12"/>
      <c r="AI576" s="12"/>
      <c r="AJ576" s="12"/>
      <c r="AK576" s="12"/>
      <c r="AL576" s="12"/>
    </row>
    <row r="577" spans="1:38" x14ac:dyDescent="0.3">
      <c r="A577" s="12"/>
      <c r="B577" s="12"/>
      <c r="C577" s="12"/>
      <c r="D577" s="12"/>
      <c r="E577" s="12"/>
      <c r="F577" s="12"/>
      <c r="G577" s="12"/>
      <c r="H577" s="12"/>
      <c r="I577" s="12"/>
      <c r="J577" s="12"/>
      <c r="K577" s="12"/>
      <c r="L577" s="12"/>
      <c r="M577" s="12"/>
      <c r="N577" s="12"/>
      <c r="O577" s="12"/>
      <c r="P577" s="12"/>
      <c r="Q577" s="12"/>
      <c r="R577" s="12"/>
      <c r="S577" s="12"/>
      <c r="T577" s="12"/>
      <c r="U577" s="12"/>
      <c r="V577" s="12"/>
      <c r="W577" s="12"/>
      <c r="X577" s="12"/>
      <c r="Y577" s="12"/>
      <c r="Z577" s="12"/>
      <c r="AA577" s="12"/>
      <c r="AB577" s="12"/>
      <c r="AC577" s="12"/>
      <c r="AD577" s="12"/>
      <c r="AE577" s="12"/>
      <c r="AF577" s="12"/>
      <c r="AG577" s="12"/>
      <c r="AH577" s="12"/>
      <c r="AI577" s="12"/>
      <c r="AJ577" s="12"/>
      <c r="AK577" s="12"/>
      <c r="AL577" s="12"/>
    </row>
    <row r="578" spans="1:38" x14ac:dyDescent="0.3">
      <c r="A578" s="12"/>
      <c r="B578" s="12"/>
      <c r="C578" s="12"/>
      <c r="D578" s="12"/>
      <c r="E578" s="12"/>
      <c r="F578" s="12"/>
      <c r="G578" s="12"/>
      <c r="H578" s="12"/>
      <c r="I578" s="12"/>
      <c r="J578" s="12"/>
      <c r="K578" s="12"/>
      <c r="L578" s="12"/>
      <c r="M578" s="12"/>
      <c r="N578" s="12"/>
      <c r="O578" s="12"/>
      <c r="P578" s="12"/>
      <c r="Q578" s="12"/>
      <c r="R578" s="12"/>
      <c r="S578" s="12"/>
      <c r="T578" s="12"/>
      <c r="U578" s="12"/>
      <c r="V578" s="12"/>
      <c r="W578" s="12"/>
      <c r="X578" s="12"/>
      <c r="Y578" s="12"/>
      <c r="Z578" s="12"/>
      <c r="AA578" s="12"/>
      <c r="AB578" s="12"/>
      <c r="AC578" s="12"/>
      <c r="AD578" s="12"/>
      <c r="AE578" s="12"/>
      <c r="AF578" s="12"/>
      <c r="AG578" s="12"/>
      <c r="AH578" s="12"/>
      <c r="AI578" s="12"/>
      <c r="AJ578" s="12"/>
      <c r="AK578" s="12"/>
      <c r="AL578" s="12"/>
    </row>
    <row r="579" spans="1:38" x14ac:dyDescent="0.3">
      <c r="A579" s="12"/>
      <c r="B579" s="12"/>
      <c r="C579" s="12"/>
      <c r="D579" s="12"/>
      <c r="E579" s="12"/>
      <c r="F579" s="12"/>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c r="AG579" s="12"/>
      <c r="AH579" s="12"/>
      <c r="AI579" s="12"/>
      <c r="AJ579" s="12"/>
      <c r="AK579" s="12"/>
      <c r="AL579" s="12"/>
    </row>
    <row r="580" spans="1:38" x14ac:dyDescent="0.3">
      <c r="A580" s="12"/>
      <c r="B580" s="12"/>
      <c r="C580" s="12"/>
      <c r="D580" s="12"/>
      <c r="E580" s="12"/>
      <c r="F580" s="12"/>
      <c r="G580" s="12"/>
      <c r="H580" s="12"/>
      <c r="I580" s="12"/>
      <c r="J580" s="12"/>
      <c r="K580" s="12"/>
      <c r="L580" s="12"/>
      <c r="M580" s="12"/>
      <c r="N580" s="12"/>
      <c r="O580" s="12"/>
      <c r="P580" s="12"/>
      <c r="Q580" s="12"/>
      <c r="R580" s="12"/>
      <c r="S580" s="12"/>
      <c r="T580" s="12"/>
      <c r="U580" s="12"/>
      <c r="V580" s="12"/>
      <c r="W580" s="12"/>
      <c r="X580" s="12"/>
      <c r="Y580" s="12"/>
      <c r="Z580" s="12"/>
      <c r="AA580" s="12"/>
      <c r="AB580" s="12"/>
      <c r="AC580" s="12"/>
      <c r="AD580" s="12"/>
      <c r="AE580" s="12"/>
      <c r="AF580" s="12"/>
      <c r="AG580" s="12"/>
      <c r="AH580" s="12"/>
      <c r="AI580" s="12"/>
      <c r="AJ580" s="12"/>
      <c r="AK580" s="12"/>
      <c r="AL580" s="12"/>
    </row>
    <row r="581" spans="1:38" x14ac:dyDescent="0.3">
      <c r="A581" s="12"/>
      <c r="B581" s="12"/>
      <c r="C581" s="12"/>
      <c r="D581" s="12"/>
      <c r="E581" s="12"/>
      <c r="F581" s="12"/>
      <c r="G581" s="12"/>
      <c r="H581" s="12"/>
      <c r="I581" s="12"/>
      <c r="J581" s="12"/>
      <c r="K581" s="12"/>
      <c r="L581" s="12"/>
      <c r="M581" s="12"/>
      <c r="N581" s="12"/>
      <c r="O581" s="12"/>
      <c r="P581" s="12"/>
      <c r="Q581" s="12"/>
      <c r="R581" s="12"/>
      <c r="S581" s="12"/>
      <c r="T581" s="12"/>
      <c r="U581" s="12"/>
      <c r="V581" s="12"/>
      <c r="W581" s="12"/>
      <c r="X581" s="12"/>
      <c r="Y581" s="12"/>
      <c r="Z581" s="12"/>
      <c r="AA581" s="12"/>
      <c r="AB581" s="12"/>
      <c r="AC581" s="12"/>
      <c r="AD581" s="12"/>
      <c r="AE581" s="12"/>
      <c r="AF581" s="12"/>
      <c r="AG581" s="12"/>
      <c r="AH581" s="12"/>
      <c r="AI581" s="12"/>
      <c r="AJ581" s="12"/>
      <c r="AK581" s="12"/>
      <c r="AL581" s="12"/>
    </row>
    <row r="582" spans="1:38" x14ac:dyDescent="0.3">
      <c r="A582" s="12"/>
      <c r="B582" s="12"/>
      <c r="C582" s="12"/>
      <c r="D582" s="12"/>
      <c r="E582" s="12"/>
      <c r="F582" s="12"/>
      <c r="G582" s="12"/>
      <c r="H582" s="12"/>
      <c r="I582" s="12"/>
      <c r="J582" s="12"/>
      <c r="K582" s="12"/>
      <c r="L582" s="12"/>
      <c r="M582" s="12"/>
      <c r="N582" s="12"/>
      <c r="O582" s="12"/>
      <c r="P582" s="12"/>
      <c r="Q582" s="12"/>
      <c r="R582" s="12"/>
      <c r="S582" s="12"/>
      <c r="T582" s="12"/>
      <c r="U582" s="12"/>
      <c r="V582" s="12"/>
      <c r="W582" s="12"/>
      <c r="X582" s="12"/>
      <c r="Y582" s="12"/>
      <c r="Z582" s="12"/>
      <c r="AA582" s="12"/>
      <c r="AB582" s="12"/>
      <c r="AC582" s="12"/>
      <c r="AD582" s="12"/>
      <c r="AE582" s="12"/>
      <c r="AF582" s="12"/>
      <c r="AG582" s="12"/>
      <c r="AH582" s="12"/>
      <c r="AI582" s="12"/>
      <c r="AJ582" s="12"/>
      <c r="AK582" s="12"/>
      <c r="AL582" s="12"/>
    </row>
    <row r="583" spans="1:38" x14ac:dyDescent="0.3">
      <c r="A583" s="12"/>
      <c r="B583" s="12"/>
      <c r="C583" s="12"/>
      <c r="D583" s="12"/>
      <c r="E583" s="12"/>
      <c r="F583" s="12"/>
      <c r="G583" s="12"/>
      <c r="H583" s="12"/>
      <c r="I583" s="12"/>
      <c r="J583" s="12"/>
      <c r="K583" s="12"/>
      <c r="L583" s="12"/>
      <c r="M583" s="12"/>
      <c r="N583" s="12"/>
      <c r="O583" s="12"/>
      <c r="P583" s="12"/>
      <c r="Q583" s="12"/>
      <c r="R583" s="12"/>
      <c r="S583" s="12"/>
      <c r="T583" s="12"/>
      <c r="U583" s="12"/>
      <c r="V583" s="12"/>
      <c r="W583" s="12"/>
      <c r="X583" s="12"/>
      <c r="Y583" s="12"/>
      <c r="Z583" s="12"/>
      <c r="AA583" s="12"/>
      <c r="AB583" s="12"/>
      <c r="AC583" s="12"/>
      <c r="AD583" s="12"/>
      <c r="AE583" s="12"/>
      <c r="AF583" s="12"/>
      <c r="AG583" s="12"/>
      <c r="AH583" s="12"/>
      <c r="AI583" s="12"/>
      <c r="AJ583" s="12"/>
      <c r="AK583" s="12"/>
      <c r="AL583" s="12"/>
    </row>
    <row r="584" spans="1:38" x14ac:dyDescent="0.3">
      <c r="A584" s="12"/>
      <c r="B584" s="12"/>
      <c r="C584" s="12"/>
      <c r="D584" s="12"/>
      <c r="E584" s="12"/>
      <c r="F584" s="12"/>
      <c r="G584" s="12"/>
      <c r="H584" s="12"/>
      <c r="I584" s="12"/>
      <c r="J584" s="12"/>
      <c r="K584" s="12"/>
      <c r="L584" s="12"/>
      <c r="M584" s="12"/>
      <c r="N584" s="12"/>
      <c r="O584" s="12"/>
      <c r="P584" s="12"/>
      <c r="Q584" s="12"/>
      <c r="R584" s="12"/>
      <c r="S584" s="12"/>
      <c r="T584" s="12"/>
      <c r="U584" s="12"/>
      <c r="V584" s="12"/>
      <c r="W584" s="12"/>
      <c r="X584" s="12"/>
      <c r="Y584" s="12"/>
      <c r="Z584" s="12"/>
      <c r="AA584" s="12"/>
      <c r="AB584" s="12"/>
      <c r="AC584" s="12"/>
      <c r="AD584" s="12"/>
      <c r="AE584" s="12"/>
      <c r="AF584" s="12"/>
      <c r="AG584" s="12"/>
      <c r="AH584" s="12"/>
      <c r="AI584" s="12"/>
      <c r="AJ584" s="12"/>
      <c r="AK584" s="12"/>
      <c r="AL584" s="12"/>
    </row>
    <row r="585" spans="1:38" x14ac:dyDescent="0.3">
      <c r="A585" s="12"/>
      <c r="B585" s="12"/>
      <c r="C585" s="12"/>
      <c r="D585" s="12"/>
      <c r="E585" s="12"/>
      <c r="F585" s="12"/>
      <c r="G585" s="12"/>
      <c r="H585" s="12"/>
      <c r="I585" s="12"/>
      <c r="J585" s="12"/>
      <c r="K585" s="12"/>
      <c r="L585" s="12"/>
      <c r="M585" s="12"/>
      <c r="N585" s="12"/>
      <c r="O585" s="12"/>
      <c r="P585" s="12"/>
      <c r="Q585" s="12"/>
      <c r="R585" s="12"/>
      <c r="S585" s="12"/>
      <c r="T585" s="12"/>
      <c r="U585" s="12"/>
      <c r="V585" s="12"/>
      <c r="W585" s="12"/>
      <c r="X585" s="12"/>
      <c r="Y585" s="12"/>
      <c r="Z585" s="12"/>
      <c r="AA585" s="12"/>
      <c r="AB585" s="12"/>
      <c r="AC585" s="12"/>
      <c r="AD585" s="12"/>
      <c r="AE585" s="12"/>
      <c r="AF585" s="12"/>
      <c r="AG585" s="12"/>
      <c r="AH585" s="12"/>
      <c r="AI585" s="12"/>
      <c r="AJ585" s="12"/>
      <c r="AK585" s="12"/>
      <c r="AL585" s="12"/>
    </row>
    <row r="586" spans="1:38" x14ac:dyDescent="0.3">
      <c r="A586" s="12"/>
      <c r="B586" s="12"/>
      <c r="C586" s="12"/>
      <c r="D586" s="12"/>
      <c r="E586" s="12"/>
      <c r="F586" s="12"/>
      <c r="G586" s="12"/>
      <c r="H586" s="12"/>
      <c r="I586" s="12"/>
      <c r="J586" s="12"/>
      <c r="K586" s="12"/>
      <c r="L586" s="12"/>
      <c r="M586" s="12"/>
      <c r="N586" s="12"/>
      <c r="O586" s="12"/>
      <c r="P586" s="12"/>
      <c r="Q586" s="12"/>
      <c r="R586" s="12"/>
      <c r="S586" s="12"/>
      <c r="T586" s="12"/>
      <c r="U586" s="12"/>
      <c r="V586" s="12"/>
      <c r="W586" s="12"/>
      <c r="X586" s="12"/>
      <c r="Y586" s="12"/>
      <c r="Z586" s="12"/>
      <c r="AA586" s="12"/>
      <c r="AB586" s="12"/>
      <c r="AC586" s="12"/>
      <c r="AD586" s="12"/>
      <c r="AE586" s="12"/>
      <c r="AF586" s="12"/>
      <c r="AG586" s="12"/>
      <c r="AH586" s="12"/>
      <c r="AI586" s="12"/>
      <c r="AJ586" s="12"/>
      <c r="AK586" s="12"/>
      <c r="AL586" s="12"/>
    </row>
    <row r="587" spans="1:38" x14ac:dyDescent="0.3">
      <c r="A587" s="12"/>
      <c r="B587" s="12"/>
      <c r="C587" s="12"/>
      <c r="D587" s="12"/>
      <c r="E587" s="12"/>
      <c r="F587" s="12"/>
      <c r="G587" s="12"/>
      <c r="H587" s="12"/>
      <c r="I587" s="12"/>
      <c r="J587" s="12"/>
      <c r="K587" s="12"/>
      <c r="L587" s="12"/>
      <c r="M587" s="12"/>
      <c r="N587" s="12"/>
      <c r="O587" s="12"/>
      <c r="P587" s="12"/>
      <c r="Q587" s="12"/>
      <c r="R587" s="12"/>
      <c r="S587" s="12"/>
      <c r="T587" s="12"/>
      <c r="U587" s="12"/>
      <c r="V587" s="12"/>
      <c r="W587" s="12"/>
      <c r="X587" s="12"/>
      <c r="Y587" s="12"/>
      <c r="Z587" s="12"/>
      <c r="AA587" s="12"/>
      <c r="AB587" s="12"/>
      <c r="AC587" s="12"/>
      <c r="AD587" s="12"/>
      <c r="AE587" s="12"/>
      <c r="AF587" s="12"/>
      <c r="AG587" s="12"/>
      <c r="AH587" s="12"/>
      <c r="AI587" s="12"/>
      <c r="AJ587" s="12"/>
      <c r="AK587" s="12"/>
      <c r="AL587" s="12"/>
    </row>
    <row r="588" spans="1:38" x14ac:dyDescent="0.3">
      <c r="A588" s="12"/>
      <c r="B588" s="12"/>
      <c r="C588" s="12"/>
      <c r="D588" s="12"/>
      <c r="E588" s="12"/>
      <c r="F588" s="12"/>
      <c r="G588" s="12"/>
      <c r="H588" s="12"/>
      <c r="I588" s="12"/>
      <c r="J588" s="12"/>
      <c r="K588" s="12"/>
      <c r="L588" s="12"/>
      <c r="M588" s="12"/>
      <c r="N588" s="12"/>
      <c r="O588" s="12"/>
      <c r="P588" s="12"/>
      <c r="Q588" s="12"/>
      <c r="R588" s="12"/>
      <c r="S588" s="12"/>
      <c r="T588" s="12"/>
      <c r="U588" s="12"/>
      <c r="V588" s="12"/>
      <c r="W588" s="12"/>
      <c r="X588" s="12"/>
      <c r="Y588" s="12"/>
      <c r="Z588" s="12"/>
      <c r="AA588" s="12"/>
      <c r="AB588" s="12"/>
      <c r="AC588" s="12"/>
      <c r="AD588" s="12"/>
      <c r="AE588" s="12"/>
      <c r="AF588" s="12"/>
      <c r="AG588" s="12"/>
      <c r="AH588" s="12"/>
      <c r="AI588" s="12"/>
      <c r="AJ588" s="12"/>
      <c r="AK588" s="12"/>
      <c r="AL588" s="12"/>
    </row>
    <row r="589" spans="1:38" x14ac:dyDescent="0.3">
      <c r="A589" s="12"/>
      <c r="B589" s="12"/>
      <c r="C589" s="12"/>
      <c r="D589" s="12"/>
      <c r="E589" s="12"/>
      <c r="F589" s="12"/>
      <c r="G589" s="12"/>
      <c r="H589" s="12"/>
      <c r="I589" s="12"/>
      <c r="J589" s="12"/>
      <c r="K589" s="12"/>
      <c r="L589" s="12"/>
      <c r="M589" s="12"/>
      <c r="N589" s="12"/>
      <c r="O589" s="12"/>
      <c r="P589" s="12"/>
      <c r="Q589" s="12"/>
      <c r="R589" s="12"/>
      <c r="S589" s="12"/>
      <c r="T589" s="12"/>
      <c r="U589" s="12"/>
      <c r="V589" s="12"/>
      <c r="W589" s="12"/>
      <c r="X589" s="12"/>
      <c r="Y589" s="12"/>
      <c r="Z589" s="12"/>
      <c r="AA589" s="12"/>
      <c r="AB589" s="12"/>
      <c r="AC589" s="12"/>
      <c r="AD589" s="12"/>
      <c r="AE589" s="12"/>
      <c r="AF589" s="12"/>
      <c r="AG589" s="12"/>
      <c r="AH589" s="12"/>
      <c r="AI589" s="12"/>
      <c r="AJ589" s="12"/>
      <c r="AK589" s="12"/>
      <c r="AL589" s="12"/>
    </row>
    <row r="590" spans="1:38" x14ac:dyDescent="0.3">
      <c r="A590" s="12"/>
      <c r="B590" s="12"/>
      <c r="C590" s="12"/>
      <c r="D590" s="12"/>
      <c r="E590" s="12"/>
      <c r="F590" s="12"/>
      <c r="G590" s="12"/>
      <c r="H590" s="12"/>
      <c r="I590" s="12"/>
      <c r="J590" s="12"/>
      <c r="K590" s="12"/>
      <c r="L590" s="12"/>
      <c r="M590" s="12"/>
      <c r="N590" s="12"/>
      <c r="O590" s="12"/>
      <c r="P590" s="12"/>
      <c r="Q590" s="12"/>
      <c r="R590" s="12"/>
      <c r="S590" s="12"/>
      <c r="T590" s="12"/>
      <c r="U590" s="12"/>
      <c r="V590" s="12"/>
      <c r="W590" s="12"/>
      <c r="X590" s="12"/>
      <c r="Y590" s="12"/>
      <c r="Z590" s="12"/>
      <c r="AA590" s="12"/>
      <c r="AB590" s="12"/>
      <c r="AC590" s="12"/>
      <c r="AD590" s="12"/>
      <c r="AE590" s="12"/>
      <c r="AF590" s="12"/>
      <c r="AG590" s="12"/>
      <c r="AH590" s="12"/>
      <c r="AI590" s="12"/>
      <c r="AJ590" s="12"/>
      <c r="AK590" s="12"/>
      <c r="AL590" s="12"/>
    </row>
    <row r="591" spans="1:38" x14ac:dyDescent="0.3">
      <c r="A591" s="12"/>
      <c r="B591" s="12"/>
      <c r="C591" s="12"/>
      <c r="D591" s="12"/>
      <c r="E591" s="12"/>
      <c r="F591" s="12"/>
      <c r="G591" s="12"/>
      <c r="H591" s="12"/>
      <c r="I591" s="12"/>
      <c r="J591" s="12"/>
      <c r="K591" s="12"/>
      <c r="L591" s="12"/>
      <c r="M591" s="12"/>
      <c r="N591" s="12"/>
      <c r="O591" s="12"/>
      <c r="P591" s="12"/>
      <c r="Q591" s="12"/>
      <c r="R591" s="12"/>
      <c r="S591" s="12"/>
      <c r="T591" s="12"/>
      <c r="U591" s="12"/>
      <c r="V591" s="12"/>
      <c r="W591" s="12"/>
      <c r="X591" s="12"/>
      <c r="Y591" s="12"/>
      <c r="Z591" s="12"/>
      <c r="AA591" s="12"/>
      <c r="AB591" s="12"/>
      <c r="AC591" s="12"/>
      <c r="AD591" s="12"/>
      <c r="AE591" s="12"/>
      <c r="AF591" s="12"/>
      <c r="AG591" s="12"/>
      <c r="AH591" s="12"/>
      <c r="AI591" s="12"/>
      <c r="AJ591" s="12"/>
      <c r="AK591" s="12"/>
      <c r="AL591" s="12"/>
    </row>
    <row r="592" spans="1:38" x14ac:dyDescent="0.3">
      <c r="A592" s="12"/>
      <c r="B592" s="12"/>
      <c r="C592" s="12"/>
      <c r="D592" s="12"/>
      <c r="E592" s="12"/>
      <c r="F592" s="12"/>
      <c r="G592" s="12"/>
      <c r="H592" s="12"/>
      <c r="I592" s="12"/>
      <c r="J592" s="12"/>
      <c r="K592" s="12"/>
      <c r="L592" s="12"/>
      <c r="M592" s="12"/>
      <c r="N592" s="12"/>
      <c r="O592" s="12"/>
      <c r="P592" s="12"/>
      <c r="Q592" s="12"/>
      <c r="R592" s="12"/>
      <c r="S592" s="12"/>
      <c r="T592" s="12"/>
      <c r="U592" s="12"/>
      <c r="V592" s="12"/>
      <c r="W592" s="12"/>
      <c r="X592" s="12"/>
      <c r="Y592" s="12"/>
      <c r="Z592" s="12"/>
      <c r="AA592" s="12"/>
      <c r="AB592" s="12"/>
      <c r="AC592" s="12"/>
      <c r="AD592" s="12"/>
      <c r="AE592" s="12"/>
      <c r="AF592" s="12"/>
      <c r="AG592" s="12"/>
      <c r="AH592" s="12"/>
      <c r="AI592" s="12"/>
      <c r="AJ592" s="12"/>
      <c r="AK592" s="12"/>
      <c r="AL592" s="12"/>
    </row>
    <row r="593" spans="1:38" x14ac:dyDescent="0.3">
      <c r="A593" s="12"/>
      <c r="B593" s="12"/>
      <c r="C593" s="12"/>
      <c r="D593" s="12"/>
      <c r="E593" s="12"/>
      <c r="F593" s="12"/>
      <c r="G593" s="12"/>
      <c r="H593" s="12"/>
      <c r="I593" s="12"/>
      <c r="J593" s="12"/>
      <c r="K593" s="12"/>
      <c r="L593" s="12"/>
      <c r="M593" s="12"/>
      <c r="N593" s="12"/>
      <c r="O593" s="12"/>
      <c r="P593" s="12"/>
      <c r="Q593" s="12"/>
      <c r="R593" s="12"/>
      <c r="S593" s="12"/>
      <c r="T593" s="12"/>
      <c r="U593" s="12"/>
      <c r="V593" s="12"/>
      <c r="W593" s="12"/>
      <c r="X593" s="12"/>
      <c r="Y593" s="12"/>
      <c r="Z593" s="12"/>
      <c r="AA593" s="12"/>
      <c r="AB593" s="12"/>
      <c r="AC593" s="12"/>
      <c r="AD593" s="12"/>
      <c r="AE593" s="12"/>
      <c r="AF593" s="12"/>
      <c r="AG593" s="12"/>
      <c r="AH593" s="12"/>
      <c r="AI593" s="12"/>
      <c r="AJ593" s="12"/>
      <c r="AK593" s="12"/>
      <c r="AL593" s="12"/>
    </row>
    <row r="594" spans="1:38" x14ac:dyDescent="0.3">
      <c r="A594" s="12"/>
      <c r="B594" s="12"/>
      <c r="C594" s="12"/>
      <c r="D594" s="12"/>
      <c r="E594" s="12"/>
      <c r="F594" s="12"/>
      <c r="G594" s="12"/>
      <c r="H594" s="12"/>
      <c r="I594" s="12"/>
      <c r="J594" s="12"/>
      <c r="K594" s="12"/>
      <c r="L594" s="12"/>
      <c r="M594" s="12"/>
      <c r="N594" s="12"/>
      <c r="O594" s="12"/>
      <c r="P594" s="12"/>
      <c r="Q594" s="12"/>
      <c r="R594" s="12"/>
      <c r="S594" s="12"/>
      <c r="T594" s="12"/>
      <c r="U594" s="12"/>
      <c r="V594" s="12"/>
      <c r="W594" s="12"/>
      <c r="X594" s="12"/>
      <c r="Y594" s="12"/>
      <c r="Z594" s="12"/>
      <c r="AA594" s="12"/>
      <c r="AB594" s="12"/>
      <c r="AC594" s="12"/>
      <c r="AD594" s="12"/>
      <c r="AE594" s="12"/>
      <c r="AF594" s="12"/>
      <c r="AG594" s="12"/>
      <c r="AH594" s="12"/>
      <c r="AI594" s="12"/>
      <c r="AJ594" s="12"/>
      <c r="AK594" s="12"/>
      <c r="AL594" s="12"/>
    </row>
    <row r="595" spans="1:38" x14ac:dyDescent="0.3">
      <c r="A595" s="12"/>
      <c r="B595" s="12"/>
      <c r="C595" s="12"/>
      <c r="D595" s="12"/>
      <c r="E595" s="12"/>
      <c r="F595" s="12"/>
      <c r="G595" s="12"/>
      <c r="H595" s="12"/>
      <c r="I595" s="12"/>
      <c r="J595" s="12"/>
      <c r="K595" s="12"/>
      <c r="L595" s="12"/>
      <c r="M595" s="12"/>
      <c r="N595" s="12"/>
      <c r="O595" s="12"/>
      <c r="P595" s="12"/>
      <c r="Q595" s="12"/>
      <c r="R595" s="12"/>
      <c r="S595" s="12"/>
      <c r="T595" s="12"/>
      <c r="U595" s="12"/>
      <c r="V595" s="12"/>
      <c r="W595" s="12"/>
      <c r="X595" s="12"/>
      <c r="Y595" s="12"/>
      <c r="Z595" s="12"/>
      <c r="AA595" s="12"/>
      <c r="AB595" s="12"/>
      <c r="AC595" s="12"/>
      <c r="AD595" s="12"/>
      <c r="AE595" s="12"/>
      <c r="AF595" s="12"/>
      <c r="AG595" s="12"/>
      <c r="AH595" s="12"/>
      <c r="AI595" s="12"/>
      <c r="AJ595" s="12"/>
      <c r="AK595" s="12"/>
      <c r="AL595" s="12"/>
    </row>
    <row r="596" spans="1:38" x14ac:dyDescent="0.3">
      <c r="A596" s="12"/>
      <c r="B596" s="12"/>
      <c r="C596" s="12"/>
      <c r="D596" s="12"/>
      <c r="E596" s="12"/>
      <c r="F596" s="12"/>
      <c r="G596" s="12"/>
      <c r="H596" s="12"/>
      <c r="I596" s="12"/>
      <c r="J596" s="12"/>
      <c r="K596" s="12"/>
      <c r="L596" s="12"/>
      <c r="M596" s="12"/>
      <c r="N596" s="12"/>
      <c r="O596" s="12"/>
      <c r="P596" s="12"/>
      <c r="Q596" s="12"/>
      <c r="R596" s="12"/>
      <c r="S596" s="12"/>
      <c r="T596" s="12"/>
      <c r="U596" s="12"/>
      <c r="V596" s="12"/>
      <c r="W596" s="12"/>
      <c r="X596" s="12"/>
      <c r="Y596" s="12"/>
      <c r="Z596" s="12"/>
      <c r="AA596" s="12"/>
      <c r="AB596" s="12"/>
      <c r="AC596" s="12"/>
      <c r="AD596" s="12"/>
      <c r="AE596" s="12"/>
      <c r="AF596" s="12"/>
      <c r="AG596" s="12"/>
      <c r="AH596" s="12"/>
      <c r="AI596" s="12"/>
      <c r="AJ596" s="12"/>
      <c r="AK596" s="12"/>
      <c r="AL596" s="12"/>
    </row>
    <row r="597" spans="1:38" x14ac:dyDescent="0.3">
      <c r="A597" s="12"/>
      <c r="B597" s="12"/>
      <c r="C597" s="12"/>
      <c r="D597" s="12"/>
      <c r="E597" s="12"/>
      <c r="F597" s="12"/>
      <c r="G597" s="12"/>
      <c r="H597" s="12"/>
      <c r="I597" s="12"/>
      <c r="J597" s="12"/>
      <c r="K597" s="12"/>
      <c r="L597" s="12"/>
      <c r="M597" s="12"/>
      <c r="N597" s="12"/>
      <c r="O597" s="12"/>
      <c r="P597" s="12"/>
      <c r="Q597" s="12"/>
      <c r="R597" s="12"/>
      <c r="S597" s="12"/>
      <c r="T597" s="12"/>
      <c r="U597" s="12"/>
      <c r="V597" s="12"/>
      <c r="W597" s="12"/>
      <c r="X597" s="12"/>
      <c r="Y597" s="12"/>
      <c r="Z597" s="12"/>
      <c r="AA597" s="12"/>
      <c r="AB597" s="12"/>
      <c r="AC597" s="12"/>
      <c r="AD597" s="12"/>
      <c r="AE597" s="12"/>
      <c r="AF597" s="12"/>
      <c r="AG597" s="12"/>
      <c r="AH597" s="12"/>
      <c r="AI597" s="12"/>
      <c r="AJ597" s="12"/>
      <c r="AK597" s="12"/>
      <c r="AL597" s="12"/>
    </row>
    <row r="598" spans="1:38" x14ac:dyDescent="0.3">
      <c r="A598" s="12"/>
      <c r="B598" s="12"/>
      <c r="C598" s="12"/>
      <c r="D598" s="12"/>
      <c r="E598" s="12"/>
      <c r="F598" s="12"/>
      <c r="G598" s="12"/>
      <c r="H598" s="12"/>
      <c r="I598" s="12"/>
      <c r="J598" s="12"/>
      <c r="K598" s="12"/>
      <c r="L598" s="12"/>
      <c r="M598" s="12"/>
      <c r="N598" s="12"/>
      <c r="O598" s="12"/>
      <c r="P598" s="12"/>
      <c r="Q598" s="12"/>
      <c r="R598" s="12"/>
      <c r="S598" s="12"/>
      <c r="T598" s="12"/>
      <c r="U598" s="12"/>
      <c r="V598" s="12"/>
      <c r="W598" s="12"/>
      <c r="X598" s="12"/>
      <c r="Y598" s="12"/>
      <c r="Z598" s="12"/>
      <c r="AA598" s="12"/>
      <c r="AB598" s="12"/>
      <c r="AC598" s="12"/>
      <c r="AD598" s="12"/>
      <c r="AE598" s="12"/>
      <c r="AF598" s="12"/>
      <c r="AG598" s="12"/>
      <c r="AH598" s="12"/>
      <c r="AI598" s="12"/>
      <c r="AJ598" s="12"/>
      <c r="AK598" s="12"/>
      <c r="AL598" s="12"/>
    </row>
    <row r="599" spans="1:38" x14ac:dyDescent="0.3">
      <c r="A599" s="12"/>
      <c r="B599" s="12"/>
      <c r="C599" s="12"/>
      <c r="D599" s="12"/>
      <c r="E599" s="12"/>
      <c r="F599" s="12"/>
      <c r="G599" s="12"/>
      <c r="H599" s="12"/>
      <c r="I599" s="12"/>
      <c r="J599" s="12"/>
      <c r="K599" s="12"/>
      <c r="L599" s="12"/>
      <c r="M599" s="12"/>
      <c r="N599" s="12"/>
      <c r="O599" s="12"/>
      <c r="P599" s="12"/>
      <c r="Q599" s="12"/>
      <c r="R599" s="12"/>
      <c r="S599" s="12"/>
      <c r="T599" s="12"/>
      <c r="U599" s="12"/>
      <c r="V599" s="12"/>
      <c r="W599" s="12"/>
      <c r="X599" s="12"/>
      <c r="Y599" s="12"/>
      <c r="Z599" s="12"/>
      <c r="AA599" s="12"/>
      <c r="AB599" s="12"/>
      <c r="AC599" s="12"/>
      <c r="AD599" s="12"/>
      <c r="AE599" s="12"/>
      <c r="AF599" s="12"/>
      <c r="AG599" s="12"/>
      <c r="AH599" s="12"/>
      <c r="AI599" s="12"/>
      <c r="AJ599" s="12"/>
      <c r="AK599" s="12"/>
      <c r="AL599" s="12"/>
    </row>
    <row r="600" spans="1:38" x14ac:dyDescent="0.3">
      <c r="A600" s="12"/>
      <c r="B600" s="12"/>
      <c r="C600" s="12"/>
      <c r="D600" s="12"/>
      <c r="E600" s="12"/>
      <c r="F600" s="12"/>
      <c r="G600" s="12"/>
      <c r="H600" s="12"/>
      <c r="I600" s="12"/>
      <c r="J600" s="12"/>
      <c r="K600" s="12"/>
      <c r="L600" s="12"/>
      <c r="M600" s="12"/>
      <c r="N600" s="12"/>
      <c r="O600" s="12"/>
      <c r="P600" s="12"/>
      <c r="Q600" s="12"/>
      <c r="R600" s="12"/>
      <c r="S600" s="12"/>
      <c r="T600" s="12"/>
      <c r="U600" s="12"/>
      <c r="V600" s="12"/>
      <c r="W600" s="12"/>
      <c r="X600" s="12"/>
      <c r="Y600" s="12"/>
      <c r="Z600" s="12"/>
      <c r="AA600" s="12"/>
      <c r="AB600" s="12"/>
      <c r="AC600" s="12"/>
      <c r="AD600" s="12"/>
      <c r="AE600" s="12"/>
      <c r="AF600" s="12"/>
      <c r="AG600" s="12"/>
      <c r="AH600" s="12"/>
      <c r="AI600" s="12"/>
      <c r="AJ600" s="12"/>
      <c r="AK600" s="12"/>
      <c r="AL600" s="12"/>
    </row>
    <row r="601" spans="1:38" x14ac:dyDescent="0.3">
      <c r="A601" s="12"/>
      <c r="B601" s="12"/>
      <c r="C601" s="12"/>
      <c r="D601" s="12"/>
      <c r="E601" s="12"/>
      <c r="F601" s="12"/>
      <c r="G601" s="12"/>
      <c r="H601" s="12"/>
      <c r="I601" s="12"/>
      <c r="J601" s="12"/>
      <c r="K601" s="12"/>
      <c r="L601" s="12"/>
      <c r="M601" s="12"/>
      <c r="N601" s="12"/>
      <c r="O601" s="12"/>
      <c r="P601" s="12"/>
      <c r="Q601" s="12"/>
      <c r="R601" s="12"/>
      <c r="S601" s="12"/>
      <c r="T601" s="12"/>
      <c r="U601" s="12"/>
      <c r="V601" s="12"/>
      <c r="W601" s="12"/>
      <c r="X601" s="12"/>
      <c r="Y601" s="12"/>
      <c r="Z601" s="12"/>
      <c r="AA601" s="12"/>
      <c r="AB601" s="12"/>
      <c r="AC601" s="12"/>
      <c r="AD601" s="12"/>
      <c r="AE601" s="12"/>
      <c r="AF601" s="12"/>
      <c r="AG601" s="12"/>
      <c r="AH601" s="12"/>
      <c r="AI601" s="12"/>
      <c r="AJ601" s="12"/>
      <c r="AK601" s="12"/>
      <c r="AL601" s="12"/>
    </row>
    <row r="602" spans="1:38" x14ac:dyDescent="0.3">
      <c r="A602" s="12"/>
      <c r="B602" s="12"/>
      <c r="C602" s="12"/>
      <c r="D602" s="12"/>
      <c r="E602" s="12"/>
      <c r="F602" s="12"/>
      <c r="G602" s="12"/>
      <c r="H602" s="12"/>
      <c r="I602" s="12"/>
      <c r="J602" s="12"/>
      <c r="K602" s="12"/>
      <c r="L602" s="12"/>
      <c r="M602" s="12"/>
      <c r="N602" s="12"/>
      <c r="O602" s="12"/>
      <c r="P602" s="12"/>
      <c r="Q602" s="12"/>
      <c r="R602" s="12"/>
      <c r="S602" s="12"/>
      <c r="T602" s="12"/>
      <c r="U602" s="12"/>
      <c r="V602" s="12"/>
      <c r="W602" s="12"/>
      <c r="X602" s="12"/>
      <c r="Y602" s="12"/>
      <c r="Z602" s="12"/>
      <c r="AA602" s="12"/>
      <c r="AB602" s="12"/>
      <c r="AC602" s="12"/>
      <c r="AD602" s="12"/>
      <c r="AE602" s="12"/>
      <c r="AF602" s="12"/>
      <c r="AG602" s="12"/>
      <c r="AH602" s="12"/>
      <c r="AI602" s="12"/>
      <c r="AJ602" s="12"/>
      <c r="AK602" s="12"/>
      <c r="AL602" s="12"/>
    </row>
    <row r="603" spans="1:38" x14ac:dyDescent="0.3">
      <c r="A603" s="12"/>
      <c r="B603" s="12"/>
      <c r="C603" s="12"/>
      <c r="D603" s="12"/>
      <c r="E603" s="12"/>
      <c r="F603" s="12"/>
      <c r="G603" s="12"/>
      <c r="H603" s="12"/>
      <c r="I603" s="12"/>
      <c r="J603" s="12"/>
      <c r="K603" s="12"/>
      <c r="L603" s="12"/>
      <c r="M603" s="12"/>
      <c r="N603" s="12"/>
      <c r="O603" s="12"/>
      <c r="P603" s="12"/>
      <c r="Q603" s="12"/>
      <c r="R603" s="12"/>
      <c r="S603" s="12"/>
      <c r="T603" s="12"/>
      <c r="U603" s="12"/>
      <c r="V603" s="12"/>
      <c r="W603" s="12"/>
      <c r="X603" s="12"/>
      <c r="Y603" s="12"/>
      <c r="Z603" s="12"/>
      <c r="AA603" s="12"/>
      <c r="AB603" s="12"/>
      <c r="AC603" s="12"/>
      <c r="AD603" s="12"/>
      <c r="AE603" s="12"/>
      <c r="AF603" s="12"/>
      <c r="AG603" s="12"/>
      <c r="AH603" s="12"/>
      <c r="AI603" s="12"/>
      <c r="AJ603" s="12"/>
      <c r="AK603" s="12"/>
      <c r="AL603" s="12"/>
    </row>
    <row r="604" spans="1:38" x14ac:dyDescent="0.3">
      <c r="A604" s="12"/>
      <c r="B604" s="12"/>
      <c r="C604" s="12"/>
      <c r="D604" s="12"/>
      <c r="E604" s="12"/>
      <c r="F604" s="12"/>
      <c r="G604" s="12"/>
      <c r="H604" s="12"/>
      <c r="I604" s="12"/>
      <c r="J604" s="12"/>
      <c r="K604" s="12"/>
      <c r="L604" s="12"/>
      <c r="M604" s="12"/>
      <c r="N604" s="12"/>
      <c r="O604" s="12"/>
      <c r="P604" s="12"/>
      <c r="Q604" s="12"/>
      <c r="R604" s="12"/>
      <c r="S604" s="12"/>
      <c r="T604" s="12"/>
      <c r="U604" s="12"/>
      <c r="V604" s="12"/>
      <c r="W604" s="12"/>
      <c r="X604" s="12"/>
      <c r="Y604" s="12"/>
      <c r="Z604" s="12"/>
      <c r="AA604" s="12"/>
      <c r="AB604" s="12"/>
      <c r="AC604" s="12"/>
      <c r="AD604" s="12"/>
      <c r="AE604" s="12"/>
      <c r="AF604" s="12"/>
      <c r="AG604" s="12"/>
      <c r="AH604" s="12"/>
      <c r="AI604" s="12"/>
      <c r="AJ604" s="12"/>
      <c r="AK604" s="12"/>
      <c r="AL604" s="12"/>
    </row>
    <row r="605" spans="1:38" x14ac:dyDescent="0.3">
      <c r="A605" s="12"/>
      <c r="B605" s="12"/>
      <c r="C605" s="12"/>
      <c r="D605" s="12"/>
      <c r="E605" s="12"/>
      <c r="F605" s="12"/>
      <c r="G605" s="12"/>
      <c r="H605" s="12"/>
      <c r="I605" s="12"/>
      <c r="J605" s="12"/>
      <c r="K605" s="12"/>
      <c r="L605" s="12"/>
      <c r="M605" s="12"/>
      <c r="N605" s="12"/>
      <c r="O605" s="12"/>
      <c r="P605" s="12"/>
      <c r="Q605" s="12"/>
      <c r="R605" s="12"/>
      <c r="S605" s="12"/>
      <c r="T605" s="12"/>
      <c r="U605" s="12"/>
      <c r="V605" s="12"/>
      <c r="W605" s="12"/>
      <c r="X605" s="12"/>
      <c r="Y605" s="12"/>
      <c r="Z605" s="12"/>
      <c r="AA605" s="12"/>
      <c r="AB605" s="12"/>
      <c r="AC605" s="12"/>
      <c r="AD605" s="12"/>
      <c r="AE605" s="12"/>
      <c r="AF605" s="12"/>
      <c r="AG605" s="12"/>
      <c r="AH605" s="12"/>
      <c r="AI605" s="12"/>
      <c r="AJ605" s="12"/>
      <c r="AK605" s="12"/>
      <c r="AL605" s="12"/>
    </row>
    <row r="606" spans="1:38" x14ac:dyDescent="0.3">
      <c r="A606" s="12"/>
      <c r="B606" s="12"/>
      <c r="C606" s="12"/>
      <c r="D606" s="12"/>
      <c r="E606" s="12"/>
      <c r="F606" s="12"/>
      <c r="G606" s="12"/>
      <c r="H606" s="12"/>
      <c r="I606" s="12"/>
      <c r="J606" s="12"/>
      <c r="K606" s="12"/>
      <c r="L606" s="12"/>
      <c r="M606" s="12"/>
      <c r="N606" s="12"/>
      <c r="O606" s="12"/>
      <c r="P606" s="12"/>
      <c r="Q606" s="12"/>
      <c r="R606" s="12"/>
      <c r="S606" s="12"/>
      <c r="T606" s="12"/>
      <c r="U606" s="12"/>
      <c r="V606" s="12"/>
      <c r="W606" s="12"/>
      <c r="X606" s="12"/>
      <c r="Y606" s="12"/>
      <c r="Z606" s="12"/>
      <c r="AA606" s="12"/>
      <c r="AB606" s="12"/>
      <c r="AC606" s="12"/>
      <c r="AD606" s="12"/>
      <c r="AE606" s="12"/>
      <c r="AF606" s="12"/>
      <c r="AG606" s="12"/>
      <c r="AH606" s="12"/>
      <c r="AI606" s="12"/>
      <c r="AJ606" s="12"/>
      <c r="AK606" s="12"/>
      <c r="AL606" s="12"/>
    </row>
    <row r="607" spans="1:38" x14ac:dyDescent="0.3">
      <c r="A607" s="12"/>
      <c r="B607" s="12"/>
      <c r="C607" s="12"/>
      <c r="D607" s="12"/>
      <c r="E607" s="12"/>
      <c r="F607" s="12"/>
      <c r="G607" s="12"/>
      <c r="H607" s="12"/>
      <c r="I607" s="12"/>
      <c r="J607" s="12"/>
      <c r="K607" s="12"/>
      <c r="L607" s="12"/>
      <c r="M607" s="12"/>
      <c r="N607" s="12"/>
      <c r="O607" s="12"/>
      <c r="P607" s="12"/>
      <c r="Q607" s="12"/>
      <c r="R607" s="12"/>
      <c r="S607" s="12"/>
      <c r="T607" s="12"/>
      <c r="U607" s="12"/>
      <c r="V607" s="12"/>
      <c r="W607" s="12"/>
      <c r="X607" s="12"/>
      <c r="Y607" s="12"/>
      <c r="Z607" s="12"/>
      <c r="AA607" s="12"/>
      <c r="AB607" s="12"/>
      <c r="AC607" s="12"/>
      <c r="AD607" s="12"/>
      <c r="AE607" s="12"/>
      <c r="AF607" s="12"/>
      <c r="AG607" s="12"/>
      <c r="AH607" s="12"/>
      <c r="AI607" s="12"/>
      <c r="AJ607" s="12"/>
      <c r="AK607" s="12"/>
      <c r="AL607" s="12"/>
    </row>
    <row r="608" spans="1:38" x14ac:dyDescent="0.3">
      <c r="A608" s="12"/>
      <c r="B608" s="12"/>
      <c r="C608" s="12"/>
      <c r="D608" s="12"/>
      <c r="E608" s="12"/>
      <c r="F608" s="12"/>
      <c r="G608" s="12"/>
      <c r="H608" s="12"/>
      <c r="I608" s="12"/>
      <c r="J608" s="12"/>
      <c r="K608" s="12"/>
      <c r="L608" s="12"/>
      <c r="M608" s="12"/>
      <c r="N608" s="12"/>
      <c r="O608" s="12"/>
      <c r="P608" s="12"/>
      <c r="Q608" s="12"/>
      <c r="R608" s="12"/>
      <c r="S608" s="12"/>
      <c r="T608" s="12"/>
      <c r="U608" s="12"/>
      <c r="V608" s="12"/>
      <c r="W608" s="12"/>
      <c r="X608" s="12"/>
      <c r="Y608" s="12"/>
      <c r="Z608" s="12"/>
      <c r="AA608" s="12"/>
      <c r="AB608" s="12"/>
      <c r="AC608" s="12"/>
      <c r="AD608" s="12"/>
      <c r="AE608" s="12"/>
      <c r="AF608" s="12"/>
      <c r="AG608" s="12"/>
      <c r="AH608" s="12"/>
      <c r="AI608" s="12"/>
      <c r="AJ608" s="12"/>
      <c r="AK608" s="12"/>
      <c r="AL608" s="12"/>
    </row>
    <row r="609" spans="1:38" x14ac:dyDescent="0.3">
      <c r="A609" s="12"/>
      <c r="B609" s="12"/>
      <c r="C609" s="12"/>
      <c r="D609" s="12"/>
      <c r="E609" s="12"/>
      <c r="F609" s="12"/>
      <c r="G609" s="12"/>
      <c r="H609" s="12"/>
      <c r="I609" s="12"/>
      <c r="J609" s="12"/>
      <c r="K609" s="12"/>
      <c r="L609" s="12"/>
      <c r="M609" s="12"/>
      <c r="N609" s="12"/>
      <c r="O609" s="12"/>
      <c r="P609" s="12"/>
      <c r="Q609" s="12"/>
      <c r="R609" s="12"/>
      <c r="S609" s="12"/>
      <c r="T609" s="12"/>
      <c r="U609" s="12"/>
      <c r="V609" s="12"/>
      <c r="W609" s="12"/>
      <c r="X609" s="12"/>
      <c r="Y609" s="12"/>
      <c r="Z609" s="12"/>
      <c r="AA609" s="12"/>
      <c r="AB609" s="12"/>
      <c r="AC609" s="12"/>
      <c r="AD609" s="12"/>
      <c r="AE609" s="12"/>
      <c r="AF609" s="12"/>
      <c r="AG609" s="12"/>
      <c r="AH609" s="12"/>
      <c r="AI609" s="12"/>
      <c r="AJ609" s="12"/>
      <c r="AK609" s="12"/>
      <c r="AL609" s="12"/>
    </row>
    <row r="610" spans="1:38" x14ac:dyDescent="0.3">
      <c r="A610" s="12"/>
      <c r="B610" s="12"/>
      <c r="C610" s="12"/>
      <c r="D610" s="12"/>
      <c r="E610" s="12"/>
      <c r="F610" s="12"/>
      <c r="G610" s="12"/>
      <c r="H610" s="12"/>
      <c r="I610" s="12"/>
      <c r="J610" s="12"/>
      <c r="K610" s="12"/>
      <c r="L610" s="12"/>
      <c r="M610" s="12"/>
      <c r="N610" s="12"/>
      <c r="O610" s="12"/>
      <c r="P610" s="12"/>
      <c r="Q610" s="12"/>
      <c r="R610" s="12"/>
      <c r="S610" s="12"/>
      <c r="T610" s="12"/>
      <c r="U610" s="12"/>
      <c r="V610" s="12"/>
      <c r="W610" s="12"/>
      <c r="X610" s="12"/>
      <c r="Y610" s="12"/>
      <c r="Z610" s="12"/>
      <c r="AA610" s="12"/>
      <c r="AB610" s="12"/>
      <c r="AC610" s="12"/>
      <c r="AD610" s="12"/>
      <c r="AE610" s="12"/>
      <c r="AF610" s="12"/>
      <c r="AG610" s="12"/>
      <c r="AH610" s="12"/>
      <c r="AI610" s="12"/>
      <c r="AJ610" s="12"/>
      <c r="AK610" s="12"/>
      <c r="AL610" s="12"/>
    </row>
    <row r="611" spans="1:38" x14ac:dyDescent="0.3">
      <c r="A611" s="12"/>
      <c r="B611" s="12"/>
      <c r="C611" s="12"/>
      <c r="D611" s="12"/>
      <c r="E611" s="12"/>
      <c r="F611" s="12"/>
      <c r="G611" s="12"/>
      <c r="H611" s="12"/>
      <c r="I611" s="12"/>
      <c r="J611" s="12"/>
      <c r="K611" s="12"/>
      <c r="L611" s="12"/>
      <c r="M611" s="12"/>
      <c r="N611" s="12"/>
      <c r="O611" s="12"/>
      <c r="P611" s="12"/>
      <c r="Q611" s="12"/>
      <c r="R611" s="12"/>
      <c r="S611" s="12"/>
      <c r="T611" s="12"/>
      <c r="U611" s="12"/>
      <c r="V611" s="12"/>
      <c r="W611" s="12"/>
      <c r="X611" s="12"/>
      <c r="Y611" s="12"/>
      <c r="Z611" s="12"/>
      <c r="AA611" s="12"/>
      <c r="AB611" s="12"/>
      <c r="AC611" s="12"/>
      <c r="AD611" s="12"/>
      <c r="AE611" s="12"/>
      <c r="AF611" s="12"/>
      <c r="AG611" s="12"/>
      <c r="AH611" s="12"/>
      <c r="AI611" s="12"/>
      <c r="AJ611" s="12"/>
      <c r="AK611" s="12"/>
      <c r="AL611" s="12"/>
    </row>
    <row r="612" spans="1:38" x14ac:dyDescent="0.3">
      <c r="A612" s="12"/>
      <c r="B612" s="12"/>
      <c r="C612" s="12"/>
      <c r="D612" s="12"/>
      <c r="E612" s="12"/>
      <c r="F612" s="12"/>
      <c r="G612" s="12"/>
      <c r="H612" s="12"/>
      <c r="I612" s="12"/>
      <c r="J612" s="12"/>
      <c r="K612" s="12"/>
      <c r="L612" s="12"/>
      <c r="M612" s="12"/>
      <c r="N612" s="12"/>
      <c r="O612" s="12"/>
      <c r="P612" s="12"/>
      <c r="Q612" s="12"/>
      <c r="R612" s="12"/>
      <c r="S612" s="12"/>
      <c r="T612" s="12"/>
      <c r="U612" s="12"/>
      <c r="V612" s="12"/>
      <c r="W612" s="12"/>
      <c r="X612" s="12"/>
      <c r="Y612" s="12"/>
      <c r="Z612" s="12"/>
      <c r="AA612" s="12"/>
      <c r="AB612" s="12"/>
      <c r="AC612" s="12"/>
      <c r="AD612" s="12"/>
      <c r="AE612" s="12"/>
      <c r="AF612" s="12"/>
      <c r="AG612" s="12"/>
      <c r="AH612" s="12"/>
      <c r="AI612" s="12"/>
      <c r="AJ612" s="12"/>
      <c r="AK612" s="12"/>
      <c r="AL612" s="12"/>
    </row>
    <row r="613" spans="1:38" x14ac:dyDescent="0.3">
      <c r="A613" s="12"/>
      <c r="B613" s="12"/>
      <c r="C613" s="12"/>
      <c r="D613" s="12"/>
      <c r="E613" s="12"/>
      <c r="F613" s="12"/>
      <c r="G613" s="12"/>
      <c r="H613" s="12"/>
      <c r="I613" s="12"/>
      <c r="J613" s="12"/>
      <c r="K613" s="12"/>
      <c r="L613" s="12"/>
      <c r="M613" s="12"/>
      <c r="N613" s="12"/>
      <c r="O613" s="12"/>
      <c r="P613" s="12"/>
      <c r="Q613" s="12"/>
      <c r="R613" s="12"/>
      <c r="S613" s="12"/>
      <c r="T613" s="12"/>
      <c r="U613" s="12"/>
      <c r="V613" s="12"/>
      <c r="W613" s="12"/>
      <c r="X613" s="12"/>
      <c r="Y613" s="12"/>
      <c r="Z613" s="12"/>
      <c r="AA613" s="12"/>
      <c r="AB613" s="12"/>
      <c r="AC613" s="12"/>
      <c r="AD613" s="12"/>
      <c r="AE613" s="12"/>
      <c r="AF613" s="12"/>
      <c r="AG613" s="12"/>
      <c r="AH613" s="12"/>
      <c r="AI613" s="12"/>
      <c r="AJ613" s="12"/>
      <c r="AK613" s="12"/>
      <c r="AL613" s="12"/>
    </row>
    <row r="614" spans="1:38" x14ac:dyDescent="0.3">
      <c r="A614" s="12"/>
      <c r="B614" s="12"/>
      <c r="C614" s="12"/>
      <c r="D614" s="12"/>
      <c r="E614" s="12"/>
      <c r="F614" s="12"/>
      <c r="G614" s="12"/>
      <c r="H614" s="12"/>
      <c r="I614" s="12"/>
      <c r="J614" s="12"/>
      <c r="K614" s="12"/>
      <c r="L614" s="12"/>
      <c r="M614" s="12"/>
      <c r="N614" s="12"/>
      <c r="O614" s="12"/>
      <c r="P614" s="12"/>
      <c r="Q614" s="12"/>
      <c r="R614" s="12"/>
      <c r="S614" s="12"/>
      <c r="T614" s="12"/>
      <c r="U614" s="12"/>
      <c r="V614" s="12"/>
      <c r="W614" s="12"/>
      <c r="X614" s="12"/>
      <c r="Y614" s="12"/>
      <c r="Z614" s="12"/>
      <c r="AA614" s="12"/>
      <c r="AB614" s="12"/>
      <c r="AC614" s="12"/>
      <c r="AD614" s="12"/>
      <c r="AE614" s="12"/>
      <c r="AF614" s="12"/>
      <c r="AG614" s="12"/>
      <c r="AH614" s="12"/>
      <c r="AI614" s="12"/>
      <c r="AJ614" s="12"/>
      <c r="AK614" s="12"/>
      <c r="AL614" s="12"/>
    </row>
    <row r="615" spans="1:38" x14ac:dyDescent="0.3">
      <c r="A615" s="12"/>
      <c r="B615" s="12"/>
      <c r="C615" s="12"/>
      <c r="D615" s="12"/>
      <c r="E615" s="12"/>
      <c r="F615" s="12"/>
      <c r="G615" s="12"/>
      <c r="H615" s="12"/>
      <c r="I615" s="12"/>
      <c r="J615" s="12"/>
      <c r="K615" s="12"/>
      <c r="L615" s="12"/>
      <c r="M615" s="12"/>
      <c r="N615" s="12"/>
      <c r="O615" s="12"/>
      <c r="P615" s="12"/>
      <c r="Q615" s="12"/>
      <c r="R615" s="12"/>
      <c r="S615" s="12"/>
      <c r="T615" s="12"/>
      <c r="U615" s="12"/>
      <c r="V615" s="12"/>
      <c r="W615" s="12"/>
      <c r="X615" s="12"/>
      <c r="Y615" s="12"/>
      <c r="Z615" s="12"/>
      <c r="AA615" s="12"/>
      <c r="AB615" s="12"/>
      <c r="AC615" s="12"/>
      <c r="AD615" s="12"/>
      <c r="AE615" s="12"/>
      <c r="AF615" s="12"/>
      <c r="AG615" s="12"/>
      <c r="AH615" s="12"/>
      <c r="AI615" s="12"/>
      <c r="AJ615" s="12"/>
      <c r="AK615" s="12"/>
      <c r="AL615" s="12"/>
    </row>
    <row r="616" spans="1:38" x14ac:dyDescent="0.3">
      <c r="A616" s="12"/>
      <c r="B616" s="12"/>
      <c r="C616" s="12"/>
      <c r="D616" s="12"/>
      <c r="E616" s="12"/>
      <c r="F616" s="12"/>
      <c r="G616" s="12"/>
      <c r="H616" s="12"/>
      <c r="I616" s="12"/>
      <c r="J616" s="12"/>
      <c r="K616" s="12"/>
      <c r="L616" s="12"/>
      <c r="M616" s="12"/>
      <c r="N616" s="12"/>
      <c r="O616" s="12"/>
      <c r="P616" s="12"/>
      <c r="Q616" s="12"/>
      <c r="R616" s="12"/>
      <c r="S616" s="12"/>
      <c r="T616" s="12"/>
      <c r="U616" s="12"/>
      <c r="V616" s="12"/>
      <c r="W616" s="12"/>
      <c r="X616" s="12"/>
      <c r="Y616" s="12"/>
      <c r="Z616" s="12"/>
      <c r="AA616" s="12"/>
      <c r="AB616" s="12"/>
      <c r="AC616" s="12"/>
      <c r="AD616" s="12"/>
      <c r="AE616" s="12"/>
      <c r="AF616" s="12"/>
      <c r="AG616" s="12"/>
      <c r="AH616" s="12"/>
      <c r="AI616" s="12"/>
      <c r="AJ616" s="12"/>
      <c r="AK616" s="12"/>
      <c r="AL616" s="12"/>
    </row>
    <row r="617" spans="1:38" x14ac:dyDescent="0.3">
      <c r="A617" s="12"/>
      <c r="B617" s="12"/>
      <c r="C617" s="12"/>
      <c r="D617" s="12"/>
      <c r="E617" s="12"/>
      <c r="F617" s="12"/>
      <c r="G617" s="12"/>
      <c r="H617" s="12"/>
      <c r="I617" s="12"/>
      <c r="J617" s="12"/>
      <c r="K617" s="12"/>
      <c r="L617" s="12"/>
      <c r="M617" s="12"/>
      <c r="N617" s="12"/>
      <c r="O617" s="12"/>
      <c r="P617" s="12"/>
      <c r="Q617" s="12"/>
      <c r="R617" s="12"/>
      <c r="S617" s="12"/>
      <c r="T617" s="12"/>
      <c r="U617" s="12"/>
      <c r="V617" s="12"/>
      <c r="W617" s="12"/>
      <c r="X617" s="12"/>
      <c r="Y617" s="12"/>
      <c r="Z617" s="12"/>
      <c r="AA617" s="12"/>
      <c r="AB617" s="12"/>
      <c r="AC617" s="12"/>
      <c r="AD617" s="12"/>
      <c r="AE617" s="12"/>
      <c r="AF617" s="12"/>
      <c r="AG617" s="12"/>
      <c r="AH617" s="12"/>
      <c r="AI617" s="12"/>
      <c r="AJ617" s="12"/>
      <c r="AK617" s="12"/>
      <c r="AL617" s="12"/>
    </row>
    <row r="618" spans="1:38" x14ac:dyDescent="0.3">
      <c r="A618" s="12"/>
      <c r="B618" s="12"/>
      <c r="C618" s="12"/>
      <c r="D618" s="12"/>
      <c r="E618" s="12"/>
      <c r="F618" s="12"/>
      <c r="G618" s="12"/>
      <c r="H618" s="12"/>
      <c r="I618" s="12"/>
      <c r="J618" s="12"/>
      <c r="K618" s="12"/>
      <c r="L618" s="12"/>
      <c r="M618" s="12"/>
      <c r="N618" s="12"/>
      <c r="O618" s="12"/>
      <c r="P618" s="12"/>
      <c r="Q618" s="12"/>
      <c r="R618" s="12"/>
      <c r="S618" s="12"/>
      <c r="T618" s="12"/>
      <c r="U618" s="12"/>
      <c r="V618" s="12"/>
      <c r="W618" s="12"/>
      <c r="X618" s="12"/>
      <c r="Y618" s="12"/>
      <c r="Z618" s="12"/>
      <c r="AA618" s="12"/>
      <c r="AB618" s="12"/>
      <c r="AC618" s="12"/>
      <c r="AD618" s="12"/>
      <c r="AE618" s="12"/>
      <c r="AF618" s="12"/>
      <c r="AG618" s="12"/>
      <c r="AH618" s="12"/>
      <c r="AI618" s="12"/>
      <c r="AJ618" s="12"/>
      <c r="AK618" s="12"/>
      <c r="AL618" s="12"/>
    </row>
    <row r="619" spans="1:38" x14ac:dyDescent="0.3">
      <c r="A619" s="12"/>
      <c r="B619" s="12"/>
      <c r="C619" s="12"/>
      <c r="D619" s="12"/>
      <c r="E619" s="12"/>
      <c r="F619" s="12"/>
      <c r="G619" s="12"/>
      <c r="H619" s="12"/>
      <c r="I619" s="12"/>
      <c r="J619" s="12"/>
      <c r="K619" s="12"/>
      <c r="L619" s="12"/>
      <c r="M619" s="12"/>
      <c r="N619" s="12"/>
      <c r="O619" s="12"/>
      <c r="P619" s="12"/>
      <c r="Q619" s="12"/>
      <c r="R619" s="12"/>
      <c r="S619" s="12"/>
      <c r="T619" s="12"/>
      <c r="U619" s="12"/>
      <c r="V619" s="12"/>
      <c r="W619" s="12"/>
      <c r="X619" s="12"/>
      <c r="Y619" s="12"/>
      <c r="Z619" s="12"/>
      <c r="AA619" s="12"/>
      <c r="AB619" s="12"/>
      <c r="AC619" s="12"/>
      <c r="AD619" s="12"/>
      <c r="AE619" s="12"/>
      <c r="AF619" s="12"/>
      <c r="AG619" s="12"/>
      <c r="AH619" s="12"/>
      <c r="AI619" s="12"/>
      <c r="AJ619" s="12"/>
      <c r="AK619" s="12"/>
      <c r="AL619" s="12"/>
    </row>
    <row r="620" spans="1:38" x14ac:dyDescent="0.3">
      <c r="A620" s="12"/>
      <c r="B620" s="12"/>
      <c r="C620" s="12"/>
      <c r="D620" s="12"/>
      <c r="E620" s="12"/>
      <c r="F620" s="12"/>
      <c r="G620" s="12"/>
      <c r="H620" s="12"/>
      <c r="I620" s="12"/>
      <c r="J620" s="12"/>
      <c r="K620" s="12"/>
      <c r="L620" s="12"/>
      <c r="M620" s="12"/>
      <c r="N620" s="12"/>
      <c r="O620" s="12"/>
      <c r="P620" s="12"/>
      <c r="Q620" s="12"/>
      <c r="R620" s="12"/>
      <c r="S620" s="12"/>
      <c r="T620" s="12"/>
      <c r="U620" s="12"/>
      <c r="V620" s="12"/>
      <c r="W620" s="12"/>
      <c r="X620" s="12"/>
      <c r="Y620" s="12"/>
      <c r="Z620" s="12"/>
      <c r="AA620" s="12"/>
      <c r="AB620" s="12"/>
      <c r="AC620" s="12"/>
      <c r="AD620" s="12"/>
      <c r="AE620" s="12"/>
      <c r="AF620" s="12"/>
      <c r="AG620" s="12"/>
      <c r="AH620" s="12"/>
      <c r="AI620" s="12"/>
      <c r="AJ620" s="12"/>
      <c r="AK620" s="12"/>
      <c r="AL620" s="12"/>
    </row>
    <row r="621" spans="1:38" x14ac:dyDescent="0.3">
      <c r="A621" s="12"/>
      <c r="B621" s="12"/>
      <c r="C621" s="12"/>
      <c r="D621" s="12"/>
      <c r="E621" s="12"/>
      <c r="F621" s="12"/>
      <c r="G621" s="12"/>
      <c r="H621" s="12"/>
      <c r="I621" s="12"/>
      <c r="J621" s="12"/>
      <c r="K621" s="12"/>
      <c r="L621" s="12"/>
      <c r="M621" s="12"/>
      <c r="N621" s="12"/>
      <c r="O621" s="12"/>
      <c r="P621" s="12"/>
      <c r="Q621" s="12"/>
      <c r="R621" s="12"/>
      <c r="S621" s="12"/>
      <c r="T621" s="12"/>
      <c r="U621" s="12"/>
      <c r="V621" s="12"/>
      <c r="W621" s="12"/>
      <c r="X621" s="12"/>
      <c r="Y621" s="12"/>
      <c r="Z621" s="12"/>
      <c r="AA621" s="12"/>
      <c r="AB621" s="12"/>
      <c r="AC621" s="12"/>
      <c r="AD621" s="12"/>
      <c r="AE621" s="12"/>
      <c r="AF621" s="12"/>
      <c r="AG621" s="12"/>
      <c r="AH621" s="12"/>
      <c r="AI621" s="12"/>
      <c r="AJ621" s="12"/>
      <c r="AK621" s="12"/>
      <c r="AL621" s="12"/>
    </row>
    <row r="622" spans="1:38" x14ac:dyDescent="0.3">
      <c r="A622" s="12"/>
      <c r="B622" s="12"/>
      <c r="C622" s="12"/>
      <c r="D622" s="12"/>
      <c r="E622" s="12"/>
      <c r="F622" s="12"/>
      <c r="G622" s="12"/>
      <c r="H622" s="12"/>
      <c r="I622" s="12"/>
      <c r="J622" s="12"/>
      <c r="K622" s="12"/>
      <c r="L622" s="12"/>
      <c r="M622" s="12"/>
      <c r="N622" s="12"/>
      <c r="O622" s="12"/>
      <c r="P622" s="12"/>
      <c r="Q622" s="12"/>
      <c r="R622" s="12"/>
      <c r="S622" s="12"/>
      <c r="T622" s="12"/>
      <c r="U622" s="12"/>
      <c r="V622" s="12"/>
      <c r="W622" s="12"/>
      <c r="X622" s="12"/>
      <c r="Y622" s="12"/>
      <c r="Z622" s="12"/>
      <c r="AA622" s="12"/>
      <c r="AB622" s="12"/>
      <c r="AC622" s="12"/>
      <c r="AD622" s="12"/>
      <c r="AE622" s="12"/>
      <c r="AF622" s="12"/>
      <c r="AG622" s="12"/>
      <c r="AH622" s="12"/>
      <c r="AI622" s="12"/>
      <c r="AJ622" s="12"/>
      <c r="AK622" s="12"/>
      <c r="AL622" s="12"/>
    </row>
    <row r="623" spans="1:38" x14ac:dyDescent="0.3">
      <c r="A623" s="12"/>
      <c r="B623" s="12"/>
      <c r="C623" s="12"/>
      <c r="D623" s="12"/>
      <c r="E623" s="12"/>
      <c r="F623" s="12"/>
      <c r="G623" s="12"/>
      <c r="H623" s="12"/>
      <c r="I623" s="12"/>
      <c r="J623" s="12"/>
      <c r="K623" s="12"/>
      <c r="L623" s="12"/>
      <c r="M623" s="12"/>
      <c r="N623" s="12"/>
      <c r="O623" s="12"/>
      <c r="P623" s="12"/>
      <c r="Q623" s="12"/>
      <c r="R623" s="12"/>
      <c r="S623" s="12"/>
      <c r="T623" s="12"/>
      <c r="U623" s="12"/>
      <c r="V623" s="12"/>
      <c r="W623" s="12"/>
      <c r="X623" s="12"/>
      <c r="Y623" s="12"/>
      <c r="Z623" s="12"/>
      <c r="AA623" s="12"/>
      <c r="AB623" s="12"/>
      <c r="AC623" s="12"/>
      <c r="AD623" s="12"/>
      <c r="AE623" s="12"/>
      <c r="AF623" s="12"/>
      <c r="AG623" s="12"/>
      <c r="AH623" s="12"/>
      <c r="AI623" s="12"/>
      <c r="AJ623" s="12"/>
      <c r="AK623" s="12"/>
      <c r="AL623" s="12"/>
    </row>
    <row r="624" spans="1:38" x14ac:dyDescent="0.3">
      <c r="A624" s="12"/>
      <c r="B624" s="12"/>
      <c r="C624" s="12"/>
      <c r="D624" s="12"/>
      <c r="E624" s="12"/>
      <c r="F624" s="12"/>
      <c r="G624" s="12"/>
      <c r="H624" s="12"/>
      <c r="I624" s="12"/>
      <c r="J624" s="12"/>
      <c r="K624" s="12"/>
      <c r="L624" s="12"/>
      <c r="M624" s="12"/>
      <c r="N624" s="12"/>
      <c r="O624" s="12"/>
      <c r="P624" s="12"/>
      <c r="Q624" s="12"/>
      <c r="R624" s="12"/>
      <c r="S624" s="12"/>
      <c r="T624" s="12"/>
      <c r="U624" s="12"/>
      <c r="V624" s="12"/>
      <c r="W624" s="12"/>
      <c r="X624" s="12"/>
      <c r="Y624" s="12"/>
      <c r="Z624" s="12"/>
      <c r="AA624" s="12"/>
      <c r="AB624" s="12"/>
      <c r="AC624" s="12"/>
      <c r="AD624" s="12"/>
      <c r="AE624" s="12"/>
      <c r="AF624" s="12"/>
      <c r="AG624" s="12"/>
      <c r="AH624" s="12"/>
      <c r="AI624" s="12"/>
      <c r="AJ624" s="12"/>
      <c r="AK624" s="12"/>
      <c r="AL624" s="12"/>
    </row>
    <row r="625" spans="1:38" x14ac:dyDescent="0.3">
      <c r="A625" s="12"/>
      <c r="B625" s="12"/>
      <c r="C625" s="12"/>
      <c r="D625" s="12"/>
      <c r="E625" s="12"/>
      <c r="F625" s="12"/>
      <c r="G625" s="12"/>
      <c r="H625" s="12"/>
      <c r="I625" s="12"/>
      <c r="J625" s="12"/>
      <c r="K625" s="12"/>
      <c r="L625" s="12"/>
      <c r="M625" s="12"/>
      <c r="N625" s="12"/>
      <c r="O625" s="12"/>
      <c r="P625" s="12"/>
      <c r="Q625" s="12"/>
      <c r="R625" s="12"/>
      <c r="S625" s="12"/>
      <c r="T625" s="12"/>
      <c r="U625" s="12"/>
      <c r="V625" s="12"/>
      <c r="W625" s="12"/>
      <c r="X625" s="12"/>
      <c r="Y625" s="12"/>
      <c r="Z625" s="12"/>
      <c r="AA625" s="12"/>
      <c r="AB625" s="12"/>
      <c r="AC625" s="12"/>
      <c r="AD625" s="12"/>
      <c r="AE625" s="12"/>
      <c r="AF625" s="12"/>
      <c r="AG625" s="12"/>
      <c r="AH625" s="12"/>
      <c r="AI625" s="12"/>
      <c r="AJ625" s="12"/>
      <c r="AK625" s="12"/>
      <c r="AL625" s="12"/>
    </row>
    <row r="626" spans="1:38" x14ac:dyDescent="0.3">
      <c r="A626" s="12"/>
      <c r="B626" s="12"/>
      <c r="C626" s="12"/>
      <c r="D626" s="12"/>
      <c r="E626" s="12"/>
      <c r="F626" s="12"/>
      <c r="G626" s="12"/>
      <c r="H626" s="12"/>
      <c r="I626" s="12"/>
      <c r="J626" s="12"/>
      <c r="K626" s="12"/>
      <c r="L626" s="12"/>
      <c r="M626" s="12"/>
      <c r="N626" s="12"/>
      <c r="O626" s="12"/>
      <c r="P626" s="12"/>
      <c r="Q626" s="12"/>
      <c r="R626" s="12"/>
      <c r="S626" s="12"/>
      <c r="T626" s="12"/>
      <c r="U626" s="12"/>
      <c r="V626" s="12"/>
      <c r="W626" s="12"/>
      <c r="X626" s="12"/>
      <c r="Y626" s="12"/>
      <c r="Z626" s="12"/>
      <c r="AA626" s="12"/>
      <c r="AB626" s="12"/>
      <c r="AC626" s="12"/>
      <c r="AD626" s="12"/>
      <c r="AE626" s="12"/>
      <c r="AF626" s="12"/>
      <c r="AG626" s="12"/>
      <c r="AH626" s="12"/>
      <c r="AI626" s="12"/>
      <c r="AJ626" s="12"/>
      <c r="AK626" s="12"/>
      <c r="AL626" s="12"/>
    </row>
    <row r="627" spans="1:38" x14ac:dyDescent="0.3">
      <c r="A627" s="12"/>
      <c r="B627" s="12"/>
      <c r="C627" s="12"/>
      <c r="D627" s="12"/>
      <c r="E627" s="12"/>
      <c r="F627" s="12"/>
      <c r="G627" s="12"/>
      <c r="H627" s="12"/>
      <c r="I627" s="12"/>
      <c r="J627" s="12"/>
      <c r="K627" s="12"/>
      <c r="L627" s="12"/>
      <c r="M627" s="12"/>
      <c r="N627" s="12"/>
      <c r="O627" s="12"/>
      <c r="P627" s="12"/>
      <c r="Q627" s="12"/>
      <c r="R627" s="12"/>
      <c r="S627" s="12"/>
      <c r="T627" s="12"/>
      <c r="U627" s="12"/>
      <c r="V627" s="12"/>
      <c r="W627" s="12"/>
      <c r="X627" s="12"/>
      <c r="Y627" s="12"/>
      <c r="Z627" s="12"/>
      <c r="AA627" s="12"/>
      <c r="AB627" s="12"/>
      <c r="AC627" s="12"/>
      <c r="AD627" s="12"/>
      <c r="AE627" s="12"/>
      <c r="AF627" s="12"/>
      <c r="AG627" s="12"/>
      <c r="AH627" s="12"/>
      <c r="AI627" s="12"/>
      <c r="AJ627" s="12"/>
      <c r="AK627" s="12"/>
      <c r="AL627" s="12"/>
    </row>
    <row r="628" spans="1:38" x14ac:dyDescent="0.3">
      <c r="A628" s="12"/>
      <c r="B628" s="12"/>
      <c r="C628" s="12"/>
      <c r="D628" s="12"/>
      <c r="E628" s="12"/>
      <c r="F628" s="12"/>
      <c r="G628" s="12"/>
      <c r="H628" s="12"/>
      <c r="I628" s="12"/>
      <c r="J628" s="12"/>
      <c r="K628" s="12"/>
      <c r="L628" s="12"/>
      <c r="M628" s="12"/>
      <c r="N628" s="12"/>
      <c r="O628" s="12"/>
      <c r="P628" s="12"/>
      <c r="Q628" s="12"/>
      <c r="R628" s="12"/>
      <c r="S628" s="12"/>
      <c r="T628" s="12"/>
      <c r="U628" s="12"/>
      <c r="V628" s="12"/>
      <c r="W628" s="12"/>
      <c r="X628" s="12"/>
      <c r="Y628" s="12"/>
      <c r="Z628" s="12"/>
      <c r="AA628" s="12"/>
      <c r="AB628" s="12"/>
      <c r="AC628" s="12"/>
      <c r="AD628" s="12"/>
      <c r="AE628" s="12"/>
      <c r="AF628" s="12"/>
      <c r="AG628" s="12"/>
      <c r="AH628" s="12"/>
      <c r="AI628" s="12"/>
      <c r="AJ628" s="12"/>
      <c r="AK628" s="12"/>
      <c r="AL628" s="12"/>
    </row>
    <row r="629" spans="1:38" x14ac:dyDescent="0.3">
      <c r="A629" s="12"/>
      <c r="B629" s="12"/>
      <c r="C629" s="12"/>
      <c r="D629" s="12"/>
      <c r="E629" s="12"/>
      <c r="F629" s="12"/>
      <c r="G629" s="12"/>
      <c r="H629" s="12"/>
      <c r="I629" s="12"/>
      <c r="J629" s="12"/>
      <c r="K629" s="12"/>
      <c r="L629" s="12"/>
      <c r="M629" s="12"/>
      <c r="N629" s="12"/>
      <c r="O629" s="12"/>
      <c r="P629" s="12"/>
      <c r="Q629" s="12"/>
      <c r="R629" s="12"/>
      <c r="S629" s="12"/>
      <c r="T629" s="12"/>
      <c r="U629" s="12"/>
      <c r="V629" s="12"/>
      <c r="W629" s="12"/>
      <c r="X629" s="12"/>
      <c r="Y629" s="12"/>
      <c r="Z629" s="12"/>
      <c r="AA629" s="12"/>
      <c r="AB629" s="12"/>
      <c r="AC629" s="12"/>
      <c r="AD629" s="12"/>
      <c r="AE629" s="12"/>
      <c r="AF629" s="12"/>
      <c r="AG629" s="12"/>
      <c r="AH629" s="12"/>
      <c r="AI629" s="12"/>
      <c r="AJ629" s="12"/>
      <c r="AK629" s="12"/>
      <c r="AL629" s="12"/>
    </row>
    <row r="630" spans="1:38" x14ac:dyDescent="0.3">
      <c r="A630" s="12"/>
      <c r="B630" s="12"/>
      <c r="C630" s="12"/>
      <c r="D630" s="12"/>
      <c r="E630" s="12"/>
      <c r="F630" s="12"/>
      <c r="G630" s="12"/>
      <c r="H630" s="12"/>
      <c r="I630" s="12"/>
      <c r="J630" s="12"/>
      <c r="K630" s="12"/>
      <c r="L630" s="12"/>
      <c r="M630" s="12"/>
      <c r="N630" s="12"/>
      <c r="O630" s="12"/>
      <c r="P630" s="12"/>
      <c r="Q630" s="12"/>
      <c r="R630" s="12"/>
      <c r="S630" s="12"/>
      <c r="T630" s="12"/>
      <c r="U630" s="12"/>
      <c r="V630" s="12"/>
      <c r="W630" s="12"/>
      <c r="X630" s="12"/>
      <c r="Y630" s="12"/>
      <c r="Z630" s="12"/>
      <c r="AA630" s="12"/>
      <c r="AB630" s="12"/>
      <c r="AC630" s="12"/>
      <c r="AD630" s="12"/>
      <c r="AE630" s="12"/>
      <c r="AF630" s="12"/>
      <c r="AG630" s="12"/>
      <c r="AH630" s="12"/>
      <c r="AI630" s="12"/>
      <c r="AJ630" s="12"/>
      <c r="AK630" s="12"/>
      <c r="AL630" s="12"/>
    </row>
    <row r="631" spans="1:38" x14ac:dyDescent="0.3">
      <c r="A631" s="12"/>
      <c r="B631" s="12"/>
      <c r="C631" s="12"/>
      <c r="D631" s="12"/>
      <c r="E631" s="12"/>
      <c r="F631" s="12"/>
      <c r="G631" s="12"/>
      <c r="H631" s="12"/>
      <c r="I631" s="12"/>
      <c r="J631" s="12"/>
      <c r="K631" s="12"/>
      <c r="L631" s="12"/>
      <c r="M631" s="12"/>
      <c r="N631" s="12"/>
      <c r="O631" s="12"/>
      <c r="P631" s="12"/>
      <c r="Q631" s="12"/>
      <c r="R631" s="12"/>
      <c r="S631" s="12"/>
      <c r="T631" s="12"/>
      <c r="U631" s="12"/>
      <c r="V631" s="12"/>
      <c r="W631" s="12"/>
      <c r="X631" s="12"/>
      <c r="Y631" s="12"/>
      <c r="Z631" s="12"/>
      <c r="AA631" s="12"/>
      <c r="AB631" s="12"/>
      <c r="AC631" s="12"/>
      <c r="AD631" s="12"/>
      <c r="AE631" s="12"/>
      <c r="AF631" s="12"/>
      <c r="AG631" s="12"/>
      <c r="AH631" s="12"/>
      <c r="AI631" s="12"/>
      <c r="AJ631" s="12"/>
      <c r="AK631" s="12"/>
      <c r="AL631" s="12"/>
    </row>
    <row r="632" spans="1:38" x14ac:dyDescent="0.3">
      <c r="A632" s="12"/>
      <c r="B632" s="12"/>
      <c r="C632" s="12"/>
      <c r="D632" s="12"/>
      <c r="E632" s="12"/>
      <c r="F632" s="12"/>
      <c r="G632" s="12"/>
      <c r="H632" s="12"/>
      <c r="I632" s="12"/>
      <c r="J632" s="12"/>
      <c r="K632" s="12"/>
      <c r="L632" s="12"/>
      <c r="M632" s="12"/>
      <c r="N632" s="12"/>
      <c r="O632" s="12"/>
      <c r="P632" s="12"/>
      <c r="Q632" s="12"/>
      <c r="R632" s="12"/>
      <c r="S632" s="12"/>
      <c r="T632" s="12"/>
      <c r="U632" s="12"/>
      <c r="V632" s="12"/>
      <c r="W632" s="12"/>
      <c r="X632" s="12"/>
      <c r="Y632" s="12"/>
      <c r="Z632" s="12"/>
      <c r="AA632" s="12"/>
      <c r="AB632" s="12"/>
      <c r="AC632" s="12"/>
      <c r="AD632" s="12"/>
      <c r="AE632" s="12"/>
      <c r="AF632" s="12"/>
      <c r="AG632" s="12"/>
      <c r="AH632" s="12"/>
      <c r="AI632" s="12"/>
      <c r="AJ632" s="12"/>
      <c r="AK632" s="12"/>
      <c r="AL632" s="12"/>
    </row>
    <row r="633" spans="1:38" x14ac:dyDescent="0.3">
      <c r="A633" s="12"/>
      <c r="B633" s="12"/>
      <c r="C633" s="12"/>
      <c r="D633" s="12"/>
      <c r="E633" s="12"/>
      <c r="F633" s="12"/>
      <c r="G633" s="12"/>
      <c r="H633" s="12"/>
      <c r="I633" s="12"/>
      <c r="J633" s="12"/>
      <c r="K633" s="12"/>
      <c r="L633" s="12"/>
      <c r="M633" s="12"/>
      <c r="N633" s="12"/>
      <c r="O633" s="12"/>
      <c r="P633" s="12"/>
      <c r="Q633" s="12"/>
      <c r="R633" s="12"/>
      <c r="S633" s="12"/>
      <c r="T633" s="12"/>
      <c r="U633" s="12"/>
      <c r="V633" s="12"/>
      <c r="W633" s="12"/>
      <c r="X633" s="12"/>
      <c r="Y633" s="12"/>
      <c r="Z633" s="12"/>
      <c r="AA633" s="12"/>
      <c r="AB633" s="12"/>
      <c r="AC633" s="12"/>
      <c r="AD633" s="12"/>
      <c r="AE633" s="12"/>
      <c r="AF633" s="12"/>
      <c r="AG633" s="12"/>
      <c r="AH633" s="12"/>
      <c r="AI633" s="12"/>
      <c r="AJ633" s="12"/>
      <c r="AK633" s="12"/>
      <c r="AL633" s="12"/>
    </row>
    <row r="634" spans="1:38" x14ac:dyDescent="0.3">
      <c r="A634" s="12"/>
      <c r="B634" s="12"/>
      <c r="C634" s="12"/>
      <c r="D634" s="12"/>
      <c r="E634" s="12"/>
      <c r="F634" s="12"/>
      <c r="G634" s="12"/>
      <c r="H634" s="12"/>
      <c r="I634" s="12"/>
      <c r="J634" s="12"/>
      <c r="K634" s="12"/>
      <c r="L634" s="12"/>
      <c r="M634" s="12"/>
      <c r="N634" s="12"/>
      <c r="O634" s="12"/>
      <c r="P634" s="12"/>
      <c r="Q634" s="12"/>
      <c r="R634" s="12"/>
      <c r="S634" s="12"/>
      <c r="T634" s="12"/>
      <c r="U634" s="12"/>
      <c r="V634" s="12"/>
      <c r="W634" s="12"/>
      <c r="X634" s="12"/>
      <c r="Y634" s="12"/>
      <c r="Z634" s="12"/>
      <c r="AA634" s="12"/>
      <c r="AB634" s="12"/>
      <c r="AC634" s="12"/>
      <c r="AD634" s="12"/>
      <c r="AE634" s="12"/>
      <c r="AF634" s="12"/>
      <c r="AG634" s="12"/>
      <c r="AH634" s="12"/>
      <c r="AI634" s="12"/>
      <c r="AJ634" s="12"/>
      <c r="AK634" s="12"/>
      <c r="AL634" s="12"/>
    </row>
    <row r="635" spans="1:38" x14ac:dyDescent="0.3">
      <c r="A635" s="12"/>
      <c r="B635" s="12"/>
      <c r="C635" s="12"/>
      <c r="D635" s="12"/>
      <c r="E635" s="12"/>
      <c r="F635" s="12"/>
      <c r="G635" s="12"/>
      <c r="H635" s="12"/>
      <c r="I635" s="12"/>
      <c r="J635" s="12"/>
      <c r="K635" s="12"/>
      <c r="L635" s="12"/>
      <c r="M635" s="12"/>
      <c r="N635" s="12"/>
      <c r="O635" s="12"/>
      <c r="P635" s="12"/>
      <c r="Q635" s="12"/>
      <c r="R635" s="12"/>
      <c r="S635" s="12"/>
      <c r="T635" s="12"/>
      <c r="U635" s="12"/>
      <c r="V635" s="12"/>
      <c r="W635" s="12"/>
      <c r="X635" s="12"/>
      <c r="Y635" s="12"/>
      <c r="Z635" s="12"/>
      <c r="AA635" s="12"/>
      <c r="AB635" s="12"/>
      <c r="AC635" s="12"/>
      <c r="AD635" s="12"/>
      <c r="AE635" s="12"/>
      <c r="AF635" s="12"/>
      <c r="AG635" s="12"/>
      <c r="AH635" s="12"/>
      <c r="AI635" s="12"/>
      <c r="AJ635" s="12"/>
      <c r="AK635" s="12"/>
      <c r="AL635" s="12"/>
    </row>
    <row r="636" spans="1:38" x14ac:dyDescent="0.3">
      <c r="A636" s="12"/>
      <c r="B636" s="12"/>
      <c r="C636" s="12"/>
      <c r="D636" s="12"/>
      <c r="E636" s="12"/>
      <c r="F636" s="12"/>
      <c r="G636" s="12"/>
      <c r="H636" s="12"/>
      <c r="I636" s="12"/>
      <c r="J636" s="12"/>
      <c r="K636" s="12"/>
      <c r="L636" s="12"/>
      <c r="M636" s="12"/>
      <c r="N636" s="12"/>
      <c r="O636" s="12"/>
      <c r="P636" s="12"/>
      <c r="Q636" s="12"/>
      <c r="R636" s="12"/>
      <c r="S636" s="12"/>
      <c r="T636" s="12"/>
      <c r="U636" s="12"/>
      <c r="V636" s="12"/>
      <c r="W636" s="12"/>
      <c r="X636" s="12"/>
      <c r="Y636" s="12"/>
      <c r="Z636" s="12"/>
      <c r="AA636" s="12"/>
      <c r="AB636" s="12"/>
      <c r="AC636" s="12"/>
      <c r="AD636" s="12"/>
      <c r="AE636" s="12"/>
      <c r="AF636" s="12"/>
      <c r="AG636" s="12"/>
      <c r="AH636" s="12"/>
      <c r="AI636" s="12"/>
      <c r="AJ636" s="12"/>
      <c r="AK636" s="12"/>
      <c r="AL636" s="12"/>
    </row>
    <row r="637" spans="1:38" x14ac:dyDescent="0.3">
      <c r="A637" s="12"/>
      <c r="B637" s="12"/>
      <c r="C637" s="12"/>
      <c r="D637" s="12"/>
      <c r="E637" s="12"/>
      <c r="F637" s="12"/>
      <c r="G637" s="12"/>
      <c r="H637" s="12"/>
      <c r="I637" s="12"/>
      <c r="J637" s="12"/>
      <c r="K637" s="12"/>
      <c r="L637" s="12"/>
      <c r="M637" s="12"/>
      <c r="N637" s="12"/>
      <c r="O637" s="12"/>
      <c r="P637" s="12"/>
      <c r="Q637" s="12"/>
      <c r="R637" s="12"/>
      <c r="S637" s="12"/>
      <c r="T637" s="12"/>
      <c r="U637" s="12"/>
      <c r="V637" s="12"/>
      <c r="W637" s="12"/>
      <c r="X637" s="12"/>
      <c r="Y637" s="12"/>
      <c r="Z637" s="12"/>
      <c r="AA637" s="12"/>
      <c r="AB637" s="12"/>
      <c r="AC637" s="12"/>
      <c r="AD637" s="12"/>
      <c r="AE637" s="12"/>
      <c r="AF637" s="12"/>
      <c r="AG637" s="12"/>
      <c r="AH637" s="12"/>
      <c r="AI637" s="12"/>
      <c r="AJ637" s="12"/>
      <c r="AK637" s="12"/>
      <c r="AL637" s="12"/>
    </row>
    <row r="638" spans="1:38" x14ac:dyDescent="0.3">
      <c r="A638" s="12"/>
      <c r="B638" s="12"/>
      <c r="C638" s="12"/>
      <c r="D638" s="12"/>
      <c r="E638" s="12"/>
      <c r="F638" s="12"/>
      <c r="G638" s="12"/>
      <c r="H638" s="12"/>
      <c r="I638" s="12"/>
      <c r="J638" s="12"/>
      <c r="K638" s="12"/>
      <c r="L638" s="12"/>
      <c r="M638" s="12"/>
      <c r="N638" s="12"/>
      <c r="O638" s="12"/>
      <c r="P638" s="12"/>
      <c r="Q638" s="12"/>
      <c r="R638" s="12"/>
      <c r="S638" s="12"/>
      <c r="T638" s="12"/>
      <c r="U638" s="12"/>
      <c r="V638" s="12"/>
      <c r="W638" s="12"/>
      <c r="X638" s="12"/>
      <c r="Y638" s="12"/>
      <c r="Z638" s="12"/>
      <c r="AA638" s="12"/>
      <c r="AB638" s="12"/>
      <c r="AC638" s="12"/>
      <c r="AD638" s="12"/>
      <c r="AE638" s="12"/>
      <c r="AF638" s="12"/>
      <c r="AG638" s="12"/>
      <c r="AH638" s="12"/>
      <c r="AI638" s="12"/>
      <c r="AJ638" s="12"/>
      <c r="AK638" s="12"/>
      <c r="AL638" s="12"/>
    </row>
    <row r="639" spans="1:38" x14ac:dyDescent="0.3">
      <c r="A639" s="12"/>
      <c r="B639" s="12"/>
      <c r="C639" s="12"/>
      <c r="D639" s="12"/>
      <c r="E639" s="12"/>
      <c r="F639" s="12"/>
      <c r="G639" s="12"/>
      <c r="H639" s="12"/>
      <c r="I639" s="12"/>
      <c r="J639" s="12"/>
      <c r="K639" s="12"/>
      <c r="L639" s="12"/>
      <c r="M639" s="12"/>
      <c r="N639" s="12"/>
      <c r="O639" s="12"/>
      <c r="P639" s="12"/>
      <c r="Q639" s="12"/>
      <c r="R639" s="12"/>
      <c r="S639" s="12"/>
      <c r="T639" s="12"/>
      <c r="U639" s="12"/>
      <c r="V639" s="12"/>
      <c r="W639" s="12"/>
      <c r="X639" s="12"/>
      <c r="Y639" s="12"/>
      <c r="Z639" s="12"/>
      <c r="AA639" s="12"/>
      <c r="AB639" s="12"/>
      <c r="AC639" s="12"/>
      <c r="AD639" s="12"/>
      <c r="AE639" s="12"/>
      <c r="AF639" s="12"/>
      <c r="AG639" s="12"/>
      <c r="AH639" s="12"/>
      <c r="AI639" s="12"/>
      <c r="AJ639" s="12"/>
      <c r="AK639" s="12"/>
      <c r="AL639" s="12"/>
    </row>
    <row r="640" spans="1:38" x14ac:dyDescent="0.3">
      <c r="A640" s="12"/>
      <c r="B640" s="12"/>
      <c r="C640" s="12"/>
      <c r="D640" s="12"/>
      <c r="E640" s="12"/>
      <c r="F640" s="12"/>
      <c r="G640" s="12"/>
      <c r="H640" s="12"/>
      <c r="I640" s="12"/>
      <c r="J640" s="12"/>
      <c r="K640" s="12"/>
      <c r="L640" s="12"/>
      <c r="M640" s="12"/>
      <c r="N640" s="12"/>
      <c r="O640" s="12"/>
      <c r="P640" s="12"/>
      <c r="Q640" s="12"/>
      <c r="R640" s="12"/>
      <c r="S640" s="12"/>
      <c r="T640" s="12"/>
      <c r="U640" s="12"/>
      <c r="V640" s="12"/>
      <c r="W640" s="12"/>
      <c r="X640" s="12"/>
      <c r="Y640" s="12"/>
      <c r="Z640" s="12"/>
      <c r="AA640" s="12"/>
      <c r="AB640" s="12"/>
      <c r="AC640" s="12"/>
      <c r="AD640" s="12"/>
      <c r="AE640" s="12"/>
      <c r="AF640" s="12"/>
      <c r="AG640" s="12"/>
      <c r="AH640" s="12"/>
      <c r="AI640" s="12"/>
      <c r="AJ640" s="12"/>
      <c r="AK640" s="12"/>
      <c r="AL640" s="12"/>
    </row>
    <row r="641" spans="1:38" x14ac:dyDescent="0.3">
      <c r="A641" s="12"/>
      <c r="B641" s="12"/>
      <c r="C641" s="12"/>
      <c r="D641" s="12"/>
      <c r="E641" s="12"/>
      <c r="F641" s="12"/>
      <c r="G641" s="12"/>
      <c r="H641" s="12"/>
      <c r="I641" s="12"/>
      <c r="J641" s="12"/>
      <c r="K641" s="12"/>
      <c r="L641" s="12"/>
      <c r="M641" s="12"/>
      <c r="N641" s="12"/>
      <c r="O641" s="12"/>
      <c r="P641" s="12"/>
      <c r="Q641" s="12"/>
      <c r="R641" s="12"/>
      <c r="S641" s="12"/>
      <c r="T641" s="12"/>
      <c r="U641" s="12"/>
      <c r="V641" s="12"/>
      <c r="W641" s="12"/>
      <c r="X641" s="12"/>
      <c r="Y641" s="12"/>
      <c r="Z641" s="12"/>
      <c r="AA641" s="12"/>
      <c r="AB641" s="12"/>
      <c r="AC641" s="12"/>
      <c r="AD641" s="12"/>
      <c r="AE641" s="12"/>
      <c r="AF641" s="12"/>
      <c r="AG641" s="12"/>
      <c r="AH641" s="12"/>
      <c r="AI641" s="12"/>
      <c r="AJ641" s="12"/>
      <c r="AK641" s="12"/>
      <c r="AL641" s="12"/>
    </row>
    <row r="642" spans="1:38" x14ac:dyDescent="0.3">
      <c r="A642" s="12"/>
      <c r="B642" s="12"/>
      <c r="C642" s="12"/>
      <c r="D642" s="12"/>
      <c r="E642" s="12"/>
      <c r="F642" s="12"/>
      <c r="G642" s="12"/>
      <c r="H642" s="12"/>
      <c r="I642" s="12"/>
      <c r="J642" s="12"/>
      <c r="K642" s="12"/>
      <c r="L642" s="12"/>
      <c r="M642" s="12"/>
      <c r="N642" s="12"/>
      <c r="O642" s="12"/>
      <c r="P642" s="12"/>
      <c r="Q642" s="12"/>
      <c r="R642" s="12"/>
      <c r="S642" s="12"/>
      <c r="T642" s="12"/>
      <c r="U642" s="12"/>
      <c r="V642" s="12"/>
      <c r="W642" s="12"/>
      <c r="X642" s="12"/>
      <c r="Y642" s="12"/>
      <c r="Z642" s="12"/>
      <c r="AA642" s="12"/>
      <c r="AB642" s="12"/>
      <c r="AC642" s="12"/>
      <c r="AD642" s="12"/>
      <c r="AE642" s="12"/>
      <c r="AF642" s="12"/>
      <c r="AG642" s="12"/>
      <c r="AH642" s="12"/>
      <c r="AI642" s="12"/>
      <c r="AJ642" s="12"/>
      <c r="AK642" s="12"/>
      <c r="AL642" s="12"/>
    </row>
    <row r="643" spans="1:38" x14ac:dyDescent="0.3">
      <c r="A643" s="12"/>
      <c r="B643" s="12"/>
      <c r="C643" s="12"/>
      <c r="D643" s="12"/>
      <c r="E643" s="12"/>
      <c r="F643" s="12"/>
      <c r="G643" s="12"/>
      <c r="H643" s="12"/>
      <c r="I643" s="12"/>
      <c r="J643" s="12"/>
      <c r="K643" s="12"/>
      <c r="L643" s="12"/>
      <c r="M643" s="12"/>
      <c r="N643" s="12"/>
      <c r="O643" s="12"/>
      <c r="P643" s="12"/>
      <c r="Q643" s="12"/>
      <c r="R643" s="12"/>
      <c r="S643" s="12"/>
      <c r="T643" s="12"/>
      <c r="U643" s="12"/>
      <c r="V643" s="12"/>
      <c r="W643" s="12"/>
      <c r="X643" s="12"/>
      <c r="Y643" s="12"/>
      <c r="Z643" s="12"/>
      <c r="AA643" s="12"/>
      <c r="AB643" s="12"/>
      <c r="AC643" s="12"/>
      <c r="AD643" s="12"/>
      <c r="AE643" s="12"/>
      <c r="AF643" s="12"/>
      <c r="AG643" s="12"/>
      <c r="AH643" s="12"/>
      <c r="AI643" s="12"/>
      <c r="AJ643" s="12"/>
      <c r="AK643" s="12"/>
      <c r="AL643" s="12"/>
    </row>
    <row r="644" spans="1:38" x14ac:dyDescent="0.3">
      <c r="A644" s="12"/>
      <c r="B644" s="12"/>
      <c r="C644" s="12"/>
      <c r="D644" s="12"/>
      <c r="E644" s="12"/>
      <c r="F644" s="12"/>
      <c r="G644" s="12"/>
      <c r="H644" s="12"/>
      <c r="I644" s="12"/>
      <c r="J644" s="12"/>
      <c r="K644" s="12"/>
      <c r="L644" s="12"/>
      <c r="M644" s="12"/>
      <c r="N644" s="12"/>
      <c r="O644" s="12"/>
      <c r="P644" s="12"/>
      <c r="Q644" s="12"/>
      <c r="R644" s="12"/>
      <c r="S644" s="12"/>
      <c r="T644" s="12"/>
      <c r="U644" s="12"/>
      <c r="V644" s="12"/>
      <c r="W644" s="12"/>
      <c r="X644" s="12"/>
      <c r="Y644" s="12"/>
      <c r="Z644" s="12"/>
      <c r="AA644" s="12"/>
      <c r="AB644" s="12"/>
      <c r="AC644" s="12"/>
      <c r="AD644" s="12"/>
      <c r="AE644" s="12"/>
      <c r="AF644" s="12"/>
      <c r="AG644" s="12"/>
      <c r="AH644" s="12"/>
      <c r="AI644" s="12"/>
      <c r="AJ644" s="12"/>
      <c r="AK644" s="12"/>
      <c r="AL644" s="12"/>
    </row>
    <row r="645" spans="1:38" x14ac:dyDescent="0.3">
      <c r="A645" s="12"/>
      <c r="B645" s="12"/>
      <c r="C645" s="12"/>
      <c r="D645" s="12"/>
      <c r="E645" s="12"/>
      <c r="F645" s="12"/>
      <c r="G645" s="12"/>
      <c r="H645" s="12"/>
      <c r="I645" s="12"/>
      <c r="J645" s="12"/>
      <c r="K645" s="12"/>
      <c r="L645" s="12"/>
      <c r="M645" s="12"/>
      <c r="N645" s="12"/>
      <c r="O645" s="12"/>
      <c r="P645" s="12"/>
      <c r="Q645" s="12"/>
      <c r="R645" s="12"/>
      <c r="S645" s="12"/>
      <c r="T645" s="12"/>
      <c r="U645" s="12"/>
      <c r="V645" s="12"/>
      <c r="W645" s="12"/>
      <c r="X645" s="12"/>
      <c r="Y645" s="12"/>
      <c r="Z645" s="12"/>
      <c r="AA645" s="12"/>
      <c r="AB645" s="12"/>
      <c r="AC645" s="12"/>
      <c r="AD645" s="12"/>
      <c r="AE645" s="12"/>
      <c r="AF645" s="12"/>
      <c r="AG645" s="12"/>
      <c r="AH645" s="12"/>
      <c r="AI645" s="12"/>
      <c r="AJ645" s="12"/>
      <c r="AK645" s="12"/>
      <c r="AL645" s="12"/>
    </row>
    <row r="646" spans="1:38" x14ac:dyDescent="0.3">
      <c r="A646" s="12"/>
      <c r="B646" s="12"/>
      <c r="C646" s="12"/>
      <c r="D646" s="12"/>
      <c r="E646" s="12"/>
      <c r="F646" s="12"/>
      <c r="G646" s="12"/>
      <c r="H646" s="12"/>
      <c r="I646" s="12"/>
      <c r="J646" s="12"/>
      <c r="K646" s="12"/>
      <c r="L646" s="12"/>
      <c r="M646" s="12"/>
      <c r="N646" s="12"/>
      <c r="O646" s="12"/>
      <c r="P646" s="12"/>
      <c r="Q646" s="12"/>
      <c r="R646" s="12"/>
      <c r="S646" s="12"/>
      <c r="T646" s="12"/>
      <c r="U646" s="12"/>
      <c r="V646" s="12"/>
      <c r="W646" s="12"/>
      <c r="X646" s="12"/>
      <c r="Y646" s="12"/>
      <c r="Z646" s="12"/>
      <c r="AA646" s="12"/>
      <c r="AB646" s="12"/>
      <c r="AC646" s="12"/>
      <c r="AD646" s="12"/>
      <c r="AE646" s="12"/>
      <c r="AF646" s="12"/>
      <c r="AG646" s="12"/>
      <c r="AH646" s="12"/>
      <c r="AI646" s="12"/>
      <c r="AJ646" s="12"/>
      <c r="AK646" s="12"/>
      <c r="AL646" s="12"/>
    </row>
    <row r="647" spans="1:38" x14ac:dyDescent="0.3">
      <c r="A647" s="12"/>
      <c r="B647" s="12"/>
      <c r="C647" s="12"/>
      <c r="D647" s="12"/>
      <c r="E647" s="12"/>
      <c r="F647" s="12"/>
      <c r="G647" s="12"/>
      <c r="H647" s="12"/>
      <c r="I647" s="12"/>
      <c r="J647" s="12"/>
      <c r="K647" s="12"/>
      <c r="L647" s="12"/>
      <c r="M647" s="12"/>
      <c r="N647" s="12"/>
      <c r="O647" s="12"/>
      <c r="P647" s="12"/>
      <c r="Q647" s="12"/>
      <c r="R647" s="12"/>
      <c r="S647" s="12"/>
      <c r="T647" s="12"/>
      <c r="U647" s="12"/>
      <c r="V647" s="12"/>
      <c r="W647" s="12"/>
      <c r="X647" s="12"/>
      <c r="Y647" s="12"/>
      <c r="Z647" s="12"/>
      <c r="AA647" s="12"/>
      <c r="AB647" s="12"/>
      <c r="AC647" s="12"/>
      <c r="AD647" s="12"/>
      <c r="AE647" s="12"/>
      <c r="AF647" s="12"/>
      <c r="AG647" s="12"/>
      <c r="AH647" s="12"/>
      <c r="AI647" s="12"/>
      <c r="AJ647" s="12"/>
      <c r="AK647" s="12"/>
      <c r="AL647" s="12"/>
    </row>
    <row r="648" spans="1:38" x14ac:dyDescent="0.3">
      <c r="A648" s="12"/>
      <c r="B648" s="12"/>
      <c r="C648" s="12"/>
      <c r="D648" s="12"/>
      <c r="E648" s="12"/>
      <c r="F648" s="12"/>
      <c r="G648" s="12"/>
      <c r="H648" s="12"/>
      <c r="I648" s="12"/>
      <c r="J648" s="12"/>
      <c r="K648" s="12"/>
      <c r="L648" s="12"/>
      <c r="M648" s="12"/>
      <c r="N648" s="12"/>
      <c r="O648" s="12"/>
      <c r="P648" s="12"/>
      <c r="Q648" s="12"/>
      <c r="R648" s="12"/>
      <c r="S648" s="12"/>
      <c r="T648" s="12"/>
      <c r="U648" s="12"/>
      <c r="V648" s="12"/>
      <c r="W648" s="12"/>
      <c r="X648" s="12"/>
      <c r="Y648" s="12"/>
      <c r="Z648" s="12"/>
      <c r="AA648" s="12"/>
      <c r="AB648" s="12"/>
      <c r="AC648" s="12"/>
      <c r="AD648" s="12"/>
      <c r="AE648" s="12"/>
      <c r="AF648" s="12"/>
      <c r="AG648" s="12"/>
      <c r="AH648" s="12"/>
      <c r="AI648" s="12"/>
      <c r="AJ648" s="12"/>
      <c r="AK648" s="12"/>
      <c r="AL648" s="12"/>
    </row>
    <row r="649" spans="1:38" x14ac:dyDescent="0.3">
      <c r="A649" s="12"/>
      <c r="B649" s="12"/>
      <c r="C649" s="12"/>
      <c r="D649" s="12"/>
      <c r="E649" s="12"/>
      <c r="F649" s="12"/>
      <c r="G649" s="12"/>
      <c r="H649" s="12"/>
      <c r="I649" s="12"/>
      <c r="J649" s="12"/>
      <c r="K649" s="12"/>
      <c r="L649" s="12"/>
      <c r="M649" s="12"/>
      <c r="N649" s="12"/>
      <c r="O649" s="12"/>
      <c r="P649" s="12"/>
      <c r="Q649" s="12"/>
      <c r="R649" s="12"/>
      <c r="S649" s="12"/>
      <c r="T649" s="12"/>
      <c r="U649" s="12"/>
      <c r="V649" s="12"/>
      <c r="W649" s="12"/>
      <c r="X649" s="12"/>
      <c r="Y649" s="12"/>
      <c r="Z649" s="12"/>
      <c r="AA649" s="12"/>
      <c r="AB649" s="12"/>
      <c r="AC649" s="12"/>
      <c r="AD649" s="12"/>
      <c r="AE649" s="12"/>
      <c r="AF649" s="12"/>
      <c r="AG649" s="12"/>
      <c r="AH649" s="12"/>
      <c r="AI649" s="12"/>
      <c r="AJ649" s="12"/>
      <c r="AK649" s="12"/>
      <c r="AL649" s="12"/>
    </row>
    <row r="650" spans="1:38" x14ac:dyDescent="0.3">
      <c r="A650" s="12"/>
      <c r="B650" s="12"/>
      <c r="C650" s="12"/>
      <c r="D650" s="12"/>
      <c r="E650" s="12"/>
      <c r="F650" s="12"/>
      <c r="G650" s="12"/>
      <c r="H650" s="12"/>
      <c r="I650" s="12"/>
      <c r="J650" s="12"/>
      <c r="K650" s="12"/>
      <c r="L650" s="12"/>
      <c r="M650" s="12"/>
      <c r="N650" s="12"/>
      <c r="O650" s="12"/>
      <c r="P650" s="12"/>
      <c r="Q650" s="12"/>
      <c r="R650" s="12"/>
      <c r="S650" s="12"/>
      <c r="T650" s="12"/>
      <c r="U650" s="12"/>
      <c r="V650" s="12"/>
      <c r="W650" s="12"/>
      <c r="X650" s="12"/>
      <c r="Y650" s="12"/>
      <c r="Z650" s="12"/>
      <c r="AA650" s="12"/>
      <c r="AB650" s="12"/>
      <c r="AC650" s="12"/>
      <c r="AD650" s="12"/>
      <c r="AE650" s="12"/>
      <c r="AF650" s="12"/>
      <c r="AG650" s="12"/>
      <c r="AH650" s="12"/>
      <c r="AI650" s="12"/>
      <c r="AJ650" s="12"/>
      <c r="AK650" s="12"/>
      <c r="AL650" s="12"/>
    </row>
    <row r="651" spans="1:38" x14ac:dyDescent="0.3">
      <c r="A651" s="12"/>
      <c r="B651" s="12"/>
      <c r="C651" s="12"/>
      <c r="D651" s="12"/>
      <c r="E651" s="12"/>
      <c r="F651" s="12"/>
      <c r="G651" s="12"/>
      <c r="H651" s="12"/>
      <c r="I651" s="12"/>
      <c r="J651" s="12"/>
      <c r="K651" s="12"/>
      <c r="L651" s="12"/>
      <c r="M651" s="12"/>
      <c r="N651" s="12"/>
      <c r="O651" s="12"/>
      <c r="P651" s="12"/>
      <c r="Q651" s="12"/>
      <c r="R651" s="12"/>
      <c r="S651" s="12"/>
      <c r="T651" s="12"/>
      <c r="U651" s="12"/>
      <c r="V651" s="12"/>
      <c r="W651" s="12"/>
      <c r="X651" s="12"/>
      <c r="Y651" s="12"/>
      <c r="Z651" s="12"/>
      <c r="AA651" s="12"/>
      <c r="AB651" s="12"/>
      <c r="AC651" s="12"/>
      <c r="AD651" s="12"/>
      <c r="AE651" s="12"/>
      <c r="AF651" s="12"/>
      <c r="AG651" s="12"/>
      <c r="AH651" s="12"/>
      <c r="AI651" s="12"/>
      <c r="AJ651" s="12"/>
      <c r="AK651" s="12"/>
      <c r="AL651" s="12"/>
    </row>
    <row r="652" spans="1:38" x14ac:dyDescent="0.3">
      <c r="A652" s="12"/>
      <c r="B652" s="12"/>
      <c r="C652" s="12"/>
      <c r="D652" s="12"/>
      <c r="E652" s="12"/>
      <c r="F652" s="12"/>
      <c r="G652" s="12"/>
      <c r="H652" s="12"/>
      <c r="I652" s="12"/>
      <c r="J652" s="12"/>
      <c r="K652" s="12"/>
      <c r="L652" s="12"/>
      <c r="M652" s="12"/>
      <c r="N652" s="12"/>
      <c r="O652" s="12"/>
      <c r="P652" s="12"/>
      <c r="Q652" s="12"/>
      <c r="R652" s="12"/>
      <c r="S652" s="12"/>
      <c r="T652" s="12"/>
      <c r="U652" s="12"/>
      <c r="V652" s="12"/>
      <c r="W652" s="12"/>
      <c r="X652" s="12"/>
      <c r="Y652" s="12"/>
      <c r="Z652" s="12"/>
      <c r="AA652" s="12"/>
      <c r="AB652" s="12"/>
      <c r="AC652" s="12"/>
      <c r="AD652" s="12"/>
      <c r="AE652" s="12"/>
      <c r="AF652" s="12"/>
      <c r="AG652" s="12"/>
      <c r="AH652" s="12"/>
      <c r="AI652" s="12"/>
      <c r="AJ652" s="12"/>
      <c r="AK652" s="12"/>
      <c r="AL652" s="12"/>
    </row>
    <row r="653" spans="1:38" x14ac:dyDescent="0.3">
      <c r="A653" s="12"/>
      <c r="B653" s="12"/>
      <c r="C653" s="12"/>
      <c r="D653" s="12"/>
      <c r="E653" s="12"/>
      <c r="F653" s="12"/>
      <c r="G653" s="12"/>
      <c r="H653" s="12"/>
      <c r="I653" s="12"/>
      <c r="J653" s="12"/>
      <c r="K653" s="12"/>
      <c r="L653" s="12"/>
      <c r="M653" s="12"/>
      <c r="N653" s="12"/>
      <c r="O653" s="12"/>
      <c r="P653" s="12"/>
      <c r="Q653" s="12"/>
      <c r="R653" s="12"/>
      <c r="S653" s="12"/>
      <c r="T653" s="12"/>
      <c r="U653" s="12"/>
      <c r="V653" s="12"/>
      <c r="W653" s="12"/>
      <c r="X653" s="12"/>
      <c r="Y653" s="12"/>
      <c r="Z653" s="12"/>
      <c r="AA653" s="12"/>
      <c r="AB653" s="12"/>
      <c r="AC653" s="12"/>
      <c r="AD653" s="12"/>
      <c r="AE653" s="12"/>
      <c r="AF653" s="12"/>
      <c r="AG653" s="12"/>
      <c r="AH653" s="12"/>
      <c r="AI653" s="12"/>
      <c r="AJ653" s="12"/>
      <c r="AK653" s="12"/>
      <c r="AL653" s="12"/>
    </row>
    <row r="654" spans="1:38" x14ac:dyDescent="0.3">
      <c r="A654" s="12"/>
      <c r="B654" s="12"/>
      <c r="C654" s="12"/>
      <c r="D654" s="12"/>
      <c r="E654" s="12"/>
      <c r="F654" s="12"/>
      <c r="G654" s="12"/>
      <c r="H654" s="12"/>
      <c r="I654" s="12"/>
      <c r="J654" s="12"/>
      <c r="K654" s="12"/>
      <c r="L654" s="12"/>
      <c r="M654" s="12"/>
      <c r="N654" s="12"/>
      <c r="O654" s="12"/>
      <c r="P654" s="12"/>
      <c r="Q654" s="12"/>
      <c r="R654" s="12"/>
      <c r="S654" s="12"/>
      <c r="T654" s="12"/>
      <c r="U654" s="12"/>
      <c r="V654" s="12"/>
      <c r="W654" s="12"/>
      <c r="X654" s="12"/>
      <c r="Y654" s="12"/>
      <c r="Z654" s="12"/>
      <c r="AA654" s="12"/>
      <c r="AB654" s="12"/>
      <c r="AC654" s="12"/>
      <c r="AD654" s="12"/>
      <c r="AE654" s="12"/>
      <c r="AF654" s="12"/>
      <c r="AG654" s="12"/>
      <c r="AH654" s="12"/>
      <c r="AI654" s="12"/>
      <c r="AJ654" s="12"/>
      <c r="AK654" s="12"/>
      <c r="AL654" s="12"/>
    </row>
    <row r="655" spans="1:38" x14ac:dyDescent="0.3">
      <c r="A655" s="12"/>
      <c r="B655" s="12"/>
      <c r="C655" s="12"/>
      <c r="D655" s="12"/>
      <c r="E655" s="12"/>
      <c r="F655" s="12"/>
      <c r="G655" s="12"/>
      <c r="H655" s="12"/>
      <c r="I655" s="12"/>
      <c r="J655" s="12"/>
      <c r="K655" s="12"/>
      <c r="L655" s="12"/>
      <c r="M655" s="12"/>
      <c r="N655" s="12"/>
      <c r="O655" s="12"/>
      <c r="P655" s="12"/>
      <c r="Q655" s="12"/>
      <c r="R655" s="12"/>
      <c r="S655" s="12"/>
      <c r="T655" s="12"/>
      <c r="U655" s="12"/>
      <c r="V655" s="12"/>
      <c r="W655" s="12"/>
      <c r="X655" s="12"/>
      <c r="Y655" s="12"/>
      <c r="Z655" s="12"/>
      <c r="AA655" s="12"/>
      <c r="AB655" s="12"/>
      <c r="AC655" s="12"/>
      <c r="AD655" s="12"/>
      <c r="AE655" s="12"/>
      <c r="AF655" s="12"/>
      <c r="AG655" s="12"/>
      <c r="AH655" s="12"/>
      <c r="AI655" s="12"/>
      <c r="AJ655" s="12"/>
      <c r="AK655" s="12"/>
      <c r="AL655" s="12"/>
    </row>
    <row r="656" spans="1:38" x14ac:dyDescent="0.3">
      <c r="A656" s="12"/>
      <c r="B656" s="12"/>
      <c r="C656" s="12"/>
      <c r="D656" s="12"/>
      <c r="E656" s="12"/>
      <c r="F656" s="12"/>
      <c r="G656" s="12"/>
      <c r="H656" s="12"/>
      <c r="I656" s="12"/>
      <c r="J656" s="12"/>
      <c r="K656" s="12"/>
      <c r="L656" s="12"/>
      <c r="M656" s="12"/>
      <c r="N656" s="12"/>
      <c r="O656" s="12"/>
      <c r="P656" s="12"/>
      <c r="Q656" s="12"/>
      <c r="R656" s="12"/>
      <c r="S656" s="12"/>
      <c r="T656" s="12"/>
      <c r="U656" s="12"/>
      <c r="V656" s="12"/>
      <c r="W656" s="12"/>
      <c r="X656" s="12"/>
      <c r="Y656" s="12"/>
      <c r="Z656" s="12"/>
      <c r="AA656" s="12"/>
      <c r="AB656" s="12"/>
      <c r="AC656" s="12"/>
      <c r="AD656" s="12"/>
      <c r="AE656" s="12"/>
      <c r="AF656" s="12"/>
      <c r="AG656" s="12"/>
      <c r="AH656" s="12"/>
      <c r="AI656" s="12"/>
      <c r="AJ656" s="12"/>
      <c r="AK656" s="12"/>
      <c r="AL656" s="12"/>
    </row>
    <row r="657" spans="1:38" x14ac:dyDescent="0.3">
      <c r="A657" s="12"/>
      <c r="B657" s="12"/>
      <c r="C657" s="12"/>
      <c r="D657" s="12"/>
      <c r="E657" s="12"/>
      <c r="F657" s="12"/>
      <c r="G657" s="12"/>
      <c r="H657" s="12"/>
      <c r="I657" s="12"/>
      <c r="J657" s="12"/>
      <c r="K657" s="12"/>
      <c r="L657" s="12"/>
      <c r="M657" s="12"/>
      <c r="N657" s="12"/>
      <c r="O657" s="12"/>
      <c r="P657" s="12"/>
      <c r="Q657" s="12"/>
      <c r="R657" s="12"/>
      <c r="S657" s="12"/>
      <c r="T657" s="12"/>
      <c r="U657" s="12"/>
      <c r="V657" s="12"/>
      <c r="W657" s="12"/>
      <c r="X657" s="12"/>
      <c r="Y657" s="12"/>
      <c r="Z657" s="12"/>
      <c r="AA657" s="12"/>
      <c r="AB657" s="12"/>
      <c r="AC657" s="12"/>
      <c r="AD657" s="12"/>
      <c r="AE657" s="12"/>
      <c r="AF657" s="12"/>
      <c r="AG657" s="12"/>
      <c r="AH657" s="12"/>
      <c r="AI657" s="12"/>
      <c r="AJ657" s="12"/>
      <c r="AK657" s="12"/>
      <c r="AL657" s="12"/>
    </row>
    <row r="658" spans="1:38" x14ac:dyDescent="0.3">
      <c r="A658" s="12"/>
      <c r="B658" s="12"/>
      <c r="C658" s="12"/>
      <c r="D658" s="12"/>
      <c r="E658" s="12"/>
      <c r="F658" s="12"/>
      <c r="G658" s="12"/>
      <c r="H658" s="12"/>
      <c r="I658" s="12"/>
      <c r="J658" s="12"/>
      <c r="K658" s="12"/>
      <c r="L658" s="12"/>
      <c r="M658" s="12"/>
      <c r="N658" s="12"/>
      <c r="O658" s="12"/>
      <c r="P658" s="12"/>
      <c r="Q658" s="12"/>
      <c r="R658" s="12"/>
      <c r="S658" s="12"/>
      <c r="T658" s="12"/>
      <c r="U658" s="12"/>
      <c r="V658" s="12"/>
      <c r="W658" s="12"/>
      <c r="X658" s="12"/>
      <c r="Y658" s="12"/>
      <c r="Z658" s="12"/>
      <c r="AA658" s="12"/>
      <c r="AB658" s="12"/>
      <c r="AC658" s="12"/>
      <c r="AD658" s="12"/>
      <c r="AE658" s="12"/>
      <c r="AF658" s="12"/>
      <c r="AG658" s="12"/>
      <c r="AH658" s="12"/>
      <c r="AI658" s="12"/>
      <c r="AJ658" s="12"/>
      <c r="AK658" s="12"/>
      <c r="AL658" s="12"/>
    </row>
    <row r="659" spans="1:38" x14ac:dyDescent="0.3">
      <c r="A659" s="12"/>
      <c r="B659" s="12"/>
      <c r="C659" s="12"/>
      <c r="D659" s="12"/>
      <c r="E659" s="12"/>
      <c r="F659" s="12"/>
      <c r="G659" s="12"/>
      <c r="H659" s="12"/>
      <c r="I659" s="12"/>
      <c r="J659" s="12"/>
      <c r="K659" s="12"/>
      <c r="L659" s="12"/>
      <c r="M659" s="12"/>
      <c r="N659" s="12"/>
      <c r="O659" s="12"/>
      <c r="P659" s="12"/>
      <c r="Q659" s="12"/>
      <c r="R659" s="12"/>
      <c r="S659" s="12"/>
      <c r="T659" s="12"/>
      <c r="U659" s="12"/>
      <c r="V659" s="12"/>
      <c r="W659" s="12"/>
      <c r="X659" s="12"/>
      <c r="Y659" s="12"/>
      <c r="Z659" s="12"/>
      <c r="AA659" s="12"/>
      <c r="AB659" s="12"/>
      <c r="AC659" s="12"/>
      <c r="AD659" s="12"/>
      <c r="AE659" s="12"/>
      <c r="AF659" s="12"/>
      <c r="AG659" s="12"/>
      <c r="AH659" s="12"/>
      <c r="AI659" s="12"/>
      <c r="AJ659" s="12"/>
      <c r="AK659" s="12"/>
      <c r="AL659" s="12"/>
    </row>
    <row r="660" spans="1:38" x14ac:dyDescent="0.3">
      <c r="A660" s="12"/>
      <c r="B660" s="12"/>
      <c r="C660" s="12"/>
      <c r="D660" s="12"/>
      <c r="E660" s="12"/>
      <c r="F660" s="12"/>
      <c r="G660" s="12"/>
      <c r="H660" s="12"/>
      <c r="I660" s="12"/>
      <c r="J660" s="12"/>
      <c r="K660" s="12"/>
      <c r="L660" s="12"/>
      <c r="M660" s="12"/>
      <c r="N660" s="12"/>
      <c r="O660" s="12"/>
      <c r="P660" s="12"/>
      <c r="Q660" s="12"/>
      <c r="R660" s="12"/>
      <c r="S660" s="12"/>
      <c r="T660" s="12"/>
      <c r="U660" s="12"/>
      <c r="V660" s="12"/>
      <c r="W660" s="12"/>
      <c r="X660" s="12"/>
      <c r="Y660" s="12"/>
      <c r="Z660" s="12"/>
      <c r="AA660" s="12"/>
      <c r="AB660" s="12"/>
      <c r="AC660" s="12"/>
      <c r="AD660" s="12"/>
      <c r="AE660" s="12"/>
      <c r="AF660" s="12"/>
      <c r="AG660" s="12"/>
      <c r="AH660" s="12"/>
      <c r="AI660" s="12"/>
      <c r="AJ660" s="12"/>
      <c r="AK660" s="12"/>
      <c r="AL660" s="12"/>
    </row>
    <row r="661" spans="1:38" x14ac:dyDescent="0.3">
      <c r="A661" s="12"/>
      <c r="B661" s="12"/>
      <c r="C661" s="12"/>
      <c r="D661" s="12"/>
      <c r="E661" s="12"/>
      <c r="F661" s="12"/>
      <c r="G661" s="12"/>
      <c r="H661" s="12"/>
      <c r="I661" s="12"/>
      <c r="J661" s="12"/>
      <c r="K661" s="12"/>
      <c r="L661" s="12"/>
      <c r="M661" s="12"/>
      <c r="N661" s="12"/>
      <c r="O661" s="12"/>
      <c r="P661" s="12"/>
      <c r="Q661" s="12"/>
      <c r="R661" s="12"/>
      <c r="S661" s="12"/>
      <c r="T661" s="12"/>
      <c r="U661" s="12"/>
      <c r="V661" s="12"/>
      <c r="W661" s="12"/>
      <c r="X661" s="12"/>
      <c r="Y661" s="12"/>
      <c r="Z661" s="12"/>
      <c r="AA661" s="12"/>
      <c r="AB661" s="12"/>
      <c r="AC661" s="12"/>
      <c r="AD661" s="12"/>
      <c r="AE661" s="12"/>
      <c r="AF661" s="12"/>
      <c r="AG661" s="12"/>
      <c r="AH661" s="12"/>
      <c r="AI661" s="12"/>
      <c r="AJ661" s="12"/>
      <c r="AK661" s="12"/>
      <c r="AL661" s="12"/>
    </row>
    <row r="662" spans="1:38" x14ac:dyDescent="0.3">
      <c r="A662" s="12"/>
      <c r="B662" s="12"/>
      <c r="C662" s="12"/>
      <c r="D662" s="12"/>
      <c r="E662" s="12"/>
      <c r="F662" s="12"/>
      <c r="G662" s="12"/>
      <c r="H662" s="12"/>
      <c r="I662" s="12"/>
      <c r="J662" s="12"/>
      <c r="K662" s="12"/>
      <c r="L662" s="12"/>
      <c r="M662" s="12"/>
      <c r="N662" s="12"/>
      <c r="O662" s="12"/>
      <c r="P662" s="12"/>
      <c r="Q662" s="12"/>
      <c r="R662" s="12"/>
      <c r="S662" s="12"/>
      <c r="T662" s="12"/>
      <c r="U662" s="12"/>
      <c r="V662" s="12"/>
      <c r="W662" s="12"/>
      <c r="X662" s="12"/>
      <c r="Y662" s="12"/>
      <c r="Z662" s="12"/>
      <c r="AA662" s="12"/>
      <c r="AB662" s="12"/>
      <c r="AC662" s="12"/>
      <c r="AD662" s="12"/>
      <c r="AE662" s="12"/>
      <c r="AF662" s="12"/>
      <c r="AG662" s="12"/>
      <c r="AH662" s="12"/>
      <c r="AI662" s="12"/>
      <c r="AJ662" s="12"/>
      <c r="AK662" s="12"/>
      <c r="AL662" s="12"/>
    </row>
    <row r="663" spans="1:38" x14ac:dyDescent="0.3">
      <c r="A663" s="12"/>
      <c r="B663" s="12"/>
      <c r="C663" s="12"/>
      <c r="D663" s="12"/>
      <c r="E663" s="12"/>
      <c r="F663" s="12"/>
      <c r="G663" s="12"/>
      <c r="H663" s="12"/>
      <c r="I663" s="12"/>
      <c r="J663" s="12"/>
      <c r="K663" s="12"/>
      <c r="L663" s="12"/>
      <c r="M663" s="12"/>
      <c r="N663" s="12"/>
      <c r="O663" s="12"/>
      <c r="P663" s="12"/>
      <c r="Q663" s="12"/>
      <c r="R663" s="12"/>
      <c r="S663" s="12"/>
      <c r="T663" s="12"/>
      <c r="U663" s="12"/>
      <c r="V663" s="12"/>
      <c r="W663" s="12"/>
      <c r="X663" s="12"/>
      <c r="Y663" s="12"/>
      <c r="Z663" s="12"/>
      <c r="AA663" s="12"/>
      <c r="AB663" s="12"/>
      <c r="AC663" s="12"/>
      <c r="AD663" s="12"/>
      <c r="AE663" s="12"/>
      <c r="AF663" s="12"/>
      <c r="AG663" s="12"/>
      <c r="AH663" s="12"/>
      <c r="AI663" s="12"/>
      <c r="AJ663" s="12"/>
      <c r="AK663" s="12"/>
      <c r="AL663" s="12"/>
    </row>
    <row r="664" spans="1:38" x14ac:dyDescent="0.3">
      <c r="A664" s="12"/>
      <c r="B664" s="12"/>
      <c r="C664" s="12"/>
      <c r="D664" s="12"/>
      <c r="E664" s="12"/>
      <c r="F664" s="12"/>
      <c r="G664" s="12"/>
      <c r="H664" s="12"/>
      <c r="I664" s="12"/>
      <c r="J664" s="12"/>
      <c r="K664" s="12"/>
      <c r="L664" s="12"/>
      <c r="M664" s="12"/>
      <c r="N664" s="12"/>
      <c r="O664" s="12"/>
      <c r="P664" s="12"/>
      <c r="Q664" s="12"/>
      <c r="R664" s="12"/>
      <c r="S664" s="12"/>
      <c r="T664" s="12"/>
      <c r="U664" s="12"/>
      <c r="V664" s="12"/>
      <c r="W664" s="12"/>
      <c r="X664" s="12"/>
      <c r="Y664" s="12"/>
      <c r="Z664" s="12"/>
      <c r="AA664" s="12"/>
      <c r="AB664" s="12"/>
      <c r="AC664" s="12"/>
      <c r="AD664" s="12"/>
      <c r="AE664" s="12"/>
      <c r="AF664" s="12"/>
      <c r="AG664" s="12"/>
      <c r="AH664" s="12"/>
      <c r="AI664" s="12"/>
      <c r="AJ664" s="12"/>
      <c r="AK664" s="12"/>
      <c r="AL664" s="12"/>
    </row>
    <row r="665" spans="1:38" x14ac:dyDescent="0.3">
      <c r="A665" s="12"/>
      <c r="B665" s="12"/>
      <c r="C665" s="12"/>
      <c r="D665" s="12"/>
      <c r="E665" s="12"/>
      <c r="F665" s="12"/>
      <c r="G665" s="12"/>
      <c r="H665" s="12"/>
      <c r="I665" s="12"/>
      <c r="J665" s="12"/>
      <c r="K665" s="12"/>
      <c r="L665" s="12"/>
      <c r="M665" s="12"/>
      <c r="N665" s="12"/>
      <c r="O665" s="12"/>
      <c r="P665" s="12"/>
      <c r="Q665" s="12"/>
      <c r="R665" s="12"/>
      <c r="S665" s="12"/>
      <c r="T665" s="12"/>
      <c r="U665" s="12"/>
      <c r="V665" s="12"/>
      <c r="W665" s="12"/>
      <c r="X665" s="12"/>
      <c r="Y665" s="12"/>
      <c r="Z665" s="12"/>
      <c r="AA665" s="12"/>
      <c r="AB665" s="12"/>
      <c r="AC665" s="12"/>
      <c r="AD665" s="12"/>
      <c r="AE665" s="12"/>
      <c r="AF665" s="12"/>
      <c r="AG665" s="12"/>
      <c r="AH665" s="12"/>
      <c r="AI665" s="12"/>
      <c r="AJ665" s="12"/>
      <c r="AK665" s="12"/>
      <c r="AL665" s="12"/>
    </row>
    <row r="666" spans="1:38" x14ac:dyDescent="0.3">
      <c r="A666" s="12"/>
      <c r="B666" s="12"/>
      <c r="C666" s="12"/>
      <c r="D666" s="12"/>
      <c r="E666" s="12"/>
      <c r="F666" s="12"/>
      <c r="G666" s="12"/>
      <c r="H666" s="12"/>
      <c r="I666" s="12"/>
      <c r="J666" s="12"/>
      <c r="K666" s="12"/>
      <c r="L666" s="12"/>
      <c r="M666" s="12"/>
      <c r="N666" s="12"/>
      <c r="O666" s="12"/>
      <c r="P666" s="12"/>
      <c r="Q666" s="12"/>
      <c r="R666" s="12"/>
      <c r="S666" s="12"/>
      <c r="T666" s="12"/>
      <c r="U666" s="12"/>
      <c r="V666" s="12"/>
      <c r="W666" s="12"/>
      <c r="X666" s="12"/>
      <c r="Y666" s="12"/>
      <c r="Z666" s="12"/>
      <c r="AA666" s="12"/>
      <c r="AB666" s="12"/>
      <c r="AC666" s="12"/>
      <c r="AD666" s="12"/>
      <c r="AE666" s="12"/>
      <c r="AF666" s="12"/>
      <c r="AG666" s="12"/>
      <c r="AH666" s="12"/>
      <c r="AI666" s="12"/>
      <c r="AJ666" s="12"/>
      <c r="AK666" s="12"/>
      <c r="AL666" s="12"/>
    </row>
    <row r="667" spans="1:38" x14ac:dyDescent="0.3">
      <c r="A667" s="12"/>
      <c r="B667" s="12"/>
      <c r="C667" s="12"/>
      <c r="D667" s="12"/>
      <c r="E667" s="12"/>
      <c r="F667" s="12"/>
      <c r="G667" s="12"/>
      <c r="H667" s="12"/>
      <c r="I667" s="12"/>
      <c r="J667" s="12"/>
      <c r="K667" s="12"/>
      <c r="L667" s="12"/>
      <c r="M667" s="12"/>
      <c r="N667" s="12"/>
      <c r="O667" s="12"/>
      <c r="P667" s="12"/>
      <c r="Q667" s="12"/>
      <c r="R667" s="12"/>
      <c r="S667" s="12"/>
      <c r="T667" s="12"/>
      <c r="U667" s="12"/>
      <c r="V667" s="12"/>
      <c r="W667" s="12"/>
      <c r="X667" s="12"/>
      <c r="Y667" s="12"/>
      <c r="Z667" s="12"/>
      <c r="AA667" s="12"/>
      <c r="AB667" s="12"/>
      <c r="AC667" s="12"/>
      <c r="AD667" s="12"/>
      <c r="AE667" s="12"/>
      <c r="AF667" s="12"/>
      <c r="AG667" s="12"/>
      <c r="AH667" s="12"/>
      <c r="AI667" s="12"/>
      <c r="AJ667" s="12"/>
      <c r="AK667" s="12"/>
      <c r="AL667" s="12"/>
    </row>
    <row r="668" spans="1:38" x14ac:dyDescent="0.3">
      <c r="A668" s="12"/>
      <c r="B668" s="12"/>
      <c r="C668" s="12"/>
      <c r="D668" s="12"/>
      <c r="E668" s="12"/>
      <c r="F668" s="12"/>
      <c r="G668" s="12"/>
      <c r="H668" s="12"/>
      <c r="I668" s="12"/>
      <c r="J668" s="12"/>
      <c r="K668" s="12"/>
      <c r="L668" s="12"/>
      <c r="M668" s="12"/>
      <c r="N668" s="12"/>
      <c r="O668" s="12"/>
      <c r="P668" s="12"/>
      <c r="Q668" s="12"/>
      <c r="R668" s="12"/>
      <c r="S668" s="12"/>
      <c r="T668" s="12"/>
      <c r="U668" s="12"/>
      <c r="V668" s="12"/>
      <c r="W668" s="12"/>
      <c r="X668" s="12"/>
      <c r="Y668" s="12"/>
      <c r="Z668" s="12"/>
      <c r="AA668" s="12"/>
      <c r="AB668" s="12"/>
      <c r="AC668" s="12"/>
      <c r="AD668" s="12"/>
      <c r="AE668" s="12"/>
      <c r="AF668" s="12"/>
      <c r="AG668" s="12"/>
      <c r="AH668" s="12"/>
      <c r="AI668" s="12"/>
      <c r="AJ668" s="12"/>
      <c r="AK668" s="12"/>
      <c r="AL668" s="12"/>
    </row>
    <row r="669" spans="1:38" x14ac:dyDescent="0.3">
      <c r="A669" s="12"/>
      <c r="B669" s="12"/>
      <c r="C669" s="12"/>
      <c r="D669" s="12"/>
      <c r="E669" s="12"/>
      <c r="F669" s="12"/>
      <c r="G669" s="12"/>
      <c r="H669" s="12"/>
      <c r="I669" s="12"/>
      <c r="J669" s="12"/>
      <c r="K669" s="12"/>
      <c r="L669" s="12"/>
      <c r="M669" s="12"/>
      <c r="N669" s="12"/>
      <c r="O669" s="12"/>
      <c r="P669" s="12"/>
      <c r="Q669" s="12"/>
      <c r="R669" s="12"/>
      <c r="S669" s="12"/>
      <c r="T669" s="12"/>
      <c r="U669" s="12"/>
      <c r="V669" s="12"/>
      <c r="W669" s="12"/>
      <c r="X669" s="12"/>
      <c r="Y669" s="12"/>
      <c r="Z669" s="12"/>
      <c r="AA669" s="12"/>
      <c r="AB669" s="12"/>
      <c r="AC669" s="12"/>
      <c r="AD669" s="12"/>
      <c r="AE669" s="12"/>
      <c r="AF669" s="12"/>
      <c r="AG669" s="12"/>
      <c r="AH669" s="12"/>
      <c r="AI669" s="12"/>
      <c r="AJ669" s="12"/>
      <c r="AK669" s="12"/>
      <c r="AL669" s="12"/>
    </row>
    <row r="670" spans="1:38" x14ac:dyDescent="0.3">
      <c r="A670" s="12"/>
      <c r="B670" s="12"/>
      <c r="C670" s="12"/>
      <c r="D670" s="12"/>
      <c r="E670" s="12"/>
      <c r="F670" s="12"/>
      <c r="G670" s="12"/>
      <c r="H670" s="12"/>
      <c r="I670" s="12"/>
      <c r="J670" s="12"/>
      <c r="K670" s="12"/>
      <c r="L670" s="12"/>
      <c r="M670" s="12"/>
      <c r="N670" s="12"/>
      <c r="O670" s="12"/>
      <c r="P670" s="12"/>
      <c r="Q670" s="12"/>
      <c r="R670" s="12"/>
      <c r="S670" s="12"/>
      <c r="T670" s="12"/>
      <c r="U670" s="12"/>
      <c r="V670" s="12"/>
      <c r="W670" s="12"/>
      <c r="X670" s="12"/>
      <c r="Y670" s="12"/>
      <c r="Z670" s="12"/>
      <c r="AA670" s="12"/>
      <c r="AB670" s="12"/>
      <c r="AC670" s="12"/>
      <c r="AD670" s="12"/>
      <c r="AE670" s="12"/>
      <c r="AF670" s="12"/>
      <c r="AG670" s="12"/>
      <c r="AH670" s="12"/>
      <c r="AI670" s="12"/>
      <c r="AJ670" s="12"/>
      <c r="AK670" s="12"/>
      <c r="AL670" s="12"/>
    </row>
    <row r="671" spans="1:38" x14ac:dyDescent="0.3">
      <c r="A671" s="12"/>
      <c r="B671" s="12"/>
      <c r="C671" s="12"/>
      <c r="D671" s="12"/>
      <c r="E671" s="12"/>
      <c r="F671" s="12"/>
      <c r="G671" s="12"/>
      <c r="H671" s="12"/>
      <c r="I671" s="12"/>
      <c r="J671" s="12"/>
      <c r="K671" s="12"/>
      <c r="L671" s="12"/>
      <c r="M671" s="12"/>
      <c r="N671" s="12"/>
      <c r="O671" s="12"/>
      <c r="P671" s="12"/>
      <c r="Q671" s="12"/>
      <c r="R671" s="12"/>
      <c r="S671" s="12"/>
      <c r="T671" s="12"/>
      <c r="U671" s="12"/>
      <c r="V671" s="12"/>
      <c r="W671" s="12"/>
      <c r="X671" s="12"/>
      <c r="Y671" s="12"/>
      <c r="Z671" s="12"/>
      <c r="AA671" s="12"/>
      <c r="AB671" s="12"/>
      <c r="AC671" s="12"/>
      <c r="AD671" s="12"/>
      <c r="AE671" s="12"/>
      <c r="AF671" s="12"/>
      <c r="AG671" s="12"/>
      <c r="AH671" s="12"/>
      <c r="AI671" s="12"/>
      <c r="AJ671" s="12"/>
      <c r="AK671" s="12"/>
      <c r="AL671" s="12"/>
    </row>
    <row r="672" spans="1:38" x14ac:dyDescent="0.3">
      <c r="A672" s="12"/>
      <c r="B672" s="12"/>
      <c r="C672" s="12"/>
      <c r="D672" s="12"/>
      <c r="E672" s="12"/>
      <c r="F672" s="12"/>
      <c r="G672" s="12"/>
      <c r="H672" s="12"/>
      <c r="I672" s="12"/>
      <c r="J672" s="12"/>
      <c r="K672" s="12"/>
      <c r="L672" s="12"/>
      <c r="M672" s="12"/>
      <c r="N672" s="12"/>
      <c r="O672" s="12"/>
      <c r="P672" s="12"/>
      <c r="Q672" s="12"/>
      <c r="R672" s="12"/>
      <c r="S672" s="12"/>
      <c r="T672" s="12"/>
      <c r="U672" s="12"/>
      <c r="V672" s="12"/>
      <c r="W672" s="12"/>
      <c r="X672" s="12"/>
      <c r="Y672" s="12"/>
      <c r="Z672" s="12"/>
      <c r="AA672" s="12"/>
      <c r="AB672" s="12"/>
      <c r="AC672" s="12"/>
      <c r="AD672" s="12"/>
      <c r="AE672" s="12"/>
      <c r="AF672" s="12"/>
      <c r="AG672" s="12"/>
      <c r="AH672" s="12"/>
      <c r="AI672" s="12"/>
      <c r="AJ672" s="12"/>
      <c r="AK672" s="12"/>
      <c r="AL672" s="12"/>
    </row>
    <row r="673" spans="1:38" x14ac:dyDescent="0.3">
      <c r="A673" s="12"/>
      <c r="B673" s="12"/>
      <c r="C673" s="12"/>
      <c r="D673" s="12"/>
      <c r="E673" s="12"/>
      <c r="F673" s="12"/>
      <c r="G673" s="12"/>
      <c r="H673" s="12"/>
      <c r="I673" s="12"/>
      <c r="J673" s="12"/>
      <c r="K673" s="12"/>
      <c r="L673" s="12"/>
      <c r="M673" s="12"/>
      <c r="N673" s="12"/>
      <c r="O673" s="12"/>
      <c r="P673" s="12"/>
      <c r="Q673" s="12"/>
      <c r="R673" s="12"/>
      <c r="S673" s="12"/>
      <c r="T673" s="12"/>
      <c r="U673" s="12"/>
      <c r="V673" s="12"/>
      <c r="W673" s="12"/>
      <c r="X673" s="12"/>
      <c r="Y673" s="12"/>
      <c r="Z673" s="12"/>
      <c r="AA673" s="12"/>
      <c r="AB673" s="12"/>
      <c r="AC673" s="12"/>
      <c r="AD673" s="12"/>
      <c r="AE673" s="12"/>
      <c r="AF673" s="12"/>
      <c r="AG673" s="12"/>
      <c r="AH673" s="12"/>
      <c r="AI673" s="12"/>
      <c r="AJ673" s="12"/>
      <c r="AK673" s="12"/>
      <c r="AL673" s="12"/>
    </row>
    <row r="674" spans="1:38" x14ac:dyDescent="0.3">
      <c r="A674" s="12"/>
      <c r="B674" s="12"/>
      <c r="C674" s="12"/>
      <c r="D674" s="12"/>
      <c r="E674" s="12"/>
      <c r="F674" s="12"/>
      <c r="G674" s="12"/>
      <c r="H674" s="12"/>
      <c r="I674" s="12"/>
      <c r="J674" s="12"/>
      <c r="K674" s="12"/>
      <c r="L674" s="12"/>
      <c r="M674" s="12"/>
      <c r="N674" s="12"/>
      <c r="O674" s="12"/>
      <c r="P674" s="12"/>
      <c r="Q674" s="12"/>
      <c r="R674" s="12"/>
      <c r="S674" s="12"/>
      <c r="T674" s="12"/>
      <c r="U674" s="12"/>
      <c r="V674" s="12"/>
      <c r="W674" s="12"/>
      <c r="X674" s="12"/>
      <c r="Y674" s="12"/>
      <c r="Z674" s="12"/>
      <c r="AA674" s="12"/>
      <c r="AB674" s="12"/>
      <c r="AC674" s="12"/>
      <c r="AD674" s="12"/>
      <c r="AE674" s="12"/>
      <c r="AF674" s="12"/>
      <c r="AG674" s="12"/>
      <c r="AH674" s="12"/>
      <c r="AI674" s="12"/>
      <c r="AJ674" s="12"/>
      <c r="AK674" s="12"/>
      <c r="AL674" s="12"/>
    </row>
    <row r="675" spans="1:38" x14ac:dyDescent="0.3">
      <c r="A675" s="12"/>
      <c r="B675" s="12"/>
      <c r="C675" s="12"/>
      <c r="D675" s="12"/>
      <c r="E675" s="12"/>
      <c r="F675" s="12"/>
      <c r="G675" s="12"/>
      <c r="H675" s="12"/>
      <c r="I675" s="12"/>
      <c r="J675" s="12"/>
      <c r="K675" s="12"/>
      <c r="L675" s="12"/>
      <c r="M675" s="12"/>
      <c r="N675" s="12"/>
      <c r="O675" s="12"/>
      <c r="P675" s="12"/>
      <c r="Q675" s="12"/>
      <c r="R675" s="12"/>
      <c r="S675" s="12"/>
      <c r="T675" s="12"/>
      <c r="U675" s="12"/>
      <c r="V675" s="12"/>
      <c r="W675" s="12"/>
      <c r="X675" s="12"/>
      <c r="Y675" s="12"/>
      <c r="Z675" s="12"/>
      <c r="AA675" s="12"/>
      <c r="AB675" s="12"/>
      <c r="AC675" s="12"/>
      <c r="AD675" s="12"/>
      <c r="AE675" s="12"/>
      <c r="AF675" s="12"/>
      <c r="AG675" s="12"/>
      <c r="AH675" s="12"/>
      <c r="AI675" s="12"/>
      <c r="AJ675" s="12"/>
      <c r="AK675" s="12"/>
      <c r="AL675" s="12"/>
    </row>
    <row r="676" spans="1:38" x14ac:dyDescent="0.3">
      <c r="A676" s="12"/>
      <c r="B676" s="12"/>
      <c r="C676" s="12"/>
      <c r="D676" s="12"/>
      <c r="E676" s="12"/>
      <c r="F676" s="12"/>
      <c r="G676" s="12"/>
      <c r="H676" s="12"/>
      <c r="I676" s="12"/>
      <c r="J676" s="12"/>
      <c r="K676" s="12"/>
      <c r="L676" s="12"/>
      <c r="M676" s="12"/>
      <c r="N676" s="12"/>
      <c r="O676" s="12"/>
      <c r="P676" s="12"/>
      <c r="Q676" s="12"/>
      <c r="R676" s="12"/>
      <c r="S676" s="12"/>
      <c r="T676" s="12"/>
      <c r="U676" s="12"/>
      <c r="V676" s="12"/>
      <c r="W676" s="12"/>
      <c r="X676" s="12"/>
      <c r="Y676" s="12"/>
      <c r="Z676" s="12"/>
      <c r="AA676" s="12"/>
      <c r="AB676" s="12"/>
      <c r="AC676" s="12"/>
      <c r="AD676" s="12"/>
      <c r="AE676" s="12"/>
      <c r="AF676" s="12"/>
      <c r="AG676" s="12"/>
      <c r="AH676" s="12"/>
      <c r="AI676" s="12"/>
      <c r="AJ676" s="12"/>
      <c r="AK676" s="12"/>
      <c r="AL676" s="12"/>
    </row>
    <row r="677" spans="1:38" x14ac:dyDescent="0.3">
      <c r="A677" s="12"/>
      <c r="B677" s="12"/>
      <c r="C677" s="12"/>
      <c r="D677" s="12"/>
      <c r="E677" s="12"/>
      <c r="F677" s="12"/>
      <c r="G677" s="12"/>
      <c r="H677" s="12"/>
      <c r="I677" s="12"/>
      <c r="J677" s="12"/>
      <c r="K677" s="12"/>
      <c r="L677" s="12"/>
      <c r="M677" s="12"/>
      <c r="N677" s="12"/>
      <c r="O677" s="12"/>
      <c r="P677" s="12"/>
      <c r="Q677" s="12"/>
      <c r="R677" s="12"/>
      <c r="S677" s="12"/>
      <c r="T677" s="12"/>
      <c r="U677" s="12"/>
      <c r="V677" s="12"/>
      <c r="W677" s="12"/>
      <c r="X677" s="12"/>
      <c r="Y677" s="12"/>
      <c r="Z677" s="12"/>
      <c r="AA677" s="12"/>
      <c r="AB677" s="12"/>
      <c r="AC677" s="12"/>
      <c r="AD677" s="12"/>
      <c r="AE677" s="12"/>
      <c r="AF677" s="12"/>
      <c r="AG677" s="12"/>
      <c r="AH677" s="12"/>
      <c r="AI677" s="12"/>
      <c r="AJ677" s="12"/>
      <c r="AK677" s="12"/>
      <c r="AL677" s="12"/>
    </row>
    <row r="678" spans="1:38" x14ac:dyDescent="0.3">
      <c r="A678" s="12"/>
      <c r="B678" s="12"/>
      <c r="C678" s="12"/>
      <c r="D678" s="12"/>
      <c r="E678" s="12"/>
      <c r="F678" s="12"/>
      <c r="G678" s="12"/>
      <c r="H678" s="12"/>
      <c r="I678" s="12"/>
      <c r="J678" s="12"/>
      <c r="K678" s="12"/>
      <c r="L678" s="12"/>
      <c r="M678" s="12"/>
      <c r="N678" s="12"/>
      <c r="O678" s="12"/>
      <c r="P678" s="12"/>
      <c r="Q678" s="12"/>
      <c r="R678" s="12"/>
      <c r="S678" s="12"/>
      <c r="T678" s="12"/>
      <c r="U678" s="12"/>
      <c r="V678" s="12"/>
      <c r="W678" s="12"/>
      <c r="X678" s="12"/>
      <c r="Y678" s="12"/>
      <c r="Z678" s="12"/>
      <c r="AA678" s="12"/>
      <c r="AB678" s="12"/>
      <c r="AC678" s="12"/>
      <c r="AD678" s="12"/>
      <c r="AE678" s="12"/>
      <c r="AF678" s="12"/>
      <c r="AG678" s="12"/>
      <c r="AH678" s="12"/>
      <c r="AI678" s="12"/>
      <c r="AJ678" s="12"/>
      <c r="AK678" s="12"/>
      <c r="AL678" s="12"/>
    </row>
    <row r="679" spans="1:38" x14ac:dyDescent="0.3">
      <c r="A679" s="12"/>
      <c r="B679" s="12"/>
      <c r="C679" s="12"/>
      <c r="D679" s="12"/>
      <c r="E679" s="12"/>
      <c r="F679" s="12"/>
      <c r="G679" s="12"/>
      <c r="H679" s="12"/>
      <c r="I679" s="12"/>
      <c r="J679" s="12"/>
      <c r="K679" s="12"/>
      <c r="L679" s="12"/>
      <c r="M679" s="12"/>
      <c r="N679" s="12"/>
      <c r="O679" s="12"/>
      <c r="P679" s="12"/>
      <c r="Q679" s="12"/>
      <c r="R679" s="12"/>
      <c r="S679" s="12"/>
      <c r="T679" s="12"/>
      <c r="U679" s="12"/>
      <c r="V679" s="12"/>
      <c r="W679" s="12"/>
      <c r="X679" s="12"/>
      <c r="Y679" s="12"/>
      <c r="Z679" s="12"/>
      <c r="AA679" s="12"/>
      <c r="AB679" s="12"/>
      <c r="AC679" s="12"/>
      <c r="AD679" s="12"/>
      <c r="AE679" s="12"/>
      <c r="AF679" s="12"/>
      <c r="AG679" s="12"/>
      <c r="AH679" s="12"/>
      <c r="AI679" s="12"/>
      <c r="AJ679" s="12"/>
      <c r="AK679" s="12"/>
      <c r="AL679" s="12"/>
    </row>
    <row r="680" spans="1:38" x14ac:dyDescent="0.3">
      <c r="A680" s="12"/>
      <c r="B680" s="12"/>
      <c r="C680" s="12"/>
      <c r="D680" s="12"/>
      <c r="E680" s="12"/>
      <c r="F680" s="12"/>
      <c r="G680" s="12"/>
      <c r="H680" s="12"/>
      <c r="I680" s="12"/>
      <c r="J680" s="12"/>
      <c r="K680" s="12"/>
      <c r="L680" s="12"/>
      <c r="M680" s="12"/>
      <c r="N680" s="12"/>
      <c r="O680" s="12"/>
      <c r="P680" s="12"/>
      <c r="Q680" s="12"/>
      <c r="R680" s="12"/>
      <c r="S680" s="12"/>
      <c r="T680" s="12"/>
      <c r="U680" s="12"/>
      <c r="V680" s="12"/>
      <c r="W680" s="12"/>
      <c r="X680" s="12"/>
      <c r="Y680" s="12"/>
      <c r="Z680" s="12"/>
      <c r="AA680" s="12"/>
      <c r="AB680" s="12"/>
      <c r="AC680" s="12"/>
      <c r="AD680" s="12"/>
      <c r="AE680" s="12"/>
      <c r="AF680" s="12"/>
      <c r="AG680" s="12"/>
      <c r="AH680" s="12"/>
      <c r="AI680" s="12"/>
      <c r="AJ680" s="12"/>
      <c r="AK680" s="12"/>
      <c r="AL680" s="12"/>
    </row>
    <row r="681" spans="1:38" x14ac:dyDescent="0.3">
      <c r="A681" s="12"/>
      <c r="B681" s="12"/>
      <c r="C681" s="12"/>
      <c r="D681" s="12"/>
      <c r="E681" s="12"/>
      <c r="F681" s="12"/>
      <c r="G681" s="12"/>
      <c r="H681" s="12"/>
      <c r="I681" s="12"/>
      <c r="J681" s="12"/>
      <c r="K681" s="12"/>
      <c r="L681" s="12"/>
      <c r="M681" s="12"/>
      <c r="N681" s="12"/>
      <c r="O681" s="12"/>
      <c r="P681" s="12"/>
      <c r="Q681" s="12"/>
      <c r="R681" s="12"/>
      <c r="S681" s="12"/>
      <c r="T681" s="12"/>
      <c r="U681" s="12"/>
      <c r="V681" s="12"/>
      <c r="W681" s="12"/>
      <c r="X681" s="12"/>
      <c r="Y681" s="12"/>
      <c r="Z681" s="12"/>
      <c r="AA681" s="12"/>
      <c r="AB681" s="12"/>
      <c r="AC681" s="12"/>
      <c r="AD681" s="12"/>
      <c r="AE681" s="12"/>
      <c r="AF681" s="12"/>
      <c r="AG681" s="12"/>
      <c r="AH681" s="12"/>
      <c r="AI681" s="12"/>
      <c r="AJ681" s="12"/>
      <c r="AK681" s="12"/>
      <c r="AL681" s="12"/>
    </row>
    <row r="682" spans="1:38" x14ac:dyDescent="0.3">
      <c r="A682" s="12"/>
      <c r="B682" s="12"/>
      <c r="C682" s="12"/>
      <c r="D682" s="12"/>
      <c r="E682" s="12"/>
      <c r="F682" s="12"/>
      <c r="G682" s="12"/>
      <c r="H682" s="12"/>
      <c r="I682" s="12"/>
      <c r="J682" s="12"/>
      <c r="K682" s="12"/>
      <c r="L682" s="12"/>
      <c r="M682" s="12"/>
      <c r="N682" s="12"/>
      <c r="O682" s="12"/>
      <c r="P682" s="12"/>
      <c r="Q682" s="12"/>
      <c r="R682" s="12"/>
      <c r="S682" s="12"/>
      <c r="T682" s="12"/>
      <c r="U682" s="12"/>
      <c r="V682" s="12"/>
      <c r="W682" s="12"/>
      <c r="X682" s="12"/>
      <c r="Y682" s="12"/>
      <c r="Z682" s="12"/>
      <c r="AA682" s="12"/>
      <c r="AB682" s="12"/>
      <c r="AC682" s="12"/>
      <c r="AD682" s="12"/>
      <c r="AE682" s="12"/>
      <c r="AF682" s="12"/>
      <c r="AG682" s="12"/>
      <c r="AH682" s="12"/>
      <c r="AI682" s="12"/>
      <c r="AJ682" s="12"/>
      <c r="AK682" s="12"/>
      <c r="AL682" s="12"/>
    </row>
    <row r="683" spans="1:38" x14ac:dyDescent="0.3">
      <c r="A683" s="12"/>
      <c r="B683" s="12"/>
      <c r="C683" s="12"/>
      <c r="D683" s="12"/>
      <c r="E683" s="12"/>
      <c r="F683" s="12"/>
      <c r="G683" s="12"/>
      <c r="H683" s="12"/>
      <c r="I683" s="12"/>
      <c r="J683" s="12"/>
      <c r="K683" s="12"/>
      <c r="L683" s="12"/>
      <c r="M683" s="12"/>
      <c r="N683" s="12"/>
      <c r="O683" s="12"/>
      <c r="P683" s="12"/>
      <c r="Q683" s="12"/>
      <c r="R683" s="12"/>
      <c r="S683" s="12"/>
      <c r="T683" s="12"/>
      <c r="U683" s="12"/>
      <c r="V683" s="12"/>
      <c r="W683" s="12"/>
      <c r="X683" s="12"/>
      <c r="Y683" s="12"/>
      <c r="Z683" s="12"/>
      <c r="AA683" s="12"/>
      <c r="AB683" s="12"/>
      <c r="AC683" s="12"/>
      <c r="AD683" s="12"/>
      <c r="AE683" s="12"/>
      <c r="AF683" s="12"/>
      <c r="AG683" s="12"/>
      <c r="AH683" s="12"/>
      <c r="AI683" s="12"/>
      <c r="AJ683" s="12"/>
      <c r="AK683" s="12"/>
      <c r="AL683" s="12"/>
    </row>
    <row r="684" spans="1:38" x14ac:dyDescent="0.3">
      <c r="A684" s="12"/>
      <c r="B684" s="12"/>
      <c r="C684" s="12"/>
      <c r="D684" s="12"/>
      <c r="E684" s="12"/>
      <c r="F684" s="12"/>
      <c r="G684" s="12"/>
      <c r="H684" s="12"/>
      <c r="I684" s="12"/>
      <c r="J684" s="12"/>
      <c r="K684" s="12"/>
      <c r="L684" s="12"/>
      <c r="M684" s="12"/>
      <c r="N684" s="12"/>
      <c r="O684" s="12"/>
      <c r="P684" s="12"/>
      <c r="Q684" s="12"/>
      <c r="R684" s="12"/>
      <c r="S684" s="12"/>
      <c r="T684" s="12"/>
      <c r="U684" s="12"/>
      <c r="V684" s="12"/>
      <c r="W684" s="12"/>
      <c r="X684" s="12"/>
      <c r="Y684" s="12"/>
      <c r="Z684" s="12"/>
      <c r="AA684" s="12"/>
      <c r="AB684" s="12"/>
      <c r="AC684" s="12"/>
      <c r="AD684" s="12"/>
      <c r="AE684" s="12"/>
      <c r="AF684" s="12"/>
      <c r="AG684" s="12"/>
      <c r="AH684" s="12"/>
      <c r="AI684" s="12"/>
      <c r="AJ684" s="12"/>
      <c r="AK684" s="12"/>
      <c r="AL684" s="12"/>
    </row>
    <row r="685" spans="1:38" x14ac:dyDescent="0.3">
      <c r="A685" s="12"/>
      <c r="B685" s="12"/>
      <c r="C685" s="12"/>
      <c r="D685" s="12"/>
      <c r="E685" s="12"/>
      <c r="F685" s="12"/>
      <c r="G685" s="12"/>
      <c r="H685" s="12"/>
      <c r="I685" s="12"/>
      <c r="J685" s="12"/>
      <c r="K685" s="12"/>
      <c r="L685" s="12"/>
      <c r="M685" s="12"/>
      <c r="N685" s="12"/>
      <c r="O685" s="12"/>
      <c r="P685" s="12"/>
      <c r="Q685" s="12"/>
      <c r="R685" s="12"/>
      <c r="S685" s="12"/>
      <c r="T685" s="12"/>
      <c r="U685" s="12"/>
      <c r="V685" s="12"/>
      <c r="W685" s="12"/>
      <c r="X685" s="12"/>
      <c r="Y685" s="12"/>
      <c r="Z685" s="12"/>
      <c r="AA685" s="12"/>
      <c r="AB685" s="12"/>
      <c r="AC685" s="12"/>
      <c r="AD685" s="12"/>
      <c r="AE685" s="12"/>
      <c r="AF685" s="12"/>
      <c r="AG685" s="12"/>
      <c r="AH685" s="12"/>
      <c r="AI685" s="12"/>
      <c r="AJ685" s="12"/>
      <c r="AK685" s="12"/>
      <c r="AL685" s="12"/>
    </row>
    <row r="686" spans="1:38" x14ac:dyDescent="0.3">
      <c r="A686" s="12"/>
      <c r="B686" s="12"/>
      <c r="C686" s="12"/>
      <c r="D686" s="12"/>
      <c r="E686" s="12"/>
      <c r="F686" s="12"/>
      <c r="G686" s="12"/>
      <c r="H686" s="12"/>
      <c r="I686" s="12"/>
      <c r="J686" s="12"/>
      <c r="K686" s="12"/>
      <c r="L686" s="12"/>
      <c r="M686" s="12"/>
      <c r="N686" s="12"/>
      <c r="O686" s="12"/>
      <c r="P686" s="12"/>
      <c r="Q686" s="12"/>
      <c r="R686" s="12"/>
      <c r="S686" s="12"/>
      <c r="T686" s="12"/>
      <c r="U686" s="12"/>
      <c r="V686" s="12"/>
      <c r="W686" s="12"/>
      <c r="X686" s="12"/>
      <c r="Y686" s="12"/>
      <c r="Z686" s="12"/>
      <c r="AA686" s="12"/>
      <c r="AB686" s="12"/>
      <c r="AC686" s="12"/>
      <c r="AD686" s="12"/>
      <c r="AE686" s="12"/>
      <c r="AF686" s="12"/>
      <c r="AG686" s="12"/>
      <c r="AH686" s="12"/>
      <c r="AI686" s="12"/>
      <c r="AJ686" s="12"/>
      <c r="AK686" s="12"/>
      <c r="AL686" s="12"/>
    </row>
    <row r="687" spans="1:38" x14ac:dyDescent="0.3">
      <c r="A687" s="12"/>
      <c r="B687" s="12"/>
      <c r="C687" s="12"/>
      <c r="D687" s="12"/>
      <c r="E687" s="12"/>
      <c r="F687" s="12"/>
      <c r="G687" s="12"/>
      <c r="H687" s="12"/>
      <c r="I687" s="12"/>
      <c r="J687" s="12"/>
      <c r="K687" s="12"/>
      <c r="L687" s="12"/>
      <c r="M687" s="12"/>
      <c r="N687" s="12"/>
      <c r="O687" s="12"/>
      <c r="P687" s="12"/>
      <c r="Q687" s="12"/>
      <c r="R687" s="12"/>
      <c r="S687" s="12"/>
      <c r="T687" s="12"/>
      <c r="U687" s="12"/>
      <c r="V687" s="12"/>
      <c r="W687" s="12"/>
      <c r="X687" s="12"/>
      <c r="Y687" s="12"/>
      <c r="Z687" s="12"/>
      <c r="AA687" s="12"/>
      <c r="AB687" s="12"/>
      <c r="AC687" s="12"/>
      <c r="AD687" s="12"/>
      <c r="AE687" s="12"/>
      <c r="AF687" s="12"/>
      <c r="AG687" s="12"/>
      <c r="AH687" s="12"/>
      <c r="AI687" s="12"/>
      <c r="AJ687" s="12"/>
      <c r="AK687" s="12"/>
      <c r="AL687" s="12"/>
    </row>
    <row r="688" spans="1:38" x14ac:dyDescent="0.3">
      <c r="A688" s="12"/>
      <c r="B688" s="12"/>
      <c r="C688" s="12"/>
      <c r="D688" s="12"/>
      <c r="E688" s="12"/>
      <c r="F688" s="12"/>
      <c r="G688" s="12"/>
      <c r="H688" s="12"/>
      <c r="I688" s="12"/>
      <c r="J688" s="12"/>
      <c r="K688" s="12"/>
      <c r="L688" s="12"/>
      <c r="M688" s="12"/>
      <c r="N688" s="12"/>
      <c r="O688" s="12"/>
      <c r="P688" s="12"/>
      <c r="Q688" s="12"/>
      <c r="R688" s="12"/>
      <c r="S688" s="12"/>
      <c r="T688" s="12"/>
      <c r="U688" s="12"/>
      <c r="V688" s="12"/>
      <c r="W688" s="12"/>
      <c r="X688" s="12"/>
      <c r="Y688" s="12"/>
      <c r="Z688" s="12"/>
      <c r="AA688" s="12"/>
      <c r="AB688" s="12"/>
      <c r="AC688" s="12"/>
      <c r="AD688" s="12"/>
      <c r="AE688" s="12"/>
      <c r="AF688" s="12"/>
      <c r="AG688" s="12"/>
      <c r="AH688" s="12"/>
      <c r="AI688" s="12"/>
      <c r="AJ688" s="12"/>
      <c r="AK688" s="12"/>
      <c r="AL688" s="12"/>
    </row>
    <row r="689" spans="1:38" x14ac:dyDescent="0.3">
      <c r="A689" s="12"/>
      <c r="B689" s="12"/>
      <c r="C689" s="12"/>
      <c r="D689" s="12"/>
      <c r="E689" s="12"/>
      <c r="F689" s="12"/>
      <c r="G689" s="12"/>
      <c r="H689" s="12"/>
      <c r="I689" s="12"/>
      <c r="J689" s="12"/>
      <c r="K689" s="12"/>
      <c r="L689" s="12"/>
      <c r="M689" s="12"/>
      <c r="N689" s="12"/>
      <c r="O689" s="12"/>
      <c r="P689" s="12"/>
      <c r="Q689" s="12"/>
      <c r="R689" s="12"/>
      <c r="S689" s="12"/>
      <c r="T689" s="12"/>
      <c r="U689" s="12"/>
      <c r="V689" s="12"/>
      <c r="W689" s="12"/>
      <c r="X689" s="12"/>
      <c r="Y689" s="12"/>
      <c r="Z689" s="12"/>
      <c r="AA689" s="12"/>
      <c r="AB689" s="12"/>
      <c r="AC689" s="12"/>
      <c r="AD689" s="12"/>
      <c r="AE689" s="12"/>
      <c r="AF689" s="12"/>
      <c r="AG689" s="12"/>
      <c r="AH689" s="12"/>
      <c r="AI689" s="12"/>
      <c r="AJ689" s="12"/>
      <c r="AK689" s="12"/>
      <c r="AL689" s="12"/>
    </row>
    <row r="690" spans="1:38" x14ac:dyDescent="0.3">
      <c r="A690" s="12"/>
      <c r="B690" s="12"/>
      <c r="C690" s="12"/>
      <c r="D690" s="12"/>
      <c r="E690" s="12"/>
      <c r="F690" s="12"/>
      <c r="G690" s="12"/>
      <c r="H690" s="12"/>
      <c r="I690" s="12"/>
      <c r="J690" s="12"/>
      <c r="K690" s="12"/>
      <c r="L690" s="12"/>
      <c r="M690" s="12"/>
      <c r="N690" s="12"/>
      <c r="O690" s="12"/>
      <c r="P690" s="12"/>
      <c r="Q690" s="12"/>
      <c r="R690" s="12"/>
      <c r="S690" s="12"/>
      <c r="T690" s="12"/>
      <c r="U690" s="12"/>
      <c r="V690" s="12"/>
      <c r="W690" s="12"/>
      <c r="X690" s="12"/>
      <c r="Y690" s="12"/>
      <c r="Z690" s="12"/>
      <c r="AA690" s="12"/>
      <c r="AB690" s="12"/>
      <c r="AC690" s="12"/>
      <c r="AD690" s="12"/>
      <c r="AE690" s="12"/>
      <c r="AF690" s="12"/>
      <c r="AG690" s="12"/>
      <c r="AH690" s="12"/>
      <c r="AI690" s="12"/>
      <c r="AJ690" s="12"/>
      <c r="AK690" s="12"/>
      <c r="AL690" s="12"/>
    </row>
    <row r="691" spans="1:38" x14ac:dyDescent="0.3">
      <c r="A691" s="12"/>
      <c r="B691" s="12"/>
      <c r="C691" s="12"/>
      <c r="D691" s="12"/>
      <c r="E691" s="12"/>
      <c r="F691" s="12"/>
      <c r="G691" s="12"/>
      <c r="H691" s="12"/>
      <c r="I691" s="12"/>
      <c r="J691" s="12"/>
      <c r="K691" s="12"/>
      <c r="L691" s="12"/>
      <c r="M691" s="12"/>
      <c r="N691" s="12"/>
      <c r="O691" s="12"/>
      <c r="P691" s="12"/>
      <c r="Q691" s="12"/>
      <c r="R691" s="12"/>
      <c r="S691" s="12"/>
      <c r="T691" s="12"/>
      <c r="U691" s="12"/>
      <c r="V691" s="12"/>
      <c r="W691" s="12"/>
      <c r="X691" s="12"/>
      <c r="Y691" s="12"/>
      <c r="Z691" s="12"/>
      <c r="AA691" s="12"/>
      <c r="AB691" s="12"/>
      <c r="AC691" s="12"/>
      <c r="AD691" s="12"/>
      <c r="AE691" s="12"/>
      <c r="AF691" s="12"/>
      <c r="AG691" s="12"/>
      <c r="AH691" s="12"/>
      <c r="AI691" s="12"/>
      <c r="AJ691" s="12"/>
      <c r="AK691" s="12"/>
      <c r="AL691" s="12"/>
    </row>
    <row r="692" spans="1:38" x14ac:dyDescent="0.3">
      <c r="A692" s="12"/>
      <c r="B692" s="12"/>
      <c r="C692" s="12"/>
      <c r="D692" s="12"/>
      <c r="E692" s="12"/>
      <c r="F692" s="12"/>
      <c r="G692" s="12"/>
      <c r="H692" s="12"/>
      <c r="I692" s="12"/>
      <c r="J692" s="12"/>
      <c r="K692" s="12"/>
      <c r="L692" s="12"/>
      <c r="M692" s="12"/>
      <c r="N692" s="12"/>
      <c r="O692" s="12"/>
      <c r="P692" s="12"/>
      <c r="Q692" s="12"/>
      <c r="R692" s="12"/>
      <c r="S692" s="12"/>
      <c r="T692" s="12"/>
      <c r="U692" s="12"/>
      <c r="V692" s="12"/>
      <c r="W692" s="12"/>
      <c r="X692" s="12"/>
      <c r="Y692" s="12"/>
      <c r="Z692" s="12"/>
      <c r="AA692" s="12"/>
      <c r="AB692" s="12"/>
      <c r="AC692" s="12"/>
      <c r="AD692" s="12"/>
      <c r="AE692" s="12"/>
      <c r="AF692" s="12"/>
      <c r="AG692" s="12"/>
      <c r="AH692" s="12"/>
      <c r="AI692" s="12"/>
      <c r="AJ692" s="12"/>
      <c r="AK692" s="12"/>
      <c r="AL692" s="12"/>
    </row>
    <row r="693" spans="1:38" x14ac:dyDescent="0.3">
      <c r="A693" s="12"/>
      <c r="B693" s="12"/>
      <c r="C693" s="12"/>
      <c r="D693" s="12"/>
      <c r="E693" s="12"/>
      <c r="F693" s="12"/>
      <c r="G693" s="12"/>
      <c r="H693" s="12"/>
      <c r="I693" s="12"/>
      <c r="J693" s="12"/>
      <c r="K693" s="12"/>
      <c r="L693" s="12"/>
      <c r="M693" s="12"/>
      <c r="N693" s="12"/>
      <c r="O693" s="12"/>
      <c r="P693" s="12"/>
      <c r="Q693" s="12"/>
      <c r="R693" s="12"/>
      <c r="S693" s="12"/>
      <c r="T693" s="12"/>
      <c r="U693" s="12"/>
      <c r="V693" s="12"/>
      <c r="W693" s="12"/>
      <c r="X693" s="12"/>
      <c r="Y693" s="12"/>
      <c r="Z693" s="12"/>
      <c r="AA693" s="12"/>
      <c r="AB693" s="12"/>
      <c r="AC693" s="12"/>
      <c r="AD693" s="12"/>
      <c r="AE693" s="12"/>
      <c r="AF693" s="12"/>
      <c r="AG693" s="12"/>
      <c r="AH693" s="12"/>
      <c r="AI693" s="12"/>
      <c r="AJ693" s="12"/>
      <c r="AK693" s="12"/>
      <c r="AL693" s="12"/>
    </row>
    <row r="694" spans="1:38" x14ac:dyDescent="0.3">
      <c r="A694" s="12"/>
      <c r="B694" s="12"/>
      <c r="C694" s="12"/>
      <c r="D694" s="12"/>
      <c r="E694" s="12"/>
      <c r="F694" s="12"/>
      <c r="G694" s="12"/>
      <c r="H694" s="12"/>
      <c r="I694" s="12"/>
      <c r="J694" s="12"/>
      <c r="K694" s="12"/>
      <c r="L694" s="12"/>
      <c r="M694" s="12"/>
      <c r="N694" s="12"/>
      <c r="O694" s="12"/>
      <c r="P694" s="12"/>
      <c r="Q694" s="12"/>
      <c r="R694" s="12"/>
      <c r="S694" s="12"/>
      <c r="T694" s="12"/>
      <c r="U694" s="12"/>
      <c r="V694" s="12"/>
      <c r="W694" s="12"/>
      <c r="X694" s="12"/>
      <c r="Y694" s="12"/>
      <c r="Z694" s="12"/>
      <c r="AA694" s="12"/>
      <c r="AB694" s="12"/>
      <c r="AC694" s="12"/>
      <c r="AD694" s="12"/>
      <c r="AE694" s="12"/>
      <c r="AF694" s="12"/>
      <c r="AG694" s="12"/>
      <c r="AH694" s="12"/>
      <c r="AI694" s="12"/>
      <c r="AJ694" s="12"/>
      <c r="AK694" s="12"/>
      <c r="AL694" s="12"/>
    </row>
    <row r="695" spans="1:38" x14ac:dyDescent="0.3">
      <c r="A695" s="12"/>
      <c r="B695" s="12"/>
      <c r="C695" s="12"/>
      <c r="D695" s="12"/>
      <c r="E695" s="12"/>
      <c r="F695" s="12"/>
      <c r="G695" s="12"/>
      <c r="H695" s="12"/>
      <c r="I695" s="12"/>
      <c r="J695" s="12"/>
      <c r="K695" s="12"/>
      <c r="L695" s="12"/>
      <c r="M695" s="12"/>
      <c r="N695" s="12"/>
      <c r="O695" s="12"/>
      <c r="P695" s="12"/>
      <c r="Q695" s="12"/>
      <c r="R695" s="12"/>
      <c r="S695" s="12"/>
      <c r="T695" s="12"/>
      <c r="U695" s="12"/>
      <c r="V695" s="12"/>
      <c r="W695" s="12"/>
      <c r="X695" s="12"/>
      <c r="Y695" s="12"/>
      <c r="Z695" s="12"/>
      <c r="AA695" s="12"/>
      <c r="AB695" s="12"/>
      <c r="AC695" s="12"/>
      <c r="AD695" s="12"/>
      <c r="AE695" s="12"/>
      <c r="AF695" s="12"/>
      <c r="AG695" s="12"/>
      <c r="AH695" s="12"/>
      <c r="AI695" s="12"/>
      <c r="AJ695" s="12"/>
      <c r="AK695" s="12"/>
      <c r="AL695" s="12"/>
    </row>
    <row r="696" spans="1:38" x14ac:dyDescent="0.3">
      <c r="A696" s="12"/>
      <c r="B696" s="12"/>
      <c r="C696" s="12"/>
      <c r="D696" s="12"/>
      <c r="E696" s="12"/>
      <c r="F696" s="12"/>
      <c r="G696" s="12"/>
      <c r="H696" s="12"/>
      <c r="I696" s="12"/>
      <c r="J696" s="12"/>
      <c r="K696" s="12"/>
      <c r="L696" s="12"/>
      <c r="M696" s="12"/>
      <c r="N696" s="12"/>
      <c r="O696" s="12"/>
      <c r="P696" s="12"/>
      <c r="Q696" s="12"/>
      <c r="R696" s="12"/>
      <c r="S696" s="12"/>
      <c r="T696" s="12"/>
      <c r="U696" s="12"/>
      <c r="V696" s="12"/>
      <c r="W696" s="12"/>
      <c r="X696" s="12"/>
      <c r="Y696" s="12"/>
      <c r="Z696" s="12"/>
      <c r="AA696" s="12"/>
      <c r="AB696" s="12"/>
      <c r="AC696" s="12"/>
      <c r="AD696" s="12"/>
      <c r="AE696" s="12"/>
      <c r="AF696" s="12"/>
      <c r="AG696" s="12"/>
      <c r="AH696" s="12"/>
      <c r="AI696" s="12"/>
      <c r="AJ696" s="12"/>
      <c r="AK696" s="12"/>
      <c r="AL696" s="12"/>
    </row>
    <row r="697" spans="1:38" x14ac:dyDescent="0.3">
      <c r="A697" s="12"/>
      <c r="B697" s="12"/>
      <c r="C697" s="12"/>
      <c r="D697" s="12"/>
      <c r="E697" s="12"/>
      <c r="F697" s="12"/>
      <c r="G697" s="12"/>
      <c r="H697" s="12"/>
      <c r="I697" s="12"/>
      <c r="J697" s="12"/>
      <c r="K697" s="12"/>
      <c r="L697" s="12"/>
      <c r="M697" s="12"/>
      <c r="N697" s="12"/>
      <c r="O697" s="12"/>
      <c r="P697" s="12"/>
      <c r="Q697" s="12"/>
      <c r="R697" s="12"/>
      <c r="S697" s="12"/>
      <c r="T697" s="12"/>
      <c r="U697" s="12"/>
      <c r="V697" s="12"/>
      <c r="W697" s="12"/>
      <c r="X697" s="12"/>
      <c r="Y697" s="12"/>
      <c r="Z697" s="12"/>
      <c r="AA697" s="12"/>
      <c r="AB697" s="12"/>
      <c r="AC697" s="12"/>
      <c r="AD697" s="12"/>
      <c r="AE697" s="12"/>
      <c r="AF697" s="12"/>
      <c r="AG697" s="12"/>
      <c r="AH697" s="12"/>
      <c r="AI697" s="12"/>
      <c r="AJ697" s="12"/>
      <c r="AK697" s="12"/>
      <c r="AL697" s="12"/>
    </row>
    <row r="698" spans="1:38" x14ac:dyDescent="0.3">
      <c r="A698" s="12"/>
      <c r="B698" s="12"/>
      <c r="C698" s="12"/>
      <c r="D698" s="12"/>
      <c r="E698" s="12"/>
      <c r="F698" s="12"/>
      <c r="G698" s="12"/>
      <c r="H698" s="12"/>
      <c r="I698" s="12"/>
      <c r="J698" s="12"/>
      <c r="K698" s="12"/>
      <c r="L698" s="12"/>
      <c r="M698" s="12"/>
      <c r="N698" s="12"/>
      <c r="O698" s="12"/>
      <c r="P698" s="12"/>
      <c r="Q698" s="12"/>
      <c r="R698" s="12"/>
      <c r="S698" s="12"/>
      <c r="T698" s="12"/>
      <c r="U698" s="12"/>
      <c r="V698" s="12"/>
      <c r="W698" s="12"/>
      <c r="X698" s="12"/>
      <c r="Y698" s="12"/>
      <c r="Z698" s="12"/>
      <c r="AA698" s="12"/>
      <c r="AB698" s="12"/>
      <c r="AC698" s="12"/>
      <c r="AD698" s="12"/>
      <c r="AE698" s="12"/>
      <c r="AF698" s="12"/>
      <c r="AG698" s="12"/>
      <c r="AH698" s="12"/>
      <c r="AI698" s="12"/>
      <c r="AJ698" s="12"/>
      <c r="AK698" s="12"/>
      <c r="AL698" s="12"/>
    </row>
    <row r="699" spans="1:38" x14ac:dyDescent="0.3">
      <c r="A699" s="12"/>
      <c r="B699" s="12"/>
      <c r="C699" s="12"/>
      <c r="D699" s="12"/>
      <c r="E699" s="12"/>
      <c r="F699" s="12"/>
      <c r="G699" s="12"/>
      <c r="H699" s="12"/>
      <c r="I699" s="12"/>
      <c r="J699" s="12"/>
      <c r="K699" s="12"/>
      <c r="L699" s="12"/>
      <c r="M699" s="12"/>
      <c r="N699" s="12"/>
      <c r="O699" s="12"/>
      <c r="P699" s="12"/>
      <c r="Q699" s="12"/>
      <c r="R699" s="12"/>
      <c r="S699" s="12"/>
      <c r="T699" s="12"/>
      <c r="U699" s="12"/>
      <c r="V699" s="12"/>
      <c r="W699" s="12"/>
      <c r="X699" s="12"/>
      <c r="Y699" s="12"/>
      <c r="Z699" s="12"/>
      <c r="AA699" s="12"/>
      <c r="AB699" s="12"/>
      <c r="AC699" s="12"/>
      <c r="AD699" s="12"/>
      <c r="AE699" s="12"/>
      <c r="AF699" s="12"/>
      <c r="AG699" s="12"/>
      <c r="AH699" s="12"/>
      <c r="AI699" s="12"/>
      <c r="AJ699" s="12"/>
      <c r="AK699" s="12"/>
      <c r="AL699" s="12"/>
    </row>
    <row r="700" spans="1:38" x14ac:dyDescent="0.3">
      <c r="A700" s="12"/>
      <c r="B700" s="12"/>
      <c r="C700" s="12"/>
      <c r="D700" s="12"/>
      <c r="E700" s="12"/>
      <c r="F700" s="12"/>
      <c r="G700" s="12"/>
      <c r="H700" s="12"/>
      <c r="I700" s="12"/>
      <c r="J700" s="12"/>
      <c r="K700" s="12"/>
      <c r="L700" s="12"/>
      <c r="M700" s="12"/>
      <c r="N700" s="12"/>
      <c r="O700" s="12"/>
      <c r="P700" s="12"/>
      <c r="Q700" s="12"/>
      <c r="R700" s="12"/>
      <c r="S700" s="12"/>
      <c r="T700" s="12"/>
      <c r="U700" s="12"/>
      <c r="V700" s="12"/>
      <c r="W700" s="12"/>
      <c r="X700" s="12"/>
      <c r="Y700" s="12"/>
      <c r="Z700" s="12"/>
      <c r="AA700" s="12"/>
      <c r="AB700" s="12"/>
      <c r="AC700" s="12"/>
      <c r="AD700" s="12"/>
      <c r="AE700" s="12"/>
      <c r="AF700" s="12"/>
      <c r="AG700" s="12"/>
      <c r="AH700" s="12"/>
      <c r="AI700" s="12"/>
      <c r="AJ700" s="12"/>
      <c r="AK700" s="12"/>
      <c r="AL700" s="12"/>
    </row>
    <row r="701" spans="1:38" x14ac:dyDescent="0.3">
      <c r="A701" s="12"/>
      <c r="B701" s="12"/>
      <c r="C701" s="12"/>
      <c r="D701" s="12"/>
      <c r="E701" s="12"/>
      <c r="F701" s="12"/>
      <c r="G701" s="12"/>
      <c r="H701" s="12"/>
      <c r="I701" s="12"/>
      <c r="J701" s="12"/>
      <c r="K701" s="12"/>
      <c r="L701" s="12"/>
      <c r="M701" s="12"/>
      <c r="N701" s="12"/>
      <c r="O701" s="12"/>
      <c r="P701" s="12"/>
      <c r="Q701" s="12"/>
      <c r="R701" s="12"/>
      <c r="S701" s="12"/>
      <c r="T701" s="12"/>
      <c r="U701" s="12"/>
      <c r="V701" s="12"/>
      <c r="W701" s="12"/>
      <c r="X701" s="12"/>
      <c r="Y701" s="12"/>
      <c r="Z701" s="12"/>
      <c r="AA701" s="12"/>
      <c r="AB701" s="12"/>
      <c r="AC701" s="12"/>
      <c r="AD701" s="12"/>
      <c r="AE701" s="12"/>
      <c r="AF701" s="12"/>
      <c r="AG701" s="12"/>
      <c r="AH701" s="12"/>
      <c r="AI701" s="12"/>
      <c r="AJ701" s="12"/>
      <c r="AK701" s="12"/>
      <c r="AL701" s="12"/>
    </row>
    <row r="702" spans="1:38" x14ac:dyDescent="0.3">
      <c r="A702" s="12"/>
      <c r="B702" s="12"/>
      <c r="C702" s="12"/>
      <c r="D702" s="12"/>
      <c r="E702" s="12"/>
      <c r="F702" s="12"/>
      <c r="G702" s="12"/>
      <c r="H702" s="12"/>
      <c r="I702" s="12"/>
      <c r="J702" s="12"/>
      <c r="K702" s="12"/>
      <c r="L702" s="12"/>
      <c r="M702" s="12"/>
      <c r="N702" s="12"/>
      <c r="O702" s="12"/>
      <c r="P702" s="12"/>
      <c r="Q702" s="12"/>
      <c r="R702" s="12"/>
      <c r="S702" s="12"/>
      <c r="T702" s="12"/>
      <c r="U702" s="12"/>
      <c r="V702" s="12"/>
      <c r="W702" s="12"/>
      <c r="X702" s="12"/>
      <c r="Y702" s="12"/>
      <c r="Z702" s="12"/>
      <c r="AA702" s="12"/>
      <c r="AB702" s="12"/>
      <c r="AC702" s="12"/>
      <c r="AD702" s="12"/>
      <c r="AE702" s="12"/>
      <c r="AF702" s="12"/>
      <c r="AG702" s="12"/>
      <c r="AH702" s="12"/>
      <c r="AI702" s="12"/>
      <c r="AJ702" s="12"/>
      <c r="AK702" s="12"/>
      <c r="AL702" s="12"/>
    </row>
    <row r="703" spans="1:38" x14ac:dyDescent="0.3">
      <c r="A703" s="12"/>
      <c r="B703" s="12"/>
      <c r="C703" s="12"/>
      <c r="D703" s="12"/>
      <c r="E703" s="12"/>
      <c r="F703" s="12"/>
      <c r="G703" s="12"/>
      <c r="H703" s="12"/>
      <c r="I703" s="12"/>
      <c r="J703" s="12"/>
      <c r="K703" s="12"/>
      <c r="L703" s="12"/>
      <c r="M703" s="12"/>
      <c r="N703" s="12"/>
      <c r="O703" s="12"/>
      <c r="P703" s="12"/>
      <c r="Q703" s="12"/>
      <c r="R703" s="12"/>
      <c r="S703" s="12"/>
      <c r="T703" s="12"/>
      <c r="U703" s="12"/>
      <c r="V703" s="12"/>
      <c r="W703" s="12"/>
      <c r="X703" s="12"/>
      <c r="Y703" s="12"/>
      <c r="Z703" s="12"/>
      <c r="AA703" s="12"/>
      <c r="AB703" s="12"/>
      <c r="AC703" s="12"/>
      <c r="AD703" s="12"/>
      <c r="AE703" s="12"/>
      <c r="AF703" s="12"/>
      <c r="AG703" s="12"/>
      <c r="AH703" s="12"/>
      <c r="AI703" s="12"/>
      <c r="AJ703" s="12"/>
      <c r="AK703" s="12"/>
      <c r="AL703" s="12"/>
    </row>
    <row r="704" spans="1:38" x14ac:dyDescent="0.3">
      <c r="A704" s="12"/>
      <c r="B704" s="12"/>
      <c r="C704" s="12"/>
      <c r="D704" s="12"/>
      <c r="E704" s="12"/>
      <c r="F704" s="12"/>
      <c r="G704" s="12"/>
      <c r="H704" s="12"/>
      <c r="I704" s="12"/>
      <c r="J704" s="12"/>
      <c r="K704" s="12"/>
      <c r="L704" s="12"/>
      <c r="M704" s="12"/>
      <c r="N704" s="12"/>
      <c r="O704" s="12"/>
      <c r="P704" s="12"/>
      <c r="Q704" s="12"/>
      <c r="R704" s="12"/>
      <c r="S704" s="12"/>
      <c r="T704" s="12"/>
      <c r="U704" s="12"/>
      <c r="V704" s="12"/>
      <c r="W704" s="12"/>
      <c r="X704" s="12"/>
      <c r="Y704" s="12"/>
      <c r="Z704" s="12"/>
      <c r="AA704" s="12"/>
      <c r="AB704" s="12"/>
      <c r="AC704" s="12"/>
      <c r="AD704" s="12"/>
      <c r="AE704" s="12"/>
      <c r="AF704" s="12"/>
      <c r="AG704" s="12"/>
      <c r="AH704" s="12"/>
      <c r="AI704" s="12"/>
      <c r="AJ704" s="12"/>
      <c r="AK704" s="12"/>
      <c r="AL704" s="12"/>
    </row>
    <row r="705" spans="1:38" x14ac:dyDescent="0.3">
      <c r="A705" s="12"/>
      <c r="B705" s="12"/>
      <c r="C705" s="12"/>
      <c r="D705" s="12"/>
      <c r="E705" s="12"/>
      <c r="F705" s="12"/>
      <c r="G705" s="12"/>
      <c r="H705" s="12"/>
      <c r="I705" s="12"/>
      <c r="J705" s="12"/>
      <c r="K705" s="12"/>
      <c r="L705" s="12"/>
      <c r="M705" s="12"/>
      <c r="N705" s="12"/>
      <c r="O705" s="12"/>
      <c r="P705" s="12"/>
      <c r="Q705" s="12"/>
      <c r="R705" s="12"/>
      <c r="S705" s="12"/>
      <c r="T705" s="12"/>
      <c r="U705" s="12"/>
      <c r="V705" s="12"/>
      <c r="W705" s="12"/>
      <c r="X705" s="12"/>
      <c r="Y705" s="12"/>
      <c r="Z705" s="12"/>
      <c r="AA705" s="12"/>
      <c r="AB705" s="12"/>
      <c r="AC705" s="12"/>
      <c r="AD705" s="12"/>
      <c r="AE705" s="12"/>
      <c r="AF705" s="12"/>
      <c r="AG705" s="12"/>
      <c r="AH705" s="12"/>
      <c r="AI705" s="12"/>
      <c r="AJ705" s="12"/>
      <c r="AK705" s="12"/>
      <c r="AL705" s="12"/>
    </row>
    <row r="706" spans="1:38" x14ac:dyDescent="0.3">
      <c r="A706" s="12"/>
      <c r="B706" s="12"/>
      <c r="C706" s="12"/>
      <c r="D706" s="12"/>
      <c r="E706" s="12"/>
      <c r="F706" s="12"/>
      <c r="G706" s="12"/>
      <c r="H706" s="12"/>
      <c r="I706" s="12"/>
      <c r="J706" s="12"/>
      <c r="K706" s="12"/>
      <c r="L706" s="12"/>
      <c r="M706" s="12"/>
      <c r="N706" s="12"/>
      <c r="O706" s="12"/>
      <c r="P706" s="12"/>
      <c r="Q706" s="12"/>
      <c r="R706" s="12"/>
      <c r="S706" s="12"/>
      <c r="T706" s="12"/>
      <c r="U706" s="12"/>
      <c r="V706" s="12"/>
      <c r="W706" s="12"/>
      <c r="X706" s="12"/>
      <c r="Y706" s="12"/>
      <c r="Z706" s="12"/>
      <c r="AA706" s="12"/>
      <c r="AB706" s="12"/>
      <c r="AC706" s="12"/>
      <c r="AD706" s="12"/>
      <c r="AE706" s="12"/>
      <c r="AF706" s="12"/>
      <c r="AG706" s="12"/>
      <c r="AH706" s="12"/>
      <c r="AI706" s="12"/>
      <c r="AJ706" s="12"/>
      <c r="AK706" s="12"/>
      <c r="AL706" s="12"/>
    </row>
    <row r="707" spans="1:38" x14ac:dyDescent="0.3">
      <c r="A707" s="12"/>
      <c r="B707" s="12"/>
      <c r="C707" s="12"/>
      <c r="D707" s="12"/>
      <c r="E707" s="12"/>
      <c r="F707" s="12"/>
      <c r="G707" s="12"/>
      <c r="H707" s="12"/>
      <c r="I707" s="12"/>
      <c r="J707" s="12"/>
      <c r="K707" s="12"/>
      <c r="L707" s="12"/>
      <c r="M707" s="12"/>
      <c r="N707" s="12"/>
      <c r="O707" s="12"/>
      <c r="P707" s="12"/>
      <c r="Q707" s="12"/>
      <c r="R707" s="12"/>
      <c r="S707" s="12"/>
      <c r="T707" s="12"/>
      <c r="U707" s="12"/>
      <c r="V707" s="12"/>
      <c r="W707" s="12"/>
      <c r="X707" s="12"/>
      <c r="Y707" s="12"/>
      <c r="Z707" s="12"/>
      <c r="AA707" s="12"/>
      <c r="AB707" s="12"/>
      <c r="AC707" s="12"/>
      <c r="AD707" s="12"/>
      <c r="AE707" s="12"/>
      <c r="AF707" s="12"/>
      <c r="AG707" s="12"/>
      <c r="AH707" s="12"/>
      <c r="AI707" s="12"/>
      <c r="AJ707" s="12"/>
      <c r="AK707" s="12"/>
      <c r="AL707" s="12"/>
    </row>
    <row r="708" spans="1:38" x14ac:dyDescent="0.3">
      <c r="A708" s="12"/>
      <c r="B708" s="12"/>
      <c r="C708" s="12"/>
      <c r="D708" s="12"/>
      <c r="E708" s="12"/>
      <c r="F708" s="12"/>
      <c r="G708" s="12"/>
      <c r="H708" s="12"/>
      <c r="I708" s="12"/>
      <c r="J708" s="12"/>
      <c r="K708" s="12"/>
      <c r="L708" s="12"/>
      <c r="M708" s="12"/>
      <c r="N708" s="12"/>
      <c r="O708" s="12"/>
      <c r="P708" s="12"/>
      <c r="Q708" s="12"/>
      <c r="R708" s="12"/>
      <c r="S708" s="12"/>
      <c r="T708" s="12"/>
      <c r="U708" s="12"/>
      <c r="V708" s="12"/>
      <c r="W708" s="12"/>
      <c r="X708" s="12"/>
      <c r="Y708" s="12"/>
      <c r="Z708" s="12"/>
      <c r="AA708" s="12"/>
      <c r="AB708" s="12"/>
      <c r="AC708" s="12"/>
      <c r="AD708" s="12"/>
      <c r="AE708" s="12"/>
      <c r="AF708" s="12"/>
      <c r="AG708" s="12"/>
      <c r="AH708" s="12"/>
      <c r="AI708" s="12"/>
      <c r="AJ708" s="12"/>
      <c r="AK708" s="12"/>
      <c r="AL708" s="12"/>
    </row>
    <row r="709" spans="1:38" x14ac:dyDescent="0.3">
      <c r="A709" s="12"/>
      <c r="B709" s="12"/>
      <c r="C709" s="12"/>
      <c r="D709" s="12"/>
      <c r="E709" s="12"/>
      <c r="F709" s="12"/>
      <c r="G709" s="12"/>
      <c r="H709" s="12"/>
      <c r="I709" s="12"/>
      <c r="J709" s="12"/>
      <c r="K709" s="12"/>
      <c r="L709" s="12"/>
      <c r="M709" s="12"/>
      <c r="N709" s="12"/>
      <c r="O709" s="12"/>
      <c r="P709" s="12"/>
      <c r="Q709" s="12"/>
      <c r="R709" s="12"/>
      <c r="S709" s="12"/>
      <c r="T709" s="12"/>
      <c r="U709" s="12"/>
      <c r="V709" s="12"/>
      <c r="W709" s="12"/>
      <c r="X709" s="12"/>
      <c r="Y709" s="12"/>
      <c r="Z709" s="12"/>
      <c r="AA709" s="12"/>
      <c r="AB709" s="12"/>
      <c r="AC709" s="12"/>
      <c r="AD709" s="12"/>
      <c r="AE709" s="12"/>
      <c r="AF709" s="12"/>
      <c r="AG709" s="12"/>
      <c r="AH709" s="12"/>
      <c r="AI709" s="12"/>
      <c r="AJ709" s="12"/>
      <c r="AK709" s="12"/>
      <c r="AL709" s="12"/>
    </row>
    <row r="710" spans="1:38" x14ac:dyDescent="0.3">
      <c r="A710" s="12"/>
      <c r="B710" s="12"/>
      <c r="C710" s="12"/>
      <c r="D710" s="12"/>
      <c r="E710" s="12"/>
      <c r="F710" s="12"/>
      <c r="G710" s="12"/>
      <c r="H710" s="12"/>
      <c r="I710" s="12"/>
      <c r="J710" s="12"/>
      <c r="K710" s="12"/>
      <c r="L710" s="12"/>
      <c r="M710" s="12"/>
      <c r="N710" s="12"/>
      <c r="O710" s="12"/>
      <c r="P710" s="12"/>
      <c r="Q710" s="12"/>
      <c r="R710" s="12"/>
      <c r="S710" s="12"/>
      <c r="T710" s="12"/>
      <c r="U710" s="12"/>
      <c r="V710" s="12"/>
      <c r="W710" s="12"/>
      <c r="X710" s="12"/>
      <c r="Y710" s="12"/>
      <c r="Z710" s="12"/>
      <c r="AA710" s="12"/>
      <c r="AB710" s="12"/>
      <c r="AC710" s="12"/>
      <c r="AD710" s="12"/>
      <c r="AE710" s="12"/>
      <c r="AF710" s="12"/>
      <c r="AG710" s="12"/>
      <c r="AH710" s="12"/>
      <c r="AI710" s="12"/>
      <c r="AJ710" s="12"/>
      <c r="AK710" s="12"/>
      <c r="AL710" s="12"/>
    </row>
    <row r="711" spans="1:38" x14ac:dyDescent="0.3">
      <c r="A711" s="12"/>
      <c r="B711" s="12"/>
      <c r="C711" s="12"/>
      <c r="D711" s="12"/>
      <c r="E711" s="12"/>
      <c r="F711" s="12"/>
      <c r="G711" s="12"/>
      <c r="H711" s="12"/>
      <c r="I711" s="12"/>
      <c r="J711" s="12"/>
      <c r="K711" s="12"/>
      <c r="L711" s="12"/>
      <c r="M711" s="12"/>
      <c r="N711" s="12"/>
      <c r="O711" s="12"/>
      <c r="P711" s="12"/>
      <c r="Q711" s="12"/>
      <c r="R711" s="12"/>
      <c r="S711" s="12"/>
      <c r="T711" s="12"/>
      <c r="U711" s="12"/>
      <c r="V711" s="12"/>
      <c r="W711" s="12"/>
      <c r="X711" s="12"/>
      <c r="Y711" s="12"/>
      <c r="Z711" s="12"/>
      <c r="AA711" s="12"/>
      <c r="AB711" s="12"/>
      <c r="AC711" s="12"/>
      <c r="AD711" s="12"/>
      <c r="AE711" s="12"/>
      <c r="AF711" s="12"/>
      <c r="AG711" s="12"/>
      <c r="AH711" s="12"/>
      <c r="AI711" s="12"/>
      <c r="AJ711" s="12"/>
      <c r="AK711" s="12"/>
      <c r="AL711" s="12"/>
    </row>
    <row r="712" spans="1:38" x14ac:dyDescent="0.3">
      <c r="A712" s="12"/>
      <c r="B712" s="12"/>
      <c r="C712" s="12"/>
      <c r="D712" s="12"/>
      <c r="E712" s="12"/>
      <c r="F712" s="12"/>
      <c r="G712" s="12"/>
      <c r="H712" s="12"/>
      <c r="I712" s="12"/>
      <c r="J712" s="12"/>
      <c r="K712" s="12"/>
      <c r="L712" s="12"/>
      <c r="M712" s="12"/>
      <c r="N712" s="12"/>
      <c r="O712" s="12"/>
      <c r="P712" s="12"/>
      <c r="Q712" s="12"/>
      <c r="R712" s="12"/>
      <c r="S712" s="12"/>
      <c r="T712" s="12"/>
      <c r="U712" s="12"/>
      <c r="V712" s="12"/>
      <c r="W712" s="12"/>
      <c r="X712" s="12"/>
      <c r="Y712" s="12"/>
      <c r="Z712" s="12"/>
      <c r="AA712" s="12"/>
      <c r="AB712" s="12"/>
      <c r="AC712" s="12"/>
      <c r="AD712" s="12"/>
      <c r="AE712" s="12"/>
      <c r="AF712" s="12"/>
      <c r="AG712" s="12"/>
      <c r="AH712" s="12"/>
      <c r="AI712" s="12"/>
      <c r="AJ712" s="12"/>
      <c r="AK712" s="12"/>
      <c r="AL712" s="12"/>
    </row>
    <row r="713" spans="1:38" x14ac:dyDescent="0.3">
      <c r="A713" s="12"/>
      <c r="B713" s="12"/>
      <c r="C713" s="12"/>
      <c r="D713" s="12"/>
      <c r="E713" s="12"/>
      <c r="F713" s="12"/>
      <c r="G713" s="12"/>
      <c r="H713" s="12"/>
      <c r="I713" s="12"/>
      <c r="J713" s="12"/>
      <c r="K713" s="12"/>
      <c r="L713" s="12"/>
      <c r="M713" s="12"/>
      <c r="N713" s="12"/>
      <c r="O713" s="12"/>
      <c r="P713" s="12"/>
      <c r="Q713" s="12"/>
      <c r="R713" s="12"/>
      <c r="S713" s="12"/>
      <c r="T713" s="12"/>
      <c r="U713" s="12"/>
      <c r="V713" s="12"/>
      <c r="W713" s="12"/>
      <c r="X713" s="12"/>
      <c r="Y713" s="12"/>
      <c r="Z713" s="12"/>
      <c r="AA713" s="12"/>
      <c r="AB713" s="12"/>
      <c r="AC713" s="12"/>
      <c r="AD713" s="12"/>
      <c r="AE713" s="12"/>
      <c r="AF713" s="12"/>
      <c r="AG713" s="12"/>
      <c r="AH713" s="12"/>
      <c r="AI713" s="12"/>
      <c r="AJ713" s="12"/>
      <c r="AK713" s="12"/>
      <c r="AL713" s="12"/>
    </row>
    <row r="714" spans="1:38" x14ac:dyDescent="0.3">
      <c r="A714" s="12"/>
      <c r="B714" s="12"/>
      <c r="C714" s="12"/>
      <c r="D714" s="12"/>
      <c r="E714" s="12"/>
      <c r="F714" s="12"/>
      <c r="G714" s="12"/>
      <c r="H714" s="12"/>
      <c r="I714" s="12"/>
      <c r="J714" s="12"/>
      <c r="K714" s="12"/>
      <c r="L714" s="12"/>
      <c r="M714" s="12"/>
      <c r="N714" s="12"/>
      <c r="O714" s="12"/>
      <c r="P714" s="12"/>
      <c r="Q714" s="12"/>
      <c r="R714" s="12"/>
      <c r="S714" s="12"/>
      <c r="T714" s="12"/>
      <c r="U714" s="12"/>
      <c r="V714" s="12"/>
      <c r="W714" s="12"/>
      <c r="X714" s="12"/>
      <c r="Y714" s="12"/>
      <c r="Z714" s="12"/>
      <c r="AA714" s="12"/>
      <c r="AB714" s="12"/>
      <c r="AC714" s="12"/>
      <c r="AD714" s="12"/>
      <c r="AE714" s="12"/>
      <c r="AF714" s="12"/>
      <c r="AG714" s="12"/>
      <c r="AH714" s="12"/>
      <c r="AI714" s="12"/>
      <c r="AJ714" s="12"/>
      <c r="AK714" s="12"/>
      <c r="AL714" s="12"/>
    </row>
    <row r="715" spans="1:38" x14ac:dyDescent="0.3">
      <c r="A715" s="12"/>
      <c r="B715" s="12"/>
      <c r="C715" s="12"/>
      <c r="D715" s="12"/>
      <c r="E715" s="12"/>
      <c r="F715" s="12"/>
      <c r="G715" s="12"/>
      <c r="H715" s="12"/>
      <c r="I715" s="12"/>
      <c r="J715" s="12"/>
      <c r="K715" s="12"/>
      <c r="L715" s="12"/>
      <c r="M715" s="12"/>
      <c r="N715" s="12"/>
      <c r="O715" s="12"/>
      <c r="P715" s="12"/>
      <c r="Q715" s="12"/>
      <c r="R715" s="12"/>
      <c r="S715" s="12"/>
      <c r="T715" s="12"/>
      <c r="U715" s="12"/>
      <c r="V715" s="12"/>
      <c r="W715" s="12"/>
      <c r="X715" s="12"/>
      <c r="Y715" s="12"/>
      <c r="Z715" s="12"/>
      <c r="AA715" s="12"/>
      <c r="AB715" s="12"/>
      <c r="AC715" s="12"/>
      <c r="AD715" s="12"/>
      <c r="AE715" s="12"/>
      <c r="AF715" s="12"/>
      <c r="AG715" s="12"/>
      <c r="AH715" s="12"/>
      <c r="AI715" s="12"/>
      <c r="AJ715" s="12"/>
      <c r="AK715" s="12"/>
      <c r="AL715" s="12"/>
    </row>
    <row r="716" spans="1:38" x14ac:dyDescent="0.3">
      <c r="A716" s="12"/>
      <c r="B716" s="12"/>
      <c r="C716" s="12"/>
      <c r="D716" s="12"/>
      <c r="E716" s="12"/>
      <c r="F716" s="12"/>
      <c r="G716" s="12"/>
      <c r="H716" s="12"/>
      <c r="I716" s="12"/>
      <c r="J716" s="12"/>
      <c r="K716" s="12"/>
      <c r="L716" s="12"/>
      <c r="M716" s="12"/>
      <c r="N716" s="12"/>
      <c r="O716" s="12"/>
      <c r="P716" s="12"/>
      <c r="Q716" s="12"/>
      <c r="R716" s="12"/>
      <c r="S716" s="12"/>
      <c r="T716" s="12"/>
      <c r="U716" s="12"/>
      <c r="V716" s="12"/>
      <c r="W716" s="12"/>
      <c r="X716" s="12"/>
      <c r="Y716" s="12"/>
      <c r="Z716" s="12"/>
      <c r="AA716" s="12"/>
      <c r="AB716" s="12"/>
      <c r="AC716" s="12"/>
      <c r="AD716" s="12"/>
      <c r="AE716" s="12"/>
      <c r="AF716" s="12"/>
      <c r="AG716" s="12"/>
      <c r="AH716" s="12"/>
      <c r="AI716" s="12"/>
      <c r="AJ716" s="12"/>
      <c r="AK716" s="12"/>
      <c r="AL716" s="12"/>
    </row>
    <row r="717" spans="1:38" x14ac:dyDescent="0.3">
      <c r="A717" s="12"/>
      <c r="B717" s="12"/>
      <c r="C717" s="12"/>
      <c r="D717" s="12"/>
      <c r="E717" s="12"/>
      <c r="F717" s="12"/>
      <c r="G717" s="12"/>
      <c r="H717" s="12"/>
      <c r="I717" s="12"/>
      <c r="J717" s="12"/>
      <c r="K717" s="12"/>
      <c r="L717" s="12"/>
      <c r="M717" s="12"/>
      <c r="N717" s="12"/>
      <c r="O717" s="12"/>
      <c r="P717" s="12"/>
      <c r="Q717" s="12"/>
      <c r="R717" s="12"/>
      <c r="S717" s="12"/>
      <c r="T717" s="12"/>
      <c r="U717" s="12"/>
      <c r="V717" s="12"/>
      <c r="W717" s="12"/>
      <c r="X717" s="12"/>
      <c r="Y717" s="12"/>
      <c r="Z717" s="12"/>
      <c r="AA717" s="12"/>
      <c r="AB717" s="12"/>
      <c r="AC717" s="12"/>
      <c r="AD717" s="12"/>
      <c r="AE717" s="12"/>
      <c r="AF717" s="12"/>
      <c r="AG717" s="12"/>
      <c r="AH717" s="12"/>
      <c r="AI717" s="12"/>
      <c r="AJ717" s="12"/>
      <c r="AK717" s="12"/>
      <c r="AL717" s="12"/>
    </row>
    <row r="718" spans="1:38" x14ac:dyDescent="0.3">
      <c r="A718" s="12"/>
      <c r="B718" s="12"/>
      <c r="C718" s="12"/>
      <c r="D718" s="12"/>
      <c r="E718" s="12"/>
      <c r="F718" s="12"/>
      <c r="G718" s="12"/>
      <c r="H718" s="12"/>
      <c r="I718" s="12"/>
      <c r="J718" s="12"/>
      <c r="K718" s="12"/>
      <c r="L718" s="12"/>
      <c r="M718" s="12"/>
      <c r="N718" s="12"/>
      <c r="O718" s="12"/>
      <c r="P718" s="12"/>
      <c r="Q718" s="12"/>
      <c r="R718" s="12"/>
      <c r="S718" s="12"/>
      <c r="T718" s="12"/>
      <c r="U718" s="12"/>
      <c r="V718" s="12"/>
      <c r="W718" s="12"/>
      <c r="X718" s="12"/>
      <c r="Y718" s="12"/>
      <c r="Z718" s="12"/>
      <c r="AA718" s="12"/>
      <c r="AB718" s="12"/>
      <c r="AC718" s="12"/>
      <c r="AD718" s="12"/>
      <c r="AE718" s="12"/>
      <c r="AF718" s="12"/>
      <c r="AG718" s="12"/>
      <c r="AH718" s="12"/>
      <c r="AI718" s="12"/>
      <c r="AJ718" s="12"/>
      <c r="AK718" s="12"/>
      <c r="AL718" s="12"/>
    </row>
    <row r="719" spans="1:38" x14ac:dyDescent="0.3">
      <c r="A719" s="12"/>
      <c r="B719" s="12"/>
      <c r="C719" s="12"/>
      <c r="D719" s="12"/>
      <c r="E719" s="12"/>
      <c r="F719" s="12"/>
      <c r="G719" s="12"/>
      <c r="H719" s="12"/>
      <c r="I719" s="12"/>
      <c r="J719" s="12"/>
      <c r="K719" s="12"/>
      <c r="L719" s="12"/>
      <c r="M719" s="12"/>
      <c r="N719" s="12"/>
      <c r="O719" s="12"/>
      <c r="P719" s="12"/>
      <c r="Q719" s="12"/>
      <c r="R719" s="12"/>
      <c r="S719" s="12"/>
      <c r="T719" s="12"/>
      <c r="U719" s="12"/>
      <c r="V719" s="12"/>
      <c r="W719" s="12"/>
      <c r="X719" s="12"/>
      <c r="Y719" s="12"/>
      <c r="Z719" s="12"/>
      <c r="AA719" s="12"/>
      <c r="AB719" s="12"/>
      <c r="AC719" s="12"/>
      <c r="AD719" s="12"/>
      <c r="AE719" s="12"/>
      <c r="AF719" s="12"/>
      <c r="AG719" s="12"/>
      <c r="AH719" s="12"/>
      <c r="AI719" s="12"/>
      <c r="AJ719" s="12"/>
      <c r="AK719" s="12"/>
      <c r="AL719" s="12"/>
    </row>
    <row r="720" spans="1:38" x14ac:dyDescent="0.3">
      <c r="A720" s="12"/>
      <c r="B720" s="12"/>
      <c r="C720" s="12"/>
      <c r="D720" s="12"/>
      <c r="E720" s="12"/>
      <c r="F720" s="12"/>
      <c r="G720" s="12"/>
      <c r="H720" s="12"/>
      <c r="I720" s="12"/>
      <c r="J720" s="12"/>
      <c r="K720" s="12"/>
      <c r="L720" s="12"/>
      <c r="M720" s="12"/>
      <c r="N720" s="12"/>
      <c r="O720" s="12"/>
      <c r="P720" s="12"/>
      <c r="Q720" s="12"/>
      <c r="R720" s="12"/>
      <c r="S720" s="12"/>
      <c r="T720" s="12"/>
      <c r="U720" s="12"/>
      <c r="V720" s="12"/>
      <c r="W720" s="12"/>
      <c r="X720" s="12"/>
      <c r="Y720" s="12"/>
      <c r="Z720" s="12"/>
      <c r="AA720" s="12"/>
      <c r="AB720" s="12"/>
      <c r="AC720" s="12"/>
      <c r="AD720" s="12"/>
      <c r="AE720" s="12"/>
      <c r="AF720" s="12"/>
      <c r="AG720" s="12"/>
      <c r="AH720" s="12"/>
      <c r="AI720" s="12"/>
      <c r="AJ720" s="12"/>
      <c r="AK720" s="12"/>
      <c r="AL720" s="12"/>
    </row>
    <row r="721" spans="1:38" x14ac:dyDescent="0.3">
      <c r="A721" s="12"/>
      <c r="B721" s="12"/>
      <c r="C721" s="12"/>
      <c r="D721" s="12"/>
      <c r="E721" s="12"/>
      <c r="F721" s="12"/>
      <c r="G721" s="12"/>
      <c r="H721" s="12"/>
      <c r="I721" s="12"/>
      <c r="J721" s="12"/>
      <c r="K721" s="12"/>
      <c r="L721" s="12"/>
      <c r="M721" s="12"/>
      <c r="N721" s="12"/>
      <c r="O721" s="12"/>
      <c r="P721" s="12"/>
      <c r="Q721" s="12"/>
      <c r="R721" s="12"/>
      <c r="S721" s="12"/>
      <c r="T721" s="12"/>
      <c r="U721" s="12"/>
      <c r="V721" s="12"/>
      <c r="W721" s="12"/>
      <c r="X721" s="12"/>
      <c r="Y721" s="12"/>
      <c r="Z721" s="12"/>
      <c r="AA721" s="12"/>
      <c r="AB721" s="12"/>
      <c r="AC721" s="12"/>
      <c r="AD721" s="12"/>
      <c r="AE721" s="12"/>
      <c r="AF721" s="12"/>
      <c r="AG721" s="12"/>
      <c r="AH721" s="12"/>
      <c r="AI721" s="12"/>
      <c r="AJ721" s="12"/>
      <c r="AK721" s="12"/>
      <c r="AL721" s="12"/>
    </row>
    <row r="722" spans="1:38" x14ac:dyDescent="0.3">
      <c r="A722" s="12"/>
      <c r="B722" s="12"/>
      <c r="C722" s="12"/>
      <c r="D722" s="12"/>
      <c r="E722" s="12"/>
      <c r="F722" s="12"/>
      <c r="G722" s="12"/>
      <c r="H722" s="12"/>
      <c r="I722" s="12"/>
      <c r="J722" s="12"/>
      <c r="K722" s="12"/>
      <c r="L722" s="12"/>
      <c r="M722" s="12"/>
      <c r="N722" s="12"/>
      <c r="O722" s="12"/>
      <c r="P722" s="12"/>
      <c r="Q722" s="12"/>
      <c r="R722" s="12"/>
      <c r="S722" s="12"/>
      <c r="T722" s="12"/>
      <c r="U722" s="12"/>
      <c r="V722" s="12"/>
      <c r="W722" s="12"/>
      <c r="X722" s="12"/>
      <c r="Y722" s="12"/>
      <c r="Z722" s="12"/>
      <c r="AA722" s="12"/>
      <c r="AB722" s="12"/>
      <c r="AC722" s="12"/>
      <c r="AD722" s="12"/>
      <c r="AE722" s="12"/>
      <c r="AF722" s="12"/>
      <c r="AG722" s="12"/>
      <c r="AH722" s="12"/>
      <c r="AI722" s="12"/>
      <c r="AJ722" s="12"/>
      <c r="AK722" s="12"/>
      <c r="AL722" s="12"/>
    </row>
    <row r="723" spans="1:38" x14ac:dyDescent="0.3">
      <c r="A723" s="12"/>
      <c r="B723" s="12"/>
      <c r="C723" s="12"/>
      <c r="D723" s="12"/>
      <c r="E723" s="12"/>
      <c r="F723" s="12"/>
      <c r="G723" s="12"/>
      <c r="H723" s="12"/>
      <c r="I723" s="12"/>
      <c r="J723" s="12"/>
      <c r="K723" s="12"/>
      <c r="L723" s="12"/>
      <c r="M723" s="12"/>
      <c r="N723" s="12"/>
      <c r="O723" s="12"/>
      <c r="P723" s="12"/>
      <c r="Q723" s="12"/>
      <c r="R723" s="12"/>
      <c r="S723" s="12"/>
      <c r="T723" s="12"/>
      <c r="U723" s="12"/>
      <c r="V723" s="12"/>
      <c r="W723" s="12"/>
      <c r="X723" s="12"/>
      <c r="Y723" s="12"/>
      <c r="Z723" s="12"/>
      <c r="AA723" s="12"/>
      <c r="AB723" s="12"/>
      <c r="AC723" s="12"/>
      <c r="AD723" s="12"/>
      <c r="AE723" s="12"/>
      <c r="AF723" s="12"/>
      <c r="AG723" s="12"/>
      <c r="AH723" s="12"/>
      <c r="AI723" s="12"/>
      <c r="AJ723" s="12"/>
      <c r="AK723" s="12"/>
      <c r="AL723" s="12"/>
    </row>
  </sheetData>
  <mergeCells count="21">
    <mergeCell ref="I118:N118"/>
    <mergeCell ref="E142:K143"/>
    <mergeCell ref="C46:K46"/>
    <mergeCell ref="C47:K47"/>
    <mergeCell ref="C48:I48"/>
    <mergeCell ref="E101:L101"/>
    <mergeCell ref="B102:D102"/>
    <mergeCell ref="E102:L102"/>
    <mergeCell ref="C49:K49"/>
    <mergeCell ref="B111:M111"/>
    <mergeCell ref="B117:M117"/>
    <mergeCell ref="B139:M139"/>
    <mergeCell ref="B13:M13"/>
    <mergeCell ref="B83:M83"/>
    <mergeCell ref="B99:M99"/>
    <mergeCell ref="C43:I43"/>
    <mergeCell ref="C44:I44"/>
    <mergeCell ref="C45:I45"/>
    <mergeCell ref="C42:M42"/>
    <mergeCell ref="C24:M24"/>
    <mergeCell ref="C40:M4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H38"/>
  <sheetViews>
    <sheetView showGridLines="0" topLeftCell="E16" zoomScaleNormal="100" workbookViewId="0">
      <selection activeCell="J25" sqref="J25"/>
    </sheetView>
  </sheetViews>
  <sheetFormatPr baseColWidth="10" defaultColWidth="11.44140625" defaultRowHeight="14.4" x14ac:dyDescent="0.3"/>
  <cols>
    <col min="1" max="1" width="4.6640625" customWidth="1"/>
    <col min="2" max="2" width="5.6640625" customWidth="1"/>
    <col min="3" max="4" width="26.6640625" customWidth="1"/>
    <col min="5" max="5" width="27.44140625" style="9" customWidth="1"/>
    <col min="6" max="6" width="9.88671875" style="9" customWidth="1"/>
    <col min="7" max="7" width="16.6640625" style="9" customWidth="1"/>
    <col min="8" max="9" width="13.5546875" style="9" customWidth="1"/>
    <col min="10" max="10" width="16.109375" style="9" customWidth="1"/>
    <col min="11" max="11" width="14.44140625" style="9" customWidth="1"/>
    <col min="12" max="12" width="11.33203125" style="11" customWidth="1"/>
    <col min="13" max="13" width="12.6640625" style="11" customWidth="1"/>
    <col min="14" max="34" width="11.44140625" style="11"/>
  </cols>
  <sheetData>
    <row r="1" spans="1:13" s="12" customFormat="1" ht="16.5" customHeight="1" x14ac:dyDescent="0.3"/>
    <row r="2" spans="1:13" s="12" customFormat="1" ht="16.5" customHeight="1" x14ac:dyDescent="0.3">
      <c r="B2" s="13"/>
      <c r="C2" s="13"/>
      <c r="D2" s="13"/>
      <c r="E2" s="13"/>
      <c r="F2" s="13"/>
      <c r="M2" s="14"/>
    </row>
    <row r="3" spans="1:13" s="12" customFormat="1" ht="16.5" customHeight="1" x14ac:dyDescent="0.3">
      <c r="B3" s="13"/>
      <c r="C3" s="13"/>
      <c r="D3" s="13"/>
      <c r="E3" s="13"/>
      <c r="F3" s="13"/>
    </row>
    <row r="4" spans="1:13" s="12" customFormat="1" ht="16.5" customHeight="1" x14ac:dyDescent="0.3">
      <c r="B4" s="13"/>
      <c r="C4" s="13"/>
      <c r="D4" s="13"/>
      <c r="E4" s="13"/>
      <c r="F4" s="13"/>
    </row>
    <row r="5" spans="1:13" s="12" customFormat="1" ht="16.5" customHeight="1" x14ac:dyDescent="0.3">
      <c r="B5" s="13"/>
      <c r="C5" s="13"/>
      <c r="D5" s="13"/>
      <c r="E5" s="13"/>
      <c r="F5" s="13"/>
    </row>
    <row r="6" spans="1:13" s="12" customFormat="1" ht="16.5" customHeight="1" x14ac:dyDescent="0.45">
      <c r="E6" s="13"/>
      <c r="K6" s="15"/>
    </row>
    <row r="7" spans="1:13" s="12" customFormat="1" ht="16.5" customHeight="1" x14ac:dyDescent="0.3">
      <c r="C7" s="96" t="s">
        <v>49</v>
      </c>
      <c r="D7" s="97"/>
      <c r="E7" s="137" t="s">
        <v>55</v>
      </c>
      <c r="F7" s="138"/>
      <c r="G7" s="16"/>
      <c r="H7" s="16"/>
      <c r="I7" s="16"/>
      <c r="J7" s="145" t="s">
        <v>50</v>
      </c>
      <c r="K7" s="145"/>
      <c r="L7" s="140">
        <v>44197</v>
      </c>
      <c r="M7" s="141"/>
    </row>
    <row r="8" spans="1:13" s="12" customFormat="1" ht="5.0999999999999996" customHeight="1" x14ac:dyDescent="0.3">
      <c r="C8" s="24"/>
      <c r="E8" s="25"/>
      <c r="F8" s="26"/>
      <c r="G8" s="16"/>
      <c r="H8" s="16"/>
      <c r="I8" s="16"/>
      <c r="J8" s="35"/>
      <c r="K8" s="36"/>
      <c r="L8" s="25"/>
    </row>
    <row r="9" spans="1:13" s="12" customFormat="1" ht="16.5" customHeight="1" x14ac:dyDescent="0.3">
      <c r="C9" s="96" t="s">
        <v>56</v>
      </c>
      <c r="D9" s="96"/>
      <c r="E9" s="139" t="s">
        <v>57</v>
      </c>
      <c r="F9" s="138"/>
      <c r="G9" s="16"/>
      <c r="H9" s="16"/>
      <c r="I9" s="16"/>
      <c r="J9" s="144" t="s">
        <v>52</v>
      </c>
      <c r="K9" s="144"/>
      <c r="L9" s="140">
        <v>44197</v>
      </c>
      <c r="M9" s="141"/>
    </row>
    <row r="10" spans="1:13" s="12" customFormat="1" ht="5.0999999999999996" customHeight="1" x14ac:dyDescent="0.3">
      <c r="C10" s="27"/>
      <c r="E10" s="25"/>
      <c r="F10" s="25"/>
      <c r="G10" s="16"/>
      <c r="H10" s="16"/>
      <c r="I10" s="16"/>
      <c r="J10" s="34"/>
      <c r="K10" s="33"/>
      <c r="L10" s="25"/>
    </row>
    <row r="11" spans="1:13" s="12" customFormat="1" ht="16.5" customHeight="1" x14ac:dyDescent="0.3">
      <c r="C11" s="96" t="s">
        <v>51</v>
      </c>
      <c r="D11" s="97"/>
      <c r="E11" s="137" t="s">
        <v>58</v>
      </c>
      <c r="F11" s="138"/>
      <c r="G11" s="16"/>
      <c r="H11" s="16"/>
      <c r="I11" s="16"/>
      <c r="J11" s="144" t="s">
        <v>53</v>
      </c>
      <c r="K11" s="144"/>
      <c r="L11" s="142" t="s">
        <v>61</v>
      </c>
      <c r="M11" s="143"/>
    </row>
    <row r="12" spans="1:13" s="12" customFormat="1" ht="5.0999999999999996" customHeight="1" x14ac:dyDescent="0.3">
      <c r="C12" s="24"/>
      <c r="E12" s="25"/>
      <c r="F12" s="25"/>
      <c r="G12" s="16"/>
      <c r="H12" s="16"/>
      <c r="I12" s="16"/>
      <c r="J12" s="17"/>
      <c r="K12" s="17"/>
    </row>
    <row r="13" spans="1:13" s="12" customFormat="1" ht="16.5" customHeight="1" x14ac:dyDescent="0.3">
      <c r="C13" s="96" t="s">
        <v>59</v>
      </c>
      <c r="D13" s="96"/>
      <c r="E13" s="139" t="s">
        <v>60</v>
      </c>
      <c r="F13" s="138"/>
      <c r="G13" s="16"/>
      <c r="H13" s="16"/>
      <c r="I13" s="16"/>
      <c r="J13" s="16"/>
      <c r="K13" s="16"/>
      <c r="L13" s="16"/>
      <c r="M13" s="16"/>
    </row>
    <row r="14" spans="1:13" s="12" customFormat="1" ht="16.5" customHeight="1" x14ac:dyDescent="0.3">
      <c r="B14" s="24"/>
      <c r="C14" s="24"/>
      <c r="D14" s="24"/>
      <c r="E14" s="24"/>
      <c r="F14" s="24"/>
      <c r="G14" s="16"/>
      <c r="H14" s="16"/>
      <c r="I14" s="16"/>
      <c r="J14" s="136" t="s">
        <v>62</v>
      </c>
      <c r="K14" s="136"/>
      <c r="L14" s="74"/>
      <c r="M14" s="16"/>
    </row>
    <row r="15" spans="1:13" s="12" customFormat="1" ht="16.5" customHeight="1" x14ac:dyDescent="0.3">
      <c r="A15" s="18"/>
      <c r="B15" s="19"/>
      <c r="C15" s="19"/>
      <c r="D15" s="19"/>
      <c r="E15" s="19"/>
      <c r="F15" s="19"/>
      <c r="G15" s="19"/>
      <c r="H15" s="19"/>
      <c r="I15" s="19"/>
      <c r="J15" s="136" t="s">
        <v>63</v>
      </c>
      <c r="K15" s="136"/>
      <c r="L15" s="75"/>
      <c r="M15" s="19"/>
    </row>
    <row r="16" spans="1:13" s="79" customFormat="1" ht="16.5" customHeight="1" x14ac:dyDescent="0.3">
      <c r="A16" s="76"/>
      <c r="B16" s="77"/>
      <c r="C16" s="77"/>
      <c r="D16" s="77"/>
      <c r="E16" s="77"/>
      <c r="F16" s="77"/>
      <c r="G16" s="77"/>
      <c r="H16" s="77"/>
      <c r="I16" s="77"/>
      <c r="J16" s="77"/>
      <c r="K16" s="78"/>
      <c r="L16" s="77"/>
      <c r="M16" s="77"/>
    </row>
    <row r="17" spans="1:13" s="21" customFormat="1" ht="23.25" customHeight="1" x14ac:dyDescent="0.3">
      <c r="A17" s="20"/>
      <c r="B17" s="45" t="s">
        <v>54</v>
      </c>
      <c r="C17" s="65" t="s">
        <v>0</v>
      </c>
      <c r="D17" s="65" t="s">
        <v>86</v>
      </c>
      <c r="E17" s="65" t="s">
        <v>27</v>
      </c>
      <c r="F17" s="118" t="s">
        <v>37</v>
      </c>
      <c r="G17" s="67" t="s">
        <v>26</v>
      </c>
      <c r="H17" s="68" t="s">
        <v>28</v>
      </c>
      <c r="I17" s="65" t="s">
        <v>1</v>
      </c>
      <c r="J17" s="65" t="s">
        <v>38</v>
      </c>
      <c r="K17" s="67" t="s">
        <v>39</v>
      </c>
      <c r="L17" s="67" t="s">
        <v>48</v>
      </c>
      <c r="M17" s="66" t="s">
        <v>29</v>
      </c>
    </row>
    <row r="18" spans="1:13" s="12" customFormat="1" ht="21.6" customHeight="1" x14ac:dyDescent="0.3">
      <c r="A18" s="22"/>
      <c r="B18" s="23">
        <v>1</v>
      </c>
      <c r="C18" s="23" t="s">
        <v>87</v>
      </c>
      <c r="D18" s="23" t="s">
        <v>88</v>
      </c>
      <c r="E18" s="23" t="s">
        <v>89</v>
      </c>
      <c r="F18" s="31"/>
      <c r="G18" s="30">
        <v>1</v>
      </c>
      <c r="H18" s="28">
        <v>44284</v>
      </c>
      <c r="I18" s="28">
        <v>44592</v>
      </c>
      <c r="J18" s="80">
        <f t="shared" ref="J18:J23" si="0">(NETWORKDAYS(H18,I18)-M18)*G18</f>
        <v>201</v>
      </c>
      <c r="K18" s="124">
        <f>SUMIF('Plan de charge'!$D$19:$D$261,C18,'Plan de charge'!$G$19:$G$261)</f>
        <v>78</v>
      </c>
      <c r="L18" s="125">
        <f>K18/J18</f>
        <v>0.38805970149253732</v>
      </c>
      <c r="M18" s="32">
        <v>20</v>
      </c>
    </row>
    <row r="19" spans="1:13" s="11" customFormat="1" ht="21.6" customHeight="1" x14ac:dyDescent="0.3">
      <c r="B19" s="23">
        <v>2</v>
      </c>
      <c r="C19" s="23" t="s">
        <v>90</v>
      </c>
      <c r="D19" s="23" t="s">
        <v>91</v>
      </c>
      <c r="E19" s="23" t="s">
        <v>92</v>
      </c>
      <c r="F19" s="31"/>
      <c r="G19" s="30">
        <v>0.2</v>
      </c>
      <c r="H19" s="28">
        <v>44284</v>
      </c>
      <c r="I19" s="28">
        <v>44592</v>
      </c>
      <c r="J19" s="80">
        <f t="shared" si="0"/>
        <v>43.2</v>
      </c>
      <c r="K19" s="124">
        <f>SUMIF('Plan de charge'!$D$19:$D$261,C19,'Plan de charge'!$G$19:$G$261)</f>
        <v>0</v>
      </c>
      <c r="L19" s="125">
        <f t="shared" ref="L19:L38" si="1">K19/J19</f>
        <v>0</v>
      </c>
      <c r="M19" s="32">
        <v>5</v>
      </c>
    </row>
    <row r="20" spans="1:13" s="11" customFormat="1" ht="21.6" customHeight="1" x14ac:dyDescent="0.3">
      <c r="B20" s="23">
        <v>3</v>
      </c>
      <c r="C20" s="23" t="s">
        <v>93</v>
      </c>
      <c r="D20" s="23" t="s">
        <v>94</v>
      </c>
      <c r="E20" s="23" t="s">
        <v>95</v>
      </c>
      <c r="F20" s="31"/>
      <c r="G20" s="30">
        <v>1</v>
      </c>
      <c r="H20" s="28">
        <v>44284</v>
      </c>
      <c r="I20" s="28">
        <v>44592</v>
      </c>
      <c r="J20" s="80">
        <f t="shared" si="0"/>
        <v>211</v>
      </c>
      <c r="K20" s="124">
        <f>SUMIF('Plan de charge'!$D$19:$D$261,C20,'Plan de charge'!$G$19:$G$261)</f>
        <v>189</v>
      </c>
      <c r="L20" s="125">
        <f t="shared" si="1"/>
        <v>0.89573459715639814</v>
      </c>
      <c r="M20" s="32">
        <v>10</v>
      </c>
    </row>
    <row r="21" spans="1:13" s="11" customFormat="1" ht="21.6" customHeight="1" x14ac:dyDescent="0.3">
      <c r="B21" s="23">
        <v>4</v>
      </c>
      <c r="C21" s="23" t="s">
        <v>96</v>
      </c>
      <c r="D21" s="23" t="s">
        <v>97</v>
      </c>
      <c r="E21" s="23" t="s">
        <v>98</v>
      </c>
      <c r="F21" s="31"/>
      <c r="G21" s="30">
        <v>1</v>
      </c>
      <c r="H21" s="28">
        <v>44298</v>
      </c>
      <c r="I21" s="28">
        <v>44576</v>
      </c>
      <c r="J21" s="80">
        <f t="shared" si="0"/>
        <v>190</v>
      </c>
      <c r="K21" s="124">
        <f>SUMIF('Plan de charge'!$D$19:$D$261,C21,'Plan de charge'!$G$19:$G$261)</f>
        <v>189</v>
      </c>
      <c r="L21" s="125">
        <f t="shared" si="1"/>
        <v>0.99473684210526314</v>
      </c>
      <c r="M21" s="32">
        <v>10</v>
      </c>
    </row>
    <row r="22" spans="1:13" s="11" customFormat="1" ht="21.6" customHeight="1" x14ac:dyDescent="0.3">
      <c r="B22" s="23">
        <v>5</v>
      </c>
      <c r="C22" s="23" t="s">
        <v>99</v>
      </c>
      <c r="D22" s="23" t="s">
        <v>100</v>
      </c>
      <c r="E22" s="23" t="s">
        <v>101</v>
      </c>
      <c r="F22" s="31"/>
      <c r="G22" s="30">
        <v>1</v>
      </c>
      <c r="H22" s="28">
        <v>44298</v>
      </c>
      <c r="I22" s="28">
        <v>44576</v>
      </c>
      <c r="J22" s="80">
        <f t="shared" si="0"/>
        <v>185</v>
      </c>
      <c r="K22" s="124">
        <f>SUMIF('Plan de charge'!$D$19:$D$261,C22,'Plan de charge'!$G$19:$G$261)</f>
        <v>189</v>
      </c>
      <c r="L22" s="125">
        <f t="shared" si="1"/>
        <v>1.0216216216216216</v>
      </c>
      <c r="M22" s="32">
        <v>15</v>
      </c>
    </row>
    <row r="23" spans="1:13" x14ac:dyDescent="0.3">
      <c r="B23" s="23">
        <v>6</v>
      </c>
      <c r="C23" s="23" t="s">
        <v>102</v>
      </c>
      <c r="D23" s="23" t="s">
        <v>103</v>
      </c>
      <c r="E23" s="23" t="s">
        <v>104</v>
      </c>
      <c r="F23" s="30"/>
      <c r="G23" s="30">
        <v>1</v>
      </c>
      <c r="H23" s="28">
        <v>44298</v>
      </c>
      <c r="I23" s="28">
        <v>44576</v>
      </c>
      <c r="J23" s="80">
        <f t="shared" si="0"/>
        <v>200</v>
      </c>
      <c r="K23" s="124">
        <f>SUMIF('Plan de charge'!$D$19:$D$261,C23,'Plan de charge'!$G$19:$G$261)</f>
        <v>189</v>
      </c>
      <c r="L23" s="125">
        <f t="shared" si="1"/>
        <v>0.94499999999999995</v>
      </c>
      <c r="M23" s="32">
        <v>0</v>
      </c>
    </row>
    <row r="24" spans="1:13" x14ac:dyDescent="0.3">
      <c r="B24" s="23">
        <v>7</v>
      </c>
      <c r="C24" s="23" t="s">
        <v>105</v>
      </c>
      <c r="D24" s="23" t="s">
        <v>106</v>
      </c>
      <c r="E24" s="23" t="s">
        <v>107</v>
      </c>
      <c r="F24" s="30"/>
      <c r="G24" s="30">
        <v>1</v>
      </c>
      <c r="H24" s="28">
        <v>44298</v>
      </c>
      <c r="I24" s="28">
        <v>44576</v>
      </c>
      <c r="J24" s="80">
        <f t="shared" ref="J24:J38" si="2">(NETWORKDAYS(H24,I24)-M24)*G24</f>
        <v>200</v>
      </c>
      <c r="K24" s="124">
        <f>SUMIF('Plan de charge'!$D$19:$D$261,C24,'Plan de charge'!$G$19:$G$261)</f>
        <v>189</v>
      </c>
      <c r="L24" s="125">
        <f t="shared" si="1"/>
        <v>0.94499999999999995</v>
      </c>
      <c r="M24" s="32">
        <v>0</v>
      </c>
    </row>
    <row r="25" spans="1:13" x14ac:dyDescent="0.3">
      <c r="B25" s="23">
        <v>8</v>
      </c>
      <c r="C25" s="23" t="s">
        <v>108</v>
      </c>
      <c r="D25" s="23" t="s">
        <v>109</v>
      </c>
      <c r="E25" s="23" t="s">
        <v>110</v>
      </c>
      <c r="F25" s="30"/>
      <c r="G25" s="30">
        <v>0.15</v>
      </c>
      <c r="H25" s="28">
        <v>44284</v>
      </c>
      <c r="I25" s="28">
        <v>44592</v>
      </c>
      <c r="J25" s="80">
        <f t="shared" si="2"/>
        <v>33.15</v>
      </c>
      <c r="K25" s="124">
        <f>SUMIF('Plan de charge'!$D$19:$D$261,C25,'Plan de charge'!$G$19:$G$261)</f>
        <v>33</v>
      </c>
      <c r="L25" s="125">
        <f t="shared" si="1"/>
        <v>0.99547511312217196</v>
      </c>
      <c r="M25" s="32">
        <v>0</v>
      </c>
    </row>
    <row r="26" spans="1:13" x14ac:dyDescent="0.3">
      <c r="B26" s="23">
        <v>9</v>
      </c>
      <c r="C26" s="23" t="s">
        <v>180</v>
      </c>
      <c r="D26" s="23" t="s">
        <v>111</v>
      </c>
      <c r="E26" s="23" t="s">
        <v>112</v>
      </c>
      <c r="F26" s="30"/>
      <c r="G26" s="30">
        <v>1</v>
      </c>
      <c r="H26" s="28">
        <v>44331</v>
      </c>
      <c r="I26" s="28">
        <v>44592</v>
      </c>
      <c r="J26" s="80">
        <f t="shared" si="2"/>
        <v>186</v>
      </c>
      <c r="K26" s="124">
        <f>SUMIF('Plan de charge'!$D$19:$D$261,C26,'Plan de charge'!$G$19:$G$261)</f>
        <v>33</v>
      </c>
      <c r="L26" s="125">
        <f t="shared" si="1"/>
        <v>0.17741935483870969</v>
      </c>
      <c r="M26" s="32">
        <v>0</v>
      </c>
    </row>
    <row r="27" spans="1:13" x14ac:dyDescent="0.3">
      <c r="B27" s="23">
        <v>10</v>
      </c>
      <c r="C27" s="23" t="s">
        <v>113</v>
      </c>
      <c r="D27" s="23" t="s">
        <v>114</v>
      </c>
      <c r="E27" s="23" t="s">
        <v>115</v>
      </c>
      <c r="F27" s="30"/>
      <c r="G27" s="30">
        <v>1</v>
      </c>
      <c r="H27" s="28">
        <v>44378</v>
      </c>
      <c r="I27" s="28">
        <v>44576</v>
      </c>
      <c r="J27" s="80">
        <f t="shared" si="2"/>
        <v>142</v>
      </c>
      <c r="K27" s="124">
        <f>SUMIF('Plan de charge'!$D$19:$D$261,C27,'Plan de charge'!$G$19:$G$261)</f>
        <v>124</v>
      </c>
      <c r="L27" s="125">
        <f t="shared" si="1"/>
        <v>0.87323943661971826</v>
      </c>
      <c r="M27" s="32">
        <v>0</v>
      </c>
    </row>
    <row r="28" spans="1:13" ht="28.8" x14ac:dyDescent="0.3">
      <c r="B28" s="23">
        <v>11</v>
      </c>
      <c r="C28" s="23" t="s">
        <v>116</v>
      </c>
      <c r="D28" s="23" t="s">
        <v>117</v>
      </c>
      <c r="E28" s="23" t="s">
        <v>118</v>
      </c>
      <c r="F28" s="30"/>
      <c r="G28" s="30">
        <v>1</v>
      </c>
      <c r="H28" s="28">
        <v>44378</v>
      </c>
      <c r="I28" s="28">
        <v>44576</v>
      </c>
      <c r="J28" s="80">
        <f t="shared" si="2"/>
        <v>142</v>
      </c>
      <c r="K28" s="124">
        <f>SUMIF('Plan de charge'!$D$19:$D$261,C28,'Plan de charge'!$G$19:$G$261)</f>
        <v>124</v>
      </c>
      <c r="L28" s="125">
        <f t="shared" si="1"/>
        <v>0.87323943661971826</v>
      </c>
      <c r="M28" s="32">
        <v>0</v>
      </c>
    </row>
    <row r="29" spans="1:13" x14ac:dyDescent="0.3">
      <c r="B29" s="23">
        <v>12</v>
      </c>
      <c r="C29" s="23" t="s">
        <v>119</v>
      </c>
      <c r="D29" s="23" t="s">
        <v>120</v>
      </c>
      <c r="E29" s="23" t="s">
        <v>121</v>
      </c>
      <c r="F29" s="30"/>
      <c r="G29" s="30">
        <v>1</v>
      </c>
      <c r="H29" s="28">
        <v>44378</v>
      </c>
      <c r="I29" s="28">
        <v>44576</v>
      </c>
      <c r="J29" s="80">
        <f t="shared" si="2"/>
        <v>142</v>
      </c>
      <c r="K29" s="124">
        <f>SUMIF('Plan de charge'!$D$19:$D$261,C29,'Plan de charge'!$G$19:$G$261)</f>
        <v>124</v>
      </c>
      <c r="L29" s="125">
        <f t="shared" si="1"/>
        <v>0.87323943661971826</v>
      </c>
      <c r="M29" s="32">
        <v>0</v>
      </c>
    </row>
    <row r="30" spans="1:13" x14ac:dyDescent="0.3">
      <c r="B30" s="23">
        <v>13</v>
      </c>
      <c r="C30" s="23" t="s">
        <v>122</v>
      </c>
      <c r="D30" s="23" t="s">
        <v>120</v>
      </c>
      <c r="E30" s="23" t="s">
        <v>123</v>
      </c>
      <c r="F30" s="30"/>
      <c r="G30" s="30">
        <v>1</v>
      </c>
      <c r="H30" s="28">
        <v>44378</v>
      </c>
      <c r="I30" s="28">
        <v>44576</v>
      </c>
      <c r="J30" s="80">
        <f t="shared" si="2"/>
        <v>142</v>
      </c>
      <c r="K30" s="124">
        <f>SUMIF('Plan de charge'!$D$19:$D$261,C30,'Plan de charge'!$G$19:$G$261)</f>
        <v>124</v>
      </c>
      <c r="L30" s="125">
        <f t="shared" si="1"/>
        <v>0.87323943661971826</v>
      </c>
      <c r="M30" s="32">
        <v>0</v>
      </c>
    </row>
    <row r="31" spans="1:13" x14ac:dyDescent="0.3">
      <c r="B31" s="23">
        <v>14</v>
      </c>
      <c r="C31" s="23" t="s">
        <v>124</v>
      </c>
      <c r="D31" s="23" t="s">
        <v>125</v>
      </c>
      <c r="E31" s="23" t="s">
        <v>126</v>
      </c>
      <c r="F31" s="30"/>
      <c r="G31" s="30">
        <v>1</v>
      </c>
      <c r="H31" s="28">
        <v>44378</v>
      </c>
      <c r="I31" s="28">
        <v>44576</v>
      </c>
      <c r="J31" s="80">
        <f t="shared" si="2"/>
        <v>142</v>
      </c>
      <c r="K31" s="124">
        <f>SUMIF('Plan de charge'!$D$19:$D$261,C31,'Plan de charge'!$G$19:$G$261)</f>
        <v>124</v>
      </c>
      <c r="L31" s="125">
        <f t="shared" si="1"/>
        <v>0.87323943661971826</v>
      </c>
      <c r="M31" s="32">
        <v>0</v>
      </c>
    </row>
    <row r="32" spans="1:13" x14ac:dyDescent="0.3">
      <c r="B32" s="23">
        <v>15</v>
      </c>
      <c r="C32" s="23" t="s">
        <v>127</v>
      </c>
      <c r="D32" s="23" t="s">
        <v>125</v>
      </c>
      <c r="E32" s="23" t="s">
        <v>128</v>
      </c>
      <c r="F32" s="30"/>
      <c r="G32" s="30">
        <v>1</v>
      </c>
      <c r="H32" s="28">
        <v>44378</v>
      </c>
      <c r="I32" s="28">
        <v>44576</v>
      </c>
      <c r="J32" s="80">
        <f t="shared" si="2"/>
        <v>142</v>
      </c>
      <c r="K32" s="124">
        <f>SUMIF('Plan de charge'!$D$19:$D$261,C32,'Plan de charge'!$G$19:$G$261)</f>
        <v>124</v>
      </c>
      <c r="L32" s="125">
        <f t="shared" si="1"/>
        <v>0.87323943661971826</v>
      </c>
      <c r="M32" s="32">
        <v>0</v>
      </c>
    </row>
    <row r="33" spans="2:13" x14ac:dyDescent="0.3">
      <c r="B33" s="23">
        <v>16</v>
      </c>
      <c r="C33" s="23" t="s">
        <v>129</v>
      </c>
      <c r="D33" s="23" t="s">
        <v>130</v>
      </c>
      <c r="E33" s="23" t="s">
        <v>131</v>
      </c>
      <c r="F33" s="30"/>
      <c r="G33" s="30">
        <v>1</v>
      </c>
      <c r="H33" s="28">
        <v>44378</v>
      </c>
      <c r="I33" s="28">
        <v>44576</v>
      </c>
      <c r="J33" s="80">
        <f t="shared" si="2"/>
        <v>142</v>
      </c>
      <c r="K33" s="124">
        <f>SUMIF('Plan de charge'!$D$19:$D$261,C33,'Plan de charge'!$G$19:$G$261)</f>
        <v>124</v>
      </c>
      <c r="L33" s="125">
        <f t="shared" si="1"/>
        <v>0.87323943661971826</v>
      </c>
      <c r="M33" s="32">
        <v>0</v>
      </c>
    </row>
    <row r="34" spans="2:13" x14ac:dyDescent="0.3">
      <c r="B34" s="23">
        <v>17</v>
      </c>
      <c r="C34" s="23" t="s">
        <v>132</v>
      </c>
      <c r="D34" s="23" t="s">
        <v>130</v>
      </c>
      <c r="E34" s="23" t="s">
        <v>133</v>
      </c>
      <c r="F34" s="30"/>
      <c r="G34" s="30">
        <v>1</v>
      </c>
      <c r="H34" s="28">
        <v>44378</v>
      </c>
      <c r="I34" s="28">
        <v>44576</v>
      </c>
      <c r="J34" s="80">
        <f t="shared" si="2"/>
        <v>142</v>
      </c>
      <c r="K34" s="124">
        <f>SUMIF('Plan de charge'!$D$19:$D$261,C34,'Plan de charge'!$G$19:$G$261)</f>
        <v>124</v>
      </c>
      <c r="L34" s="125">
        <f t="shared" si="1"/>
        <v>0.87323943661971826</v>
      </c>
      <c r="M34" s="32">
        <v>0</v>
      </c>
    </row>
    <row r="35" spans="2:13" x14ac:dyDescent="0.3">
      <c r="B35" s="23">
        <v>18</v>
      </c>
      <c r="C35" s="23" t="s">
        <v>134</v>
      </c>
      <c r="D35" s="23" t="s">
        <v>135</v>
      </c>
      <c r="E35" s="23" t="s">
        <v>136</v>
      </c>
      <c r="F35" s="30"/>
      <c r="G35" s="30">
        <v>0.75</v>
      </c>
      <c r="H35" s="28">
        <v>44317</v>
      </c>
      <c r="I35" s="28">
        <v>44576</v>
      </c>
      <c r="J35" s="80">
        <f t="shared" si="2"/>
        <v>138.75</v>
      </c>
      <c r="K35" s="124">
        <f>SUMIF('Plan de charge'!$D$19:$D$261,C35,'Plan de charge'!$G$19:$G$261)</f>
        <v>146</v>
      </c>
      <c r="L35" s="125">
        <f t="shared" si="1"/>
        <v>1.0522522522522522</v>
      </c>
      <c r="M35" s="32">
        <v>0</v>
      </c>
    </row>
    <row r="36" spans="2:13" x14ac:dyDescent="0.3">
      <c r="B36" s="23">
        <v>19</v>
      </c>
      <c r="C36" s="23" t="s">
        <v>137</v>
      </c>
      <c r="D36" s="23" t="s">
        <v>138</v>
      </c>
      <c r="E36" s="23" t="s">
        <v>139</v>
      </c>
      <c r="F36" s="30"/>
      <c r="G36" s="30">
        <v>0.75</v>
      </c>
      <c r="H36" s="28">
        <v>44317</v>
      </c>
      <c r="I36" s="28">
        <v>44576</v>
      </c>
      <c r="J36" s="80">
        <f t="shared" si="2"/>
        <v>138.75</v>
      </c>
      <c r="K36" s="124">
        <f>SUMIF('Plan de charge'!$D$19:$D$261,C36,'Plan de charge'!$G$19:$G$261)</f>
        <v>146</v>
      </c>
      <c r="L36" s="125">
        <f t="shared" si="1"/>
        <v>1.0522522522522522</v>
      </c>
      <c r="M36" s="32">
        <v>0</v>
      </c>
    </row>
    <row r="37" spans="2:13" x14ac:dyDescent="0.3">
      <c r="B37" s="23">
        <v>20</v>
      </c>
      <c r="C37" s="23" t="s">
        <v>140</v>
      </c>
      <c r="D37" s="23" t="s">
        <v>141</v>
      </c>
      <c r="E37" s="23" t="s">
        <v>142</v>
      </c>
      <c r="F37" s="30"/>
      <c r="G37" s="30">
        <v>0.9</v>
      </c>
      <c r="H37" s="28">
        <v>44378</v>
      </c>
      <c r="I37" s="28">
        <v>44561</v>
      </c>
      <c r="J37" s="80">
        <f t="shared" si="2"/>
        <v>118.8</v>
      </c>
      <c r="K37" s="124">
        <f>SUMIF('Plan de charge'!$D$19:$D$261,C37,'Plan de charge'!$G$19:$G$261)</f>
        <v>108</v>
      </c>
      <c r="L37" s="125">
        <f t="shared" si="1"/>
        <v>0.90909090909090906</v>
      </c>
      <c r="M37" s="32">
        <v>0</v>
      </c>
    </row>
    <row r="38" spans="2:13" x14ac:dyDescent="0.3">
      <c r="B38" s="23">
        <v>21</v>
      </c>
      <c r="C38" s="23" t="s">
        <v>143</v>
      </c>
      <c r="D38" s="23" t="s">
        <v>144</v>
      </c>
      <c r="E38" s="23"/>
      <c r="F38" s="30"/>
      <c r="G38" s="30">
        <v>0.6</v>
      </c>
      <c r="H38" s="28">
        <v>44409</v>
      </c>
      <c r="I38" s="28">
        <v>44576</v>
      </c>
      <c r="J38" s="80">
        <f t="shared" si="2"/>
        <v>72</v>
      </c>
      <c r="K38" s="124">
        <f>SUMIF('Plan de charge'!$D$19:$D$261,C38,'Plan de charge'!$G$19:$G$261)</f>
        <v>69</v>
      </c>
      <c r="L38" s="125">
        <f t="shared" si="1"/>
        <v>0.95833333333333337</v>
      </c>
      <c r="M38" s="32">
        <v>0</v>
      </c>
    </row>
  </sheetData>
  <mergeCells count="12">
    <mergeCell ref="L7:M7"/>
    <mergeCell ref="L9:M9"/>
    <mergeCell ref="L11:M11"/>
    <mergeCell ref="J11:K11"/>
    <mergeCell ref="J9:K9"/>
    <mergeCell ref="J7:K7"/>
    <mergeCell ref="J14:K14"/>
    <mergeCell ref="J15:K15"/>
    <mergeCell ref="E7:F7"/>
    <mergeCell ref="E9:F9"/>
    <mergeCell ref="E11:F11"/>
    <mergeCell ref="E13:F13"/>
  </mergeCells>
  <conditionalFormatting sqref="K18:L38">
    <cfRule type="expression" dxfId="16" priority="11" stopIfTrue="1">
      <formula>AND($L18&lt;=1.0049,$L18&gt;=0.9951)</formula>
    </cfRule>
    <cfRule type="expression" dxfId="15" priority="13">
      <formula>$L18&lt;1</formula>
    </cfRule>
    <cfRule type="expression" dxfId="14" priority="15">
      <formula>$L18&gt;1</formula>
    </cfRule>
  </conditionalFormatting>
  <dataValidations disablePrompts="1" count="1">
    <dataValidation type="list" allowBlank="1" showInputMessage="1" showErrorMessage="1" sqref="H17" xr:uid="{00000000-0002-0000-0100-000000000000}">
      <formula1>"Modéré"</formula1>
    </dataValidation>
  </dataValidations>
  <hyperlinks>
    <hyperlink ref="E26" r:id="rId1" xr:uid="{00000000-0004-0000-0100-000000000000}"/>
    <hyperlink ref="E27" r:id="rId2" xr:uid="{00000000-0004-0000-0100-000001000000}"/>
    <hyperlink ref="E28" r:id="rId3" xr:uid="{00000000-0004-0000-0100-000002000000}"/>
    <hyperlink ref="E29" r:id="rId4" xr:uid="{00000000-0004-0000-0100-000003000000}"/>
    <hyperlink ref="E30" r:id="rId5" xr:uid="{00000000-0004-0000-0100-000004000000}"/>
    <hyperlink ref="E31" r:id="rId6" xr:uid="{00000000-0004-0000-0100-000005000000}"/>
    <hyperlink ref="E32" r:id="rId7" xr:uid="{00000000-0004-0000-0100-000006000000}"/>
    <hyperlink ref="E33" r:id="rId8" xr:uid="{00000000-0004-0000-0100-000007000000}"/>
    <hyperlink ref="E34" r:id="rId9" xr:uid="{00000000-0004-0000-0100-000008000000}"/>
    <hyperlink ref="E35" r:id="rId10" xr:uid="{00000000-0004-0000-0100-000009000000}"/>
    <hyperlink ref="E36" r:id="rId11" xr:uid="{00000000-0004-0000-0100-00000A000000}"/>
    <hyperlink ref="E37" r:id="rId12" xr:uid="{00000000-0004-0000-0100-00000B000000}"/>
  </hyperlinks>
  <pageMargins left="0.7" right="0.7" top="0.75" bottom="0.75" header="0.3" footer="0.3"/>
  <pageSetup paperSize="9" orientation="portrait" r:id="rId13"/>
  <drawing r:id="rId1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W202"/>
  <sheetViews>
    <sheetView showGridLines="0" tabSelected="1" zoomScaleNormal="100" workbookViewId="0">
      <selection activeCell="D20" sqref="D20"/>
    </sheetView>
  </sheetViews>
  <sheetFormatPr baseColWidth="10" defaultColWidth="11.5546875" defaultRowHeight="14.4" x14ac:dyDescent="0.3"/>
  <cols>
    <col min="1" max="1" width="8.44140625" style="1" customWidth="1"/>
    <col min="2" max="2" width="54.33203125" style="106" customWidth="1"/>
    <col min="3" max="3" width="12.88671875" style="1" customWidth="1"/>
    <col min="4" max="4" width="19.109375" style="1" customWidth="1"/>
    <col min="5" max="5" width="38" style="1" customWidth="1"/>
    <col min="6" max="7" width="13.109375" style="1" customWidth="1"/>
    <col min="8" max="8" width="13.6640625" style="1" bestFit="1" customWidth="1"/>
    <col min="9" max="9" width="13.33203125" style="6" customWidth="1"/>
    <col min="10" max="10" width="1" customWidth="1"/>
    <col min="11" max="63" width="3.88671875" style="3" customWidth="1"/>
    <col min="64" max="16384" width="11.5546875" style="3"/>
  </cols>
  <sheetData>
    <row r="1" spans="1:63" s="12" customFormat="1" x14ac:dyDescent="0.3">
      <c r="B1" s="21"/>
      <c r="J1"/>
    </row>
    <row r="2" spans="1:63" s="12" customFormat="1" ht="25.8" x14ac:dyDescent="0.3">
      <c r="A2" s="13"/>
      <c r="B2" s="103"/>
      <c r="C2" s="13"/>
      <c r="D2" s="13"/>
      <c r="H2" s="157"/>
      <c r="I2" s="157"/>
      <c r="J2"/>
      <c r="L2" s="14"/>
    </row>
    <row r="3" spans="1:63" s="12" customFormat="1" ht="25.8" x14ac:dyDescent="0.3">
      <c r="A3" s="13"/>
      <c r="B3" s="103"/>
      <c r="C3" s="13"/>
      <c r="D3" s="13"/>
      <c r="J3"/>
    </row>
    <row r="4" spans="1:63" s="12" customFormat="1" ht="25.8" x14ac:dyDescent="0.3">
      <c r="A4" s="13"/>
      <c r="B4" s="103"/>
      <c r="C4" s="13"/>
      <c r="D4" s="13"/>
      <c r="J4"/>
    </row>
    <row r="5" spans="1:63" s="12" customFormat="1" ht="23.4" x14ac:dyDescent="0.45">
      <c r="B5" s="21"/>
      <c r="I5" s="15"/>
      <c r="J5"/>
    </row>
    <row r="6" spans="1:63" s="12" customFormat="1" x14ac:dyDescent="0.3">
      <c r="A6" s="58" t="s">
        <v>49</v>
      </c>
      <c r="B6" s="104"/>
      <c r="C6" s="138" t="s">
        <v>55</v>
      </c>
      <c r="D6" s="138"/>
      <c r="F6" s="145" t="s">
        <v>50</v>
      </c>
      <c r="G6" s="145"/>
      <c r="H6" s="140">
        <v>44685</v>
      </c>
      <c r="I6" s="141"/>
      <c r="J6"/>
      <c r="K6" s="146" t="s">
        <v>30</v>
      </c>
      <c r="L6" s="146"/>
      <c r="M6" s="146"/>
      <c r="N6" s="146"/>
      <c r="O6" s="146"/>
      <c r="P6" s="146"/>
      <c r="Q6" s="146"/>
      <c r="R6" s="146"/>
      <c r="S6" s="147"/>
      <c r="T6" s="148">
        <v>44284</v>
      </c>
      <c r="U6" s="149"/>
      <c r="V6" s="149"/>
      <c r="W6" s="150"/>
    </row>
    <row r="7" spans="1:63" s="12" customFormat="1" x14ac:dyDescent="0.3">
      <c r="A7" s="24"/>
      <c r="B7" s="21"/>
      <c r="C7" s="24"/>
      <c r="D7" s="25"/>
      <c r="F7" s="35"/>
      <c r="G7" s="36"/>
      <c r="H7" s="25"/>
      <c r="J7"/>
    </row>
    <row r="8" spans="1:63" s="12" customFormat="1" x14ac:dyDescent="0.3">
      <c r="A8" s="58" t="s">
        <v>56</v>
      </c>
      <c r="B8" s="104"/>
      <c r="C8" s="138" t="s">
        <v>57</v>
      </c>
      <c r="D8" s="138"/>
      <c r="F8" s="144" t="s">
        <v>52</v>
      </c>
      <c r="G8" s="144"/>
      <c r="H8" s="140">
        <v>44685</v>
      </c>
      <c r="I8" s="141"/>
      <c r="J8"/>
      <c r="K8" s="146" t="s">
        <v>32</v>
      </c>
      <c r="L8" s="146"/>
      <c r="M8" s="146"/>
      <c r="N8" s="146"/>
      <c r="O8" s="146"/>
      <c r="P8" s="146"/>
      <c r="Q8" s="146"/>
      <c r="R8" s="146"/>
      <c r="S8" s="147"/>
      <c r="T8" s="148">
        <v>44957</v>
      </c>
      <c r="U8" s="149"/>
      <c r="V8" s="149"/>
      <c r="W8" s="150"/>
    </row>
    <row r="9" spans="1:63" s="12" customFormat="1" x14ac:dyDescent="0.3">
      <c r="A9" s="27"/>
      <c r="B9" s="21"/>
      <c r="C9" s="25"/>
      <c r="D9" s="25"/>
      <c r="F9" s="34"/>
      <c r="G9" s="33"/>
      <c r="H9" s="25"/>
      <c r="J9"/>
    </row>
    <row r="10" spans="1:63" s="12" customFormat="1" x14ac:dyDescent="0.3">
      <c r="A10" s="58" t="s">
        <v>51</v>
      </c>
      <c r="B10" s="104"/>
      <c r="C10" s="138" t="s">
        <v>58</v>
      </c>
      <c r="D10" s="138"/>
      <c r="F10" s="144" t="s">
        <v>53</v>
      </c>
      <c r="G10" s="144"/>
      <c r="H10" s="142" t="s">
        <v>61</v>
      </c>
      <c r="I10" s="143"/>
      <c r="J10"/>
      <c r="K10" s="146" t="s">
        <v>31</v>
      </c>
      <c r="L10" s="146"/>
      <c r="M10" s="146"/>
      <c r="N10" s="146"/>
      <c r="O10" s="146"/>
      <c r="P10" s="146"/>
      <c r="Q10" s="146"/>
      <c r="R10" s="146"/>
      <c r="S10" s="147"/>
      <c r="T10" s="148">
        <v>44957</v>
      </c>
      <c r="U10" s="149"/>
      <c r="V10" s="149"/>
      <c r="W10" s="150"/>
    </row>
    <row r="11" spans="1:63" s="12" customFormat="1" ht="15.6" x14ac:dyDescent="0.3">
      <c r="A11" s="24"/>
      <c r="B11" s="21"/>
      <c r="C11" s="25"/>
      <c r="D11" s="25"/>
      <c r="E11" s="16"/>
      <c r="F11" s="16"/>
      <c r="G11" s="16"/>
      <c r="H11" s="17"/>
      <c r="I11" s="17"/>
      <c r="J11"/>
    </row>
    <row r="12" spans="1:63" customFormat="1" ht="15" thickBot="1" x14ac:dyDescent="0.35">
      <c r="A12" s="58" t="s">
        <v>59</v>
      </c>
      <c r="B12" s="104"/>
      <c r="C12" s="138" t="s">
        <v>60</v>
      </c>
      <c r="D12" s="138"/>
      <c r="E12" s="16"/>
      <c r="F12" s="16"/>
      <c r="G12" s="16"/>
      <c r="H12" s="123"/>
      <c r="I12" s="12"/>
      <c r="J12">
        <v>1</v>
      </c>
      <c r="K12">
        <v>76</v>
      </c>
      <c r="L12">
        <v>3</v>
      </c>
    </row>
    <row r="13" spans="1:63" customFormat="1" ht="15" customHeight="1" x14ac:dyDescent="0.3">
      <c r="A13" s="39"/>
      <c r="B13" s="105"/>
      <c r="C13" s="38"/>
      <c r="D13" s="40"/>
      <c r="E13" s="16"/>
      <c r="F13" s="16"/>
      <c r="G13" s="12"/>
      <c r="H13" s="12"/>
      <c r="I13" s="12"/>
      <c r="K13" s="160">
        <v>2022</v>
      </c>
      <c r="L13" s="161"/>
      <c r="M13" s="161"/>
      <c r="N13" s="161"/>
      <c r="O13" s="161"/>
      <c r="P13" s="161"/>
      <c r="Q13" s="161"/>
      <c r="R13" s="161"/>
      <c r="S13" s="161"/>
      <c r="T13" s="161"/>
      <c r="U13" s="161"/>
      <c r="V13" s="161"/>
      <c r="W13" s="161"/>
      <c r="X13" s="161"/>
      <c r="Y13" s="161"/>
      <c r="Z13" s="161"/>
      <c r="AA13" s="161"/>
      <c r="AB13" s="161"/>
      <c r="AC13" s="161"/>
      <c r="AD13" s="161"/>
      <c r="AE13" s="161"/>
      <c r="AF13" s="161"/>
      <c r="AG13" s="161"/>
      <c r="AH13" s="161"/>
      <c r="AI13" s="161"/>
      <c r="AJ13" s="161"/>
      <c r="AK13" s="161"/>
      <c r="AL13" s="161"/>
      <c r="AM13" s="162"/>
      <c r="AN13" s="160">
        <v>2023</v>
      </c>
      <c r="AO13" s="161"/>
      <c r="AP13" s="161"/>
      <c r="AQ13" s="161"/>
      <c r="AR13" s="161"/>
      <c r="AS13" s="161"/>
      <c r="AT13" s="161"/>
      <c r="AU13" s="161"/>
      <c r="AV13" s="161"/>
      <c r="AW13" s="161"/>
      <c r="AX13" s="161"/>
      <c r="AY13" s="161"/>
      <c r="AZ13" s="161"/>
      <c r="BA13" s="161"/>
      <c r="BB13" s="161"/>
      <c r="BC13" s="161"/>
      <c r="BD13" s="161"/>
      <c r="BE13" s="161"/>
      <c r="BF13" s="161"/>
      <c r="BG13" s="161"/>
      <c r="BH13" s="161"/>
      <c r="BI13" s="161"/>
      <c r="BJ13" s="161"/>
      <c r="BK13" s="162"/>
    </row>
    <row r="14" spans="1:63" customFormat="1" ht="15" customHeight="1" thickBot="1" x14ac:dyDescent="0.35">
      <c r="A14" s="12"/>
      <c r="B14" s="21"/>
      <c r="C14" s="12"/>
      <c r="D14" s="12"/>
      <c r="E14" s="12"/>
      <c r="F14" s="19"/>
      <c r="G14" s="12"/>
      <c r="H14" s="12"/>
      <c r="I14" s="12"/>
      <c r="K14" s="163"/>
      <c r="L14" s="164"/>
      <c r="M14" s="164"/>
      <c r="N14" s="164"/>
      <c r="O14" s="164"/>
      <c r="P14" s="164"/>
      <c r="Q14" s="164"/>
      <c r="R14" s="164"/>
      <c r="S14" s="164"/>
      <c r="T14" s="164"/>
      <c r="U14" s="164"/>
      <c r="V14" s="164"/>
      <c r="W14" s="164"/>
      <c r="X14" s="164"/>
      <c r="Y14" s="164"/>
      <c r="Z14" s="164"/>
      <c r="AA14" s="164"/>
      <c r="AB14" s="164"/>
      <c r="AC14" s="164"/>
      <c r="AD14" s="164"/>
      <c r="AE14" s="164"/>
      <c r="AF14" s="164"/>
      <c r="AG14" s="164"/>
      <c r="AH14" s="164"/>
      <c r="AI14" s="164"/>
      <c r="AJ14" s="164"/>
      <c r="AK14" s="164"/>
      <c r="AL14" s="164"/>
      <c r="AM14" s="165"/>
      <c r="AN14" s="163"/>
      <c r="AO14" s="164"/>
      <c r="AP14" s="164"/>
      <c r="AQ14" s="164"/>
      <c r="AR14" s="164"/>
      <c r="AS14" s="164"/>
      <c r="AT14" s="164"/>
      <c r="AU14" s="164"/>
      <c r="AV14" s="164"/>
      <c r="AW14" s="164"/>
      <c r="AX14" s="164"/>
      <c r="AY14" s="164"/>
      <c r="AZ14" s="164"/>
      <c r="BA14" s="164"/>
      <c r="BB14" s="164"/>
      <c r="BC14" s="164"/>
      <c r="BD14" s="164"/>
      <c r="BE14" s="164"/>
      <c r="BF14" s="164"/>
      <c r="BG14" s="164"/>
      <c r="BH14" s="164"/>
      <c r="BI14" s="164"/>
      <c r="BJ14" s="164"/>
      <c r="BK14" s="165"/>
    </row>
    <row r="15" spans="1:63" customFormat="1" x14ac:dyDescent="0.3">
      <c r="A15" s="158" t="s">
        <v>54</v>
      </c>
      <c r="B15" s="153" t="s">
        <v>33</v>
      </c>
      <c r="C15" s="153" t="s">
        <v>397</v>
      </c>
      <c r="D15" s="153" t="s">
        <v>34</v>
      </c>
      <c r="E15" s="153" t="s">
        <v>2</v>
      </c>
      <c r="F15" s="153" t="s">
        <v>3</v>
      </c>
      <c r="G15" s="153" t="s">
        <v>35</v>
      </c>
      <c r="H15" s="153" t="s">
        <v>4</v>
      </c>
      <c r="I15" s="155" t="s">
        <v>5</v>
      </c>
      <c r="K15" s="166" t="s">
        <v>412</v>
      </c>
      <c r="L15" s="167"/>
      <c r="M15" s="168"/>
      <c r="N15" s="166" t="s">
        <v>413</v>
      </c>
      <c r="O15" s="167"/>
      <c r="P15" s="167"/>
      <c r="Q15" s="168"/>
      <c r="R15" s="166" t="s">
        <v>402</v>
      </c>
      <c r="S15" s="167"/>
      <c r="T15" s="167"/>
      <c r="U15" s="167"/>
      <c r="V15" s="168"/>
      <c r="W15" s="166" t="s">
        <v>403</v>
      </c>
      <c r="X15" s="167"/>
      <c r="Y15" s="167"/>
      <c r="Z15" s="168"/>
      <c r="AA15" s="166" t="s">
        <v>404</v>
      </c>
      <c r="AB15" s="167"/>
      <c r="AC15" s="167"/>
      <c r="AD15" s="167"/>
      <c r="AE15" s="168"/>
      <c r="AF15" s="166" t="s">
        <v>405</v>
      </c>
      <c r="AG15" s="167"/>
      <c r="AH15" s="167"/>
      <c r="AI15" s="168"/>
      <c r="AJ15" s="166" t="s">
        <v>406</v>
      </c>
      <c r="AK15" s="167"/>
      <c r="AL15" s="167"/>
      <c r="AM15" s="168"/>
      <c r="AN15" s="166" t="s">
        <v>407</v>
      </c>
      <c r="AO15" s="167"/>
      <c r="AP15" s="167"/>
      <c r="AQ15" s="167"/>
      <c r="AR15" s="168"/>
      <c r="AS15" s="166" t="s">
        <v>408</v>
      </c>
      <c r="AT15" s="167"/>
      <c r="AU15" s="167"/>
      <c r="AV15" s="168"/>
      <c r="AW15" s="166" t="s">
        <v>409</v>
      </c>
      <c r="AX15" s="167"/>
      <c r="AY15" s="167"/>
      <c r="AZ15" s="168"/>
      <c r="BA15" s="166" t="s">
        <v>410</v>
      </c>
      <c r="BB15" s="167"/>
      <c r="BC15" s="167"/>
      <c r="BD15" s="168"/>
      <c r="BE15" s="166" t="s">
        <v>411</v>
      </c>
      <c r="BF15" s="167"/>
      <c r="BG15" s="167"/>
      <c r="BH15" s="167"/>
      <c r="BI15" s="168"/>
      <c r="BJ15" s="166" t="s">
        <v>412</v>
      </c>
      <c r="BK15" s="168"/>
    </row>
    <row r="16" spans="1:63" customFormat="1" ht="15" thickBot="1" x14ac:dyDescent="0.35">
      <c r="A16" s="159"/>
      <c r="B16" s="154"/>
      <c r="C16" s="154"/>
      <c r="D16" s="154"/>
      <c r="E16" s="154"/>
      <c r="F16" s="154"/>
      <c r="G16" s="154"/>
      <c r="H16" s="154"/>
      <c r="I16" s="156"/>
      <c r="K16" s="169"/>
      <c r="L16" s="170"/>
      <c r="M16" s="171"/>
      <c r="N16" s="169"/>
      <c r="O16" s="170"/>
      <c r="P16" s="170"/>
      <c r="Q16" s="171"/>
      <c r="R16" s="169"/>
      <c r="S16" s="170"/>
      <c r="T16" s="170"/>
      <c r="U16" s="170"/>
      <c r="V16" s="171"/>
      <c r="W16" s="169"/>
      <c r="X16" s="170"/>
      <c r="Y16" s="170"/>
      <c r="Z16" s="171"/>
      <c r="AA16" s="169"/>
      <c r="AB16" s="170"/>
      <c r="AC16" s="170"/>
      <c r="AD16" s="170"/>
      <c r="AE16" s="171"/>
      <c r="AF16" s="169"/>
      <c r="AG16" s="170"/>
      <c r="AH16" s="170"/>
      <c r="AI16" s="171"/>
      <c r="AJ16" s="169"/>
      <c r="AK16" s="170"/>
      <c r="AL16" s="170"/>
      <c r="AM16" s="171"/>
      <c r="AN16" s="169"/>
      <c r="AO16" s="170"/>
      <c r="AP16" s="170"/>
      <c r="AQ16" s="170"/>
      <c r="AR16" s="171"/>
      <c r="AS16" s="169"/>
      <c r="AT16" s="170"/>
      <c r="AU16" s="170"/>
      <c r="AV16" s="171"/>
      <c r="AW16" s="169"/>
      <c r="AX16" s="170"/>
      <c r="AY16" s="170"/>
      <c r="AZ16" s="171"/>
      <c r="BA16" s="169"/>
      <c r="BB16" s="170"/>
      <c r="BC16" s="170"/>
      <c r="BD16" s="171"/>
      <c r="BE16" s="169"/>
      <c r="BF16" s="170"/>
      <c r="BG16" s="170"/>
      <c r="BH16" s="170"/>
      <c r="BI16" s="171"/>
      <c r="BJ16" s="169"/>
      <c r="BK16" s="171"/>
    </row>
    <row r="17" spans="1:205" customFormat="1" hidden="1" x14ac:dyDescent="0.3">
      <c r="K17" s="127">
        <f t="shared" ref="K17:AP17" si="0">IF(WEEKDAY(DATE(YEAR($T$6),1,1))&gt;2,DATE(YEAR($T$6),1,1)-(WEEKDAY(DATE(YEAR($T$6),1,1))-2),DATE(YEAR($T$6),1,1))+($K$12-1)*7+(COLUMN()-11)*7+7</f>
        <v>44725</v>
      </c>
      <c r="L17" s="127">
        <f t="shared" si="0"/>
        <v>44732</v>
      </c>
      <c r="M17" s="127">
        <f t="shared" si="0"/>
        <v>44739</v>
      </c>
      <c r="N17" s="127">
        <f t="shared" si="0"/>
        <v>44746</v>
      </c>
      <c r="O17" s="127">
        <f t="shared" si="0"/>
        <v>44753</v>
      </c>
      <c r="P17" s="127">
        <f t="shared" si="0"/>
        <v>44760</v>
      </c>
      <c r="Q17" s="127">
        <f t="shared" si="0"/>
        <v>44767</v>
      </c>
      <c r="R17" s="127">
        <f t="shared" si="0"/>
        <v>44774</v>
      </c>
      <c r="S17" s="127">
        <f t="shared" si="0"/>
        <v>44781</v>
      </c>
      <c r="T17" s="127">
        <f t="shared" si="0"/>
        <v>44788</v>
      </c>
      <c r="U17" s="127">
        <f t="shared" si="0"/>
        <v>44795</v>
      </c>
      <c r="V17" s="127">
        <f t="shared" si="0"/>
        <v>44802</v>
      </c>
      <c r="W17" s="127">
        <f t="shared" si="0"/>
        <v>44809</v>
      </c>
      <c r="X17" s="127">
        <f t="shared" si="0"/>
        <v>44816</v>
      </c>
      <c r="Y17" s="127">
        <f t="shared" si="0"/>
        <v>44823</v>
      </c>
      <c r="Z17" s="127">
        <f t="shared" si="0"/>
        <v>44830</v>
      </c>
      <c r="AA17" s="127">
        <f t="shared" si="0"/>
        <v>44837</v>
      </c>
      <c r="AB17" s="127">
        <f t="shared" si="0"/>
        <v>44844</v>
      </c>
      <c r="AC17" s="127">
        <f t="shared" si="0"/>
        <v>44851</v>
      </c>
      <c r="AD17" s="127">
        <f t="shared" si="0"/>
        <v>44858</v>
      </c>
      <c r="AE17" s="127">
        <f t="shared" si="0"/>
        <v>44865</v>
      </c>
      <c r="AF17" s="127">
        <f t="shared" si="0"/>
        <v>44872</v>
      </c>
      <c r="AG17" s="127">
        <f t="shared" si="0"/>
        <v>44879</v>
      </c>
      <c r="AH17" s="127">
        <f t="shared" si="0"/>
        <v>44886</v>
      </c>
      <c r="AI17" s="127">
        <f t="shared" si="0"/>
        <v>44893</v>
      </c>
      <c r="AJ17" s="127">
        <f t="shared" si="0"/>
        <v>44900</v>
      </c>
      <c r="AK17" s="127">
        <f t="shared" si="0"/>
        <v>44907</v>
      </c>
      <c r="AL17" s="127">
        <f t="shared" si="0"/>
        <v>44914</v>
      </c>
      <c r="AM17" s="127">
        <f t="shared" si="0"/>
        <v>44921</v>
      </c>
      <c r="AN17" s="127">
        <f t="shared" si="0"/>
        <v>44928</v>
      </c>
      <c r="AO17" s="127">
        <f t="shared" si="0"/>
        <v>44935</v>
      </c>
      <c r="AP17" s="127">
        <f t="shared" si="0"/>
        <v>44942</v>
      </c>
      <c r="AQ17" s="127">
        <f t="shared" ref="AQ17:BK17" si="1">IF(WEEKDAY(DATE(YEAR($T$6),1,1))&gt;2,DATE(YEAR($T$6),1,1)-(WEEKDAY(DATE(YEAR($T$6),1,1))-2),DATE(YEAR($T$6),1,1))+($K$12-1)*7+(COLUMN()-11)*7+7</f>
        <v>44949</v>
      </c>
      <c r="AR17" s="127">
        <f t="shared" si="1"/>
        <v>44956</v>
      </c>
      <c r="AS17" s="127">
        <f t="shared" si="1"/>
        <v>44963</v>
      </c>
      <c r="AT17" s="127">
        <f t="shared" si="1"/>
        <v>44970</v>
      </c>
      <c r="AU17" s="127">
        <f t="shared" si="1"/>
        <v>44977</v>
      </c>
      <c r="AV17" s="127">
        <f t="shared" si="1"/>
        <v>44984</v>
      </c>
      <c r="AW17" s="127">
        <f t="shared" si="1"/>
        <v>44991</v>
      </c>
      <c r="AX17" s="127">
        <f t="shared" si="1"/>
        <v>44998</v>
      </c>
      <c r="AY17" s="127">
        <f t="shared" si="1"/>
        <v>45005</v>
      </c>
      <c r="AZ17" s="127">
        <f t="shared" si="1"/>
        <v>45012</v>
      </c>
      <c r="BA17" s="127">
        <f t="shared" si="1"/>
        <v>45019</v>
      </c>
      <c r="BB17" s="127">
        <f t="shared" si="1"/>
        <v>45026</v>
      </c>
      <c r="BC17" s="127">
        <f t="shared" si="1"/>
        <v>45033</v>
      </c>
      <c r="BD17" s="127">
        <f t="shared" si="1"/>
        <v>45040</v>
      </c>
      <c r="BE17" s="127">
        <f t="shared" si="1"/>
        <v>45047</v>
      </c>
      <c r="BF17" s="127">
        <f t="shared" si="1"/>
        <v>45054</v>
      </c>
      <c r="BG17" s="127">
        <f t="shared" si="1"/>
        <v>45061</v>
      </c>
      <c r="BH17" s="127">
        <f t="shared" si="1"/>
        <v>45068</v>
      </c>
      <c r="BI17" s="127">
        <f t="shared" si="1"/>
        <v>45075</v>
      </c>
      <c r="BJ17" s="127">
        <f t="shared" si="1"/>
        <v>45082</v>
      </c>
      <c r="BK17" s="127">
        <f t="shared" si="1"/>
        <v>45089</v>
      </c>
    </row>
    <row r="18" spans="1:205" s="12" customFormat="1" ht="15" thickBot="1" x14ac:dyDescent="0.35">
      <c r="A18" s="99" t="s">
        <v>164</v>
      </c>
      <c r="B18" s="98"/>
      <c r="C18" s="98"/>
      <c r="D18" s="98"/>
      <c r="E18" s="98"/>
      <c r="F18" s="100">
        <f>MIN(F19:F158)</f>
        <v>44649</v>
      </c>
      <c r="G18" s="98">
        <f>NETWORKDAYS(F18,H18)</f>
        <v>311</v>
      </c>
      <c r="H18" s="100">
        <f>MAX(H19:H158)</f>
        <v>45083</v>
      </c>
      <c r="I18" s="110">
        <f ca="1">AVERAGE(I19,I30,I41,I61,I144)</f>
        <v>0.19400000000000001</v>
      </c>
      <c r="J18"/>
      <c r="K18" s="126">
        <f t="shared" ref="K18:AP18" si="2">K17+6</f>
        <v>44731</v>
      </c>
      <c r="L18" s="128">
        <f t="shared" si="2"/>
        <v>44738</v>
      </c>
      <c r="M18" s="128">
        <f t="shared" si="2"/>
        <v>44745</v>
      </c>
      <c r="N18" s="128">
        <f t="shared" si="2"/>
        <v>44752</v>
      </c>
      <c r="O18" s="128">
        <f t="shared" si="2"/>
        <v>44759</v>
      </c>
      <c r="P18" s="128">
        <f t="shared" si="2"/>
        <v>44766</v>
      </c>
      <c r="Q18" s="128">
        <f t="shared" si="2"/>
        <v>44773</v>
      </c>
      <c r="R18" s="128">
        <f t="shared" si="2"/>
        <v>44780</v>
      </c>
      <c r="S18" s="128">
        <f t="shared" si="2"/>
        <v>44787</v>
      </c>
      <c r="T18" s="128">
        <f t="shared" si="2"/>
        <v>44794</v>
      </c>
      <c r="U18" s="128">
        <f t="shared" si="2"/>
        <v>44801</v>
      </c>
      <c r="V18" s="128">
        <f t="shared" si="2"/>
        <v>44808</v>
      </c>
      <c r="W18" s="128">
        <f t="shared" si="2"/>
        <v>44815</v>
      </c>
      <c r="X18" s="128">
        <f t="shared" si="2"/>
        <v>44822</v>
      </c>
      <c r="Y18" s="128">
        <f t="shared" si="2"/>
        <v>44829</v>
      </c>
      <c r="Z18" s="128">
        <f t="shared" si="2"/>
        <v>44836</v>
      </c>
      <c r="AA18" s="128">
        <f t="shared" si="2"/>
        <v>44843</v>
      </c>
      <c r="AB18" s="128">
        <f t="shared" si="2"/>
        <v>44850</v>
      </c>
      <c r="AC18" s="128">
        <f t="shared" si="2"/>
        <v>44857</v>
      </c>
      <c r="AD18" s="128">
        <f t="shared" si="2"/>
        <v>44864</v>
      </c>
      <c r="AE18" s="128">
        <f t="shared" si="2"/>
        <v>44871</v>
      </c>
      <c r="AF18" s="128">
        <f t="shared" si="2"/>
        <v>44878</v>
      </c>
      <c r="AG18" s="128">
        <f t="shared" si="2"/>
        <v>44885</v>
      </c>
      <c r="AH18" s="128">
        <f t="shared" si="2"/>
        <v>44892</v>
      </c>
      <c r="AI18" s="128">
        <f t="shared" si="2"/>
        <v>44899</v>
      </c>
      <c r="AJ18" s="128">
        <f t="shared" si="2"/>
        <v>44906</v>
      </c>
      <c r="AK18" s="128">
        <f t="shared" si="2"/>
        <v>44913</v>
      </c>
      <c r="AL18" s="128">
        <f t="shared" si="2"/>
        <v>44920</v>
      </c>
      <c r="AM18" s="128">
        <f t="shared" si="2"/>
        <v>44927</v>
      </c>
      <c r="AN18" s="128">
        <f t="shared" si="2"/>
        <v>44934</v>
      </c>
      <c r="AO18" s="128">
        <f t="shared" si="2"/>
        <v>44941</v>
      </c>
      <c r="AP18" s="128">
        <f t="shared" si="2"/>
        <v>44948</v>
      </c>
      <c r="AQ18" s="128">
        <f t="shared" ref="AQ18:BK18" si="3">AQ17+6</f>
        <v>44955</v>
      </c>
      <c r="AR18" s="128">
        <f t="shared" si="3"/>
        <v>44962</v>
      </c>
      <c r="AS18" s="128">
        <f t="shared" si="3"/>
        <v>44969</v>
      </c>
      <c r="AT18" s="128">
        <f t="shared" si="3"/>
        <v>44976</v>
      </c>
      <c r="AU18" s="128">
        <f t="shared" si="3"/>
        <v>44983</v>
      </c>
      <c r="AV18" s="128">
        <f t="shared" si="3"/>
        <v>44990</v>
      </c>
      <c r="AW18" s="128">
        <f t="shared" si="3"/>
        <v>44997</v>
      </c>
      <c r="AX18" s="128">
        <f t="shared" si="3"/>
        <v>45004</v>
      </c>
      <c r="AY18" s="128">
        <f t="shared" si="3"/>
        <v>45011</v>
      </c>
      <c r="AZ18" s="128">
        <f t="shared" si="3"/>
        <v>45018</v>
      </c>
      <c r="BA18" s="128">
        <f t="shared" si="3"/>
        <v>45025</v>
      </c>
      <c r="BB18" s="128">
        <f t="shared" si="3"/>
        <v>45032</v>
      </c>
      <c r="BC18" s="128">
        <f t="shared" si="3"/>
        <v>45039</v>
      </c>
      <c r="BD18" s="128">
        <f t="shared" si="3"/>
        <v>45046</v>
      </c>
      <c r="BE18" s="128">
        <f t="shared" si="3"/>
        <v>45053</v>
      </c>
      <c r="BF18" s="128">
        <f t="shared" si="3"/>
        <v>45060</v>
      </c>
      <c r="BG18" s="128">
        <f t="shared" si="3"/>
        <v>45067</v>
      </c>
      <c r="BH18" s="128">
        <f t="shared" si="3"/>
        <v>45074</v>
      </c>
      <c r="BI18" s="128">
        <f t="shared" si="3"/>
        <v>45081</v>
      </c>
      <c r="BJ18" s="128">
        <f t="shared" si="3"/>
        <v>45088</v>
      </c>
      <c r="BK18" s="129">
        <f t="shared" si="3"/>
        <v>45095</v>
      </c>
    </row>
    <row r="19" spans="1:205" s="21" customFormat="1" ht="15.6" x14ac:dyDescent="0.3">
      <c r="A19" s="59">
        <v>1</v>
      </c>
      <c r="B19" s="41" t="s">
        <v>145</v>
      </c>
      <c r="C19" s="42"/>
      <c r="D19" s="43"/>
      <c r="E19" s="44"/>
      <c r="F19" s="107">
        <f>MIN(F20:F29)</f>
        <v>44649</v>
      </c>
      <c r="G19" s="109">
        <f>NETWORKDAYS(F19,H19)</f>
        <v>117</v>
      </c>
      <c r="H19" s="107">
        <f>MAX(H20:H29)</f>
        <v>44811</v>
      </c>
      <c r="I19" s="70">
        <f>AVERAGE(I20:I29)</f>
        <v>0.88000000000000012</v>
      </c>
      <c r="J19"/>
      <c r="K19" s="46"/>
      <c r="L19" s="47"/>
      <c r="M19" s="47"/>
      <c r="N19" s="47"/>
      <c r="O19" s="47"/>
      <c r="P19" s="47"/>
      <c r="Q19" s="47"/>
      <c r="R19" s="47"/>
      <c r="S19" s="47"/>
      <c r="T19" s="47"/>
      <c r="U19" s="47"/>
      <c r="V19" s="47"/>
      <c r="W19" s="47"/>
      <c r="X19" s="47"/>
      <c r="Y19" s="47"/>
      <c r="Z19" s="47"/>
      <c r="AA19" s="47"/>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48"/>
      <c r="BA19" s="48"/>
      <c r="BB19" s="48"/>
      <c r="BC19" s="48"/>
      <c r="BD19" s="48"/>
      <c r="BE19" s="48"/>
      <c r="BF19" s="48"/>
      <c r="BG19" s="48"/>
      <c r="BH19" s="48"/>
      <c r="BI19" s="48"/>
      <c r="BJ19" s="48"/>
      <c r="BK19" s="49"/>
    </row>
    <row r="20" spans="1:205" s="12" customFormat="1" ht="15.6" x14ac:dyDescent="0.3">
      <c r="A20" s="60" t="s">
        <v>6</v>
      </c>
      <c r="B20" s="23" t="s">
        <v>146</v>
      </c>
      <c r="C20" s="37"/>
      <c r="D20" s="31" t="s">
        <v>87</v>
      </c>
      <c r="E20" s="30" t="s">
        <v>162</v>
      </c>
      <c r="F20" s="102">
        <v>44649</v>
      </c>
      <c r="G20" s="29">
        <v>1</v>
      </c>
      <c r="H20" s="102">
        <f>IF(F20="","",WORKDAY(IF(WEEKDAY(F20,1)=7,F20+2,IF(WEEKDAY(F20,1)=1,F20+1,F20)),G20-1,))</f>
        <v>44649</v>
      </c>
      <c r="I20" s="71">
        <v>1</v>
      </c>
      <c r="J20"/>
      <c r="K20" s="50"/>
      <c r="L20" s="4"/>
      <c r="M20" s="4"/>
      <c r="N20" s="4"/>
      <c r="O20" s="4"/>
      <c r="P20" s="4"/>
      <c r="Q20" s="4"/>
      <c r="R20" s="4"/>
      <c r="S20" s="4"/>
      <c r="T20" s="4"/>
      <c r="U20" s="4"/>
      <c r="V20" s="4"/>
      <c r="W20" s="4"/>
      <c r="X20" s="4"/>
      <c r="Y20" s="4"/>
      <c r="Z20" s="4"/>
      <c r="AA20" s="4"/>
      <c r="AB20" s="7"/>
      <c r="AC20" s="7"/>
      <c r="AD20" s="7"/>
      <c r="AE20" s="7"/>
      <c r="AF20" s="7"/>
      <c r="AG20" s="7"/>
      <c r="AH20" s="7"/>
      <c r="AI20" s="7"/>
      <c r="AJ20" s="7"/>
      <c r="AK20" s="7"/>
      <c r="AL20" s="7"/>
      <c r="AM20" s="7"/>
      <c r="AN20" s="7"/>
      <c r="AO20" s="7"/>
      <c r="AP20" s="7"/>
      <c r="AQ20" s="7"/>
      <c r="AR20" s="7"/>
      <c r="AS20" s="7"/>
      <c r="AT20" s="7"/>
      <c r="AU20" s="7"/>
      <c r="AV20" s="7"/>
      <c r="AW20" s="7"/>
      <c r="AX20" s="7"/>
      <c r="AY20" s="7"/>
      <c r="AZ20" s="7"/>
      <c r="BA20" s="7"/>
      <c r="BB20" s="7"/>
      <c r="BC20" s="7"/>
      <c r="BD20" s="7"/>
      <c r="BE20" s="7"/>
      <c r="BF20" s="7"/>
      <c r="BG20" s="7"/>
      <c r="BH20" s="7"/>
      <c r="BI20" s="7"/>
      <c r="BJ20" s="7"/>
      <c r="BK20" s="51"/>
    </row>
    <row r="21" spans="1:205" ht="15.6" x14ac:dyDescent="0.3">
      <c r="A21" s="60" t="s">
        <v>7</v>
      </c>
      <c r="B21" s="23" t="s">
        <v>147</v>
      </c>
      <c r="C21" s="37" t="s">
        <v>6</v>
      </c>
      <c r="D21" s="31" t="s">
        <v>87</v>
      </c>
      <c r="E21" s="30" t="s">
        <v>162</v>
      </c>
      <c r="F21" s="102">
        <v>44655</v>
      </c>
      <c r="G21" s="29">
        <v>1</v>
      </c>
      <c r="H21" s="102">
        <f>IF(F21="","",WORKDAY(IF(WEEKDAY(F21,1)=7,F21+2,IF(WEEKDAY(F21,1)=1,F21+1,F21)),G21-1,))</f>
        <v>44655</v>
      </c>
      <c r="I21" s="71">
        <v>1</v>
      </c>
      <c r="K21" s="50"/>
      <c r="L21" s="4"/>
      <c r="M21" s="4"/>
      <c r="N21" s="4"/>
      <c r="O21" s="4"/>
      <c r="P21" s="4"/>
      <c r="Q21" s="4"/>
      <c r="R21" s="4"/>
      <c r="S21" s="4"/>
      <c r="T21" s="4"/>
      <c r="U21" s="4"/>
      <c r="V21" s="4"/>
      <c r="W21" s="4"/>
      <c r="X21" s="4"/>
      <c r="Y21" s="4"/>
      <c r="Z21" s="4"/>
      <c r="AA21" s="4"/>
      <c r="AB21" s="7"/>
      <c r="AC21" s="7"/>
      <c r="AD21" s="7"/>
      <c r="AE21" s="7"/>
      <c r="AF21" s="7"/>
      <c r="AG21" s="7"/>
      <c r="AH21" s="7"/>
      <c r="AI21" s="7"/>
      <c r="AJ21" s="7"/>
      <c r="AK21" s="7"/>
      <c r="AL21" s="7"/>
      <c r="AM21" s="7"/>
      <c r="AN21" s="7"/>
      <c r="AO21" s="7"/>
      <c r="AP21" s="7"/>
      <c r="AQ21" s="7"/>
      <c r="AR21" s="7"/>
      <c r="AS21" s="7"/>
      <c r="AT21" s="7"/>
      <c r="AU21" s="7"/>
      <c r="AV21" s="7"/>
      <c r="AW21" s="7"/>
      <c r="AX21" s="7"/>
      <c r="AY21" s="7"/>
      <c r="AZ21" s="7"/>
      <c r="BA21" s="7"/>
      <c r="BB21" s="7"/>
      <c r="BC21" s="7"/>
      <c r="BD21" s="7"/>
      <c r="BE21" s="7"/>
      <c r="BF21" s="7"/>
      <c r="BG21" s="7"/>
      <c r="BH21" s="7"/>
      <c r="BI21" s="7"/>
      <c r="BJ21" s="7"/>
      <c r="BK21" s="51"/>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
      <c r="FX21" s="2"/>
      <c r="FY21" s="2"/>
      <c r="FZ21" s="2"/>
      <c r="GA21" s="2"/>
      <c r="GB21" s="2"/>
      <c r="GC21" s="2"/>
      <c r="GD21" s="2"/>
      <c r="GE21" s="2"/>
      <c r="GF21" s="2"/>
      <c r="GG21" s="2"/>
      <c r="GH21" s="2"/>
      <c r="GI21" s="2"/>
      <c r="GJ21" s="2"/>
      <c r="GK21" s="2"/>
      <c r="GL21" s="2"/>
      <c r="GM21" s="2"/>
      <c r="GN21" s="2"/>
      <c r="GO21" s="2"/>
      <c r="GP21" s="2"/>
      <c r="GQ21" s="2"/>
      <c r="GR21" s="2"/>
      <c r="GS21" s="2"/>
      <c r="GT21" s="2"/>
      <c r="GU21" s="2"/>
      <c r="GV21" s="2"/>
      <c r="GW21" s="2"/>
    </row>
    <row r="22" spans="1:205" ht="15.6" x14ac:dyDescent="0.3">
      <c r="A22" s="60" t="s">
        <v>8</v>
      </c>
      <c r="B22" s="23" t="s">
        <v>148</v>
      </c>
      <c r="C22" s="37" t="s">
        <v>6</v>
      </c>
      <c r="D22" s="31" t="s">
        <v>96</v>
      </c>
      <c r="E22" s="30"/>
      <c r="F22" s="102">
        <v>44660</v>
      </c>
      <c r="G22" s="29">
        <v>5</v>
      </c>
      <c r="H22" s="102">
        <f>IF(F22="","",WORKDAY(IF(WEEKDAY(F22,1)=7,F22+2,IF(WEEKDAY(F22,1)=1,F22+1,F22)),G22-1,))</f>
        <v>44666</v>
      </c>
      <c r="I22" s="71">
        <v>1</v>
      </c>
      <c r="K22" s="50"/>
      <c r="L22" s="4"/>
      <c r="M22" s="4"/>
      <c r="N22" s="4"/>
      <c r="O22" s="4"/>
      <c r="P22" s="4"/>
      <c r="Q22" s="4"/>
      <c r="R22" s="4"/>
      <c r="S22" s="4"/>
      <c r="T22" s="4"/>
      <c r="U22" s="4"/>
      <c r="V22" s="4"/>
      <c r="W22" s="4"/>
      <c r="X22" s="4"/>
      <c r="Y22" s="4"/>
      <c r="Z22" s="4"/>
      <c r="AA22" s="4"/>
      <c r="AB22" s="7"/>
      <c r="AC22" s="7"/>
      <c r="AD22" s="7"/>
      <c r="AE22" s="7"/>
      <c r="AF22" s="7"/>
      <c r="AG22" s="7"/>
      <c r="AH22" s="7"/>
      <c r="AI22" s="7"/>
      <c r="AJ22" s="7"/>
      <c r="AK22" s="7"/>
      <c r="AL22" s="7"/>
      <c r="AM22" s="7"/>
      <c r="AN22" s="7"/>
      <c r="AO22" s="7"/>
      <c r="AP22" s="7"/>
      <c r="AQ22" s="7"/>
      <c r="AR22" s="7"/>
      <c r="AS22" s="7"/>
      <c r="AT22" s="7"/>
      <c r="AU22" s="7"/>
      <c r="AV22" s="7"/>
      <c r="AW22" s="7"/>
      <c r="AX22" s="7"/>
      <c r="AY22" s="7"/>
      <c r="AZ22" s="7"/>
      <c r="BA22" s="7"/>
      <c r="BB22" s="7"/>
      <c r="BC22" s="7"/>
      <c r="BD22" s="7"/>
      <c r="BE22" s="7"/>
      <c r="BF22" s="7"/>
      <c r="BG22" s="7"/>
      <c r="BH22" s="7"/>
      <c r="BI22" s="7"/>
      <c r="BJ22" s="7"/>
      <c r="BK22" s="51"/>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2"/>
      <c r="FD22" s="2"/>
      <c r="FE22" s="2"/>
      <c r="FF22" s="2"/>
      <c r="FG22" s="2"/>
      <c r="FH22" s="2"/>
      <c r="FI22" s="2"/>
      <c r="FJ22" s="2"/>
      <c r="FK22" s="2"/>
      <c r="FL22" s="2"/>
      <c r="FM22" s="2"/>
      <c r="FN22" s="2"/>
      <c r="FO22" s="2"/>
      <c r="FP22" s="2"/>
      <c r="FQ22" s="2"/>
      <c r="FR22" s="2"/>
      <c r="FS22" s="2"/>
      <c r="FT22" s="2"/>
      <c r="FU22" s="2"/>
      <c r="FV22" s="2"/>
      <c r="FW22" s="2"/>
      <c r="FX22" s="2"/>
      <c r="FY22" s="2"/>
      <c r="FZ22" s="2"/>
      <c r="GA22" s="2"/>
      <c r="GB22" s="2"/>
      <c r="GC22" s="2"/>
      <c r="GD22" s="2"/>
      <c r="GE22" s="2"/>
      <c r="GF22" s="2"/>
      <c r="GG22" s="2"/>
      <c r="GH22" s="2"/>
      <c r="GI22" s="2"/>
      <c r="GJ22" s="2"/>
      <c r="GK22" s="2"/>
      <c r="GL22" s="2"/>
      <c r="GM22" s="2"/>
      <c r="GN22" s="2"/>
      <c r="GO22" s="2"/>
      <c r="GP22" s="2"/>
      <c r="GQ22" s="2"/>
      <c r="GR22" s="2"/>
      <c r="GS22" s="2"/>
      <c r="GT22" s="2"/>
      <c r="GU22" s="2"/>
      <c r="GV22" s="2"/>
      <c r="GW22" s="2"/>
    </row>
    <row r="23" spans="1:205" ht="15.6" x14ac:dyDescent="0.3">
      <c r="A23" s="60" t="s">
        <v>9</v>
      </c>
      <c r="B23" s="23" t="s">
        <v>149</v>
      </c>
      <c r="C23" s="37" t="s">
        <v>6</v>
      </c>
      <c r="D23" s="31" t="s">
        <v>99</v>
      </c>
      <c r="E23" s="30"/>
      <c r="F23" s="102">
        <v>44660</v>
      </c>
      <c r="G23" s="29">
        <v>5</v>
      </c>
      <c r="H23" s="102">
        <f>IF(F23="","",WORKDAY(IF(WEEKDAY(F23,1)=7,F23+2,IF(WEEKDAY(F23,1)=1,F23+1,F23)),G23-1,))</f>
        <v>44666</v>
      </c>
      <c r="I23" s="71">
        <v>1</v>
      </c>
      <c r="K23" s="50"/>
      <c r="L23" s="4"/>
      <c r="M23" s="4"/>
      <c r="N23" s="4"/>
      <c r="O23" s="4"/>
      <c r="P23" s="4"/>
      <c r="Q23" s="4"/>
      <c r="R23" s="4"/>
      <c r="S23" s="4"/>
      <c r="T23" s="4"/>
      <c r="U23" s="4"/>
      <c r="V23" s="4"/>
      <c r="W23" s="4"/>
      <c r="X23" s="4"/>
      <c r="Y23" s="4"/>
      <c r="Z23" s="4"/>
      <c r="AA23" s="4"/>
      <c r="AB23" s="7"/>
      <c r="AC23" s="7"/>
      <c r="AD23" s="7"/>
      <c r="AE23" s="7"/>
      <c r="AF23" s="7"/>
      <c r="AG23" s="7"/>
      <c r="AH23" s="7"/>
      <c r="AI23" s="7"/>
      <c r="AJ23" s="7"/>
      <c r="AK23" s="7"/>
      <c r="AL23" s="7"/>
      <c r="AM23" s="7"/>
      <c r="AN23" s="7"/>
      <c r="AO23" s="7"/>
      <c r="AP23" s="7"/>
      <c r="AQ23" s="7"/>
      <c r="AR23" s="7"/>
      <c r="AS23" s="7"/>
      <c r="AT23" s="7"/>
      <c r="AU23" s="7"/>
      <c r="AV23" s="7"/>
      <c r="AW23" s="7"/>
      <c r="AX23" s="7"/>
      <c r="AY23" s="7"/>
      <c r="AZ23" s="7"/>
      <c r="BA23" s="7"/>
      <c r="BB23" s="7"/>
      <c r="BC23" s="7"/>
      <c r="BD23" s="7"/>
      <c r="BE23" s="7"/>
      <c r="BF23" s="7"/>
      <c r="BG23" s="7"/>
      <c r="BH23" s="7"/>
      <c r="BI23" s="7"/>
      <c r="BJ23" s="7"/>
      <c r="BK23" s="51"/>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row>
    <row r="24" spans="1:205" ht="15.6" x14ac:dyDescent="0.3">
      <c r="A24" s="60" t="s">
        <v>10</v>
      </c>
      <c r="B24" s="23" t="s">
        <v>150</v>
      </c>
      <c r="C24" s="37" t="s">
        <v>6</v>
      </c>
      <c r="D24" s="31" t="s">
        <v>102</v>
      </c>
      <c r="E24" s="30"/>
      <c r="F24" s="102">
        <v>44660</v>
      </c>
      <c r="G24" s="29">
        <v>5</v>
      </c>
      <c r="H24" s="102">
        <f t="shared" ref="H24:H29" si="4">IF(F24="","",WORKDAY(IF(WEEKDAY(F24,1)=7,F24+2,IF(WEEKDAY(F24,1)=1,F24+1,F24)),G24-1,))</f>
        <v>44666</v>
      </c>
      <c r="I24" s="71">
        <v>1</v>
      </c>
      <c r="K24" s="50"/>
      <c r="L24" s="4"/>
      <c r="M24" s="4"/>
      <c r="N24" s="4"/>
      <c r="O24" s="4"/>
      <c r="P24" s="4"/>
      <c r="Q24" s="4"/>
      <c r="R24" s="4"/>
      <c r="S24" s="4"/>
      <c r="T24" s="4"/>
      <c r="U24" s="4"/>
      <c r="V24" s="4"/>
      <c r="W24" s="4"/>
      <c r="X24" s="4"/>
      <c r="Y24" s="4"/>
      <c r="Z24" s="4"/>
      <c r="AA24" s="4"/>
      <c r="AB24" s="7"/>
      <c r="AC24" s="7"/>
      <c r="AD24" s="7"/>
      <c r="AE24" s="7"/>
      <c r="AF24" s="7"/>
      <c r="AG24" s="7"/>
      <c r="AH24" s="7"/>
      <c r="AI24" s="7"/>
      <c r="AJ24" s="7"/>
      <c r="AK24" s="7"/>
      <c r="AL24" s="7"/>
      <c r="AM24" s="7"/>
      <c r="AN24" s="7"/>
      <c r="AO24" s="7"/>
      <c r="AP24" s="7"/>
      <c r="AQ24" s="7"/>
      <c r="AR24" s="7"/>
      <c r="AS24" s="7"/>
      <c r="AT24" s="7"/>
      <c r="AU24" s="7"/>
      <c r="AV24" s="7"/>
      <c r="AW24" s="7"/>
      <c r="AX24" s="7"/>
      <c r="AY24" s="7"/>
      <c r="AZ24" s="7"/>
      <c r="BA24" s="7"/>
      <c r="BB24" s="7"/>
      <c r="BC24" s="7"/>
      <c r="BD24" s="7"/>
      <c r="BE24" s="7"/>
      <c r="BF24" s="7"/>
      <c r="BG24" s="7"/>
      <c r="BH24" s="7"/>
      <c r="BI24" s="7"/>
      <c r="BJ24" s="7"/>
      <c r="BK24" s="51"/>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2"/>
      <c r="FD24" s="2"/>
      <c r="FE24" s="2"/>
      <c r="FF24" s="2"/>
      <c r="FG24" s="2"/>
      <c r="FH24" s="2"/>
      <c r="FI24" s="2"/>
      <c r="FJ24" s="2"/>
      <c r="FK24" s="2"/>
      <c r="FL24" s="2"/>
      <c r="FM24" s="2"/>
      <c r="FN24" s="2"/>
      <c r="FO24" s="2"/>
      <c r="FP24" s="2"/>
      <c r="FQ24" s="2"/>
      <c r="FR24" s="2"/>
      <c r="FS24" s="2"/>
      <c r="FT24" s="2"/>
      <c r="FU24" s="2"/>
      <c r="FV24" s="2"/>
      <c r="FW24" s="2"/>
      <c r="FX24" s="2"/>
      <c r="FY24" s="2"/>
      <c r="FZ24" s="2"/>
      <c r="GA24" s="2"/>
      <c r="GB24" s="2"/>
      <c r="GC24" s="2"/>
      <c r="GD24" s="2"/>
      <c r="GE24" s="2"/>
      <c r="GF24" s="2"/>
      <c r="GG24" s="2"/>
      <c r="GH24" s="2"/>
      <c r="GI24" s="2"/>
      <c r="GJ24" s="2"/>
      <c r="GK24" s="2"/>
      <c r="GL24" s="2"/>
      <c r="GM24" s="2"/>
      <c r="GN24" s="2"/>
      <c r="GO24" s="2"/>
      <c r="GP24" s="2"/>
      <c r="GQ24" s="2"/>
      <c r="GR24" s="2"/>
      <c r="GS24" s="2"/>
      <c r="GT24" s="2"/>
      <c r="GU24" s="2"/>
      <c r="GV24" s="2"/>
      <c r="GW24" s="2"/>
    </row>
    <row r="25" spans="1:205" ht="15.6" x14ac:dyDescent="0.3">
      <c r="A25" s="60" t="s">
        <v>151</v>
      </c>
      <c r="B25" s="23" t="s">
        <v>152</v>
      </c>
      <c r="C25" s="37" t="s">
        <v>6</v>
      </c>
      <c r="D25" s="31" t="s">
        <v>105</v>
      </c>
      <c r="E25" s="30"/>
      <c r="F25" s="102">
        <v>44660</v>
      </c>
      <c r="G25" s="29">
        <v>5</v>
      </c>
      <c r="H25" s="102">
        <f t="shared" si="4"/>
        <v>44666</v>
      </c>
      <c r="I25" s="71">
        <v>1</v>
      </c>
      <c r="K25" s="50"/>
      <c r="L25" s="4"/>
      <c r="M25" s="4"/>
      <c r="N25" s="4"/>
      <c r="O25" s="4"/>
      <c r="P25" s="4"/>
      <c r="Q25" s="4"/>
      <c r="R25" s="4"/>
      <c r="S25" s="4"/>
      <c r="T25" s="4"/>
      <c r="U25" s="4"/>
      <c r="V25" s="4"/>
      <c r="W25" s="4"/>
      <c r="X25" s="4"/>
      <c r="Y25" s="4"/>
      <c r="Z25" s="4"/>
      <c r="AA25" s="4"/>
      <c r="AB25" s="7"/>
      <c r="AC25" s="7"/>
      <c r="AD25" s="7"/>
      <c r="AE25" s="7"/>
      <c r="AF25" s="7"/>
      <c r="AG25" s="7"/>
      <c r="AH25" s="7"/>
      <c r="AI25" s="7"/>
      <c r="AJ25" s="7"/>
      <c r="AK25" s="7"/>
      <c r="AL25" s="7"/>
      <c r="AM25" s="7"/>
      <c r="AN25" s="7"/>
      <c r="AO25" s="7"/>
      <c r="AP25" s="7"/>
      <c r="AQ25" s="7"/>
      <c r="AR25" s="7"/>
      <c r="AS25" s="7"/>
      <c r="AT25" s="7"/>
      <c r="AU25" s="7"/>
      <c r="AV25" s="7"/>
      <c r="AW25" s="7"/>
      <c r="AX25" s="7"/>
      <c r="AY25" s="7"/>
      <c r="AZ25" s="7"/>
      <c r="BA25" s="7"/>
      <c r="BB25" s="7"/>
      <c r="BC25" s="7"/>
      <c r="BD25" s="7"/>
      <c r="BE25" s="7"/>
      <c r="BF25" s="7"/>
      <c r="BG25" s="7"/>
      <c r="BH25" s="7"/>
      <c r="BI25" s="7"/>
      <c r="BJ25" s="7"/>
      <c r="BK25" s="51"/>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row>
    <row r="26" spans="1:205" ht="15.6" x14ac:dyDescent="0.3">
      <c r="A26" s="60" t="s">
        <v>153</v>
      </c>
      <c r="B26" s="23" t="s">
        <v>154</v>
      </c>
      <c r="C26" s="37" t="s">
        <v>6</v>
      </c>
      <c r="D26" s="31" t="s">
        <v>108</v>
      </c>
      <c r="E26" s="30"/>
      <c r="F26" s="102">
        <v>44660</v>
      </c>
      <c r="G26" s="29">
        <v>5</v>
      </c>
      <c r="H26" s="102">
        <f>IF(F26="","",WORKDAY(IF(WEEKDAY(F26,1)=7,F26+2,IF(WEEKDAY(F26,1)=1,F26+1,F26)),G26-1,))</f>
        <v>44666</v>
      </c>
      <c r="I26" s="71">
        <v>1</v>
      </c>
      <c r="K26" s="50"/>
      <c r="L26" s="4"/>
      <c r="M26" s="4"/>
      <c r="N26" s="4"/>
      <c r="O26" s="4"/>
      <c r="P26" s="4"/>
      <c r="Q26" s="4"/>
      <c r="R26" s="4"/>
      <c r="S26" s="4"/>
      <c r="T26" s="4"/>
      <c r="U26" s="4"/>
      <c r="V26" s="4"/>
      <c r="W26" s="4"/>
      <c r="X26" s="4"/>
      <c r="Y26" s="4"/>
      <c r="Z26" s="4"/>
      <c r="AA26" s="4"/>
      <c r="AB26" s="7"/>
      <c r="AC26" s="7"/>
      <c r="AD26" s="7"/>
      <c r="AE26" s="7"/>
      <c r="AF26" s="7"/>
      <c r="AG26" s="7"/>
      <c r="AH26" s="7"/>
      <c r="AI26" s="7"/>
      <c r="AJ26" s="7"/>
      <c r="AK26" s="7"/>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51"/>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2"/>
      <c r="GB26" s="2"/>
      <c r="GC26" s="2"/>
      <c r="GD26" s="2"/>
      <c r="GE26" s="2"/>
      <c r="GF26" s="2"/>
      <c r="GG26" s="2"/>
      <c r="GH26" s="2"/>
      <c r="GI26" s="2"/>
      <c r="GJ26" s="2"/>
      <c r="GK26" s="2"/>
      <c r="GL26" s="2"/>
      <c r="GM26" s="2"/>
      <c r="GN26" s="2"/>
      <c r="GO26" s="2"/>
      <c r="GP26" s="2"/>
      <c r="GQ26" s="2"/>
      <c r="GR26" s="2"/>
      <c r="GS26" s="2"/>
      <c r="GT26" s="2"/>
      <c r="GU26" s="2"/>
      <c r="GV26" s="2"/>
      <c r="GW26" s="2"/>
    </row>
    <row r="27" spans="1:205" ht="15.6" x14ac:dyDescent="0.3">
      <c r="A27" s="60" t="s">
        <v>155</v>
      </c>
      <c r="B27" s="23" t="s">
        <v>156</v>
      </c>
      <c r="C27" s="37" t="s">
        <v>6</v>
      </c>
      <c r="D27" s="31" t="s">
        <v>93</v>
      </c>
      <c r="E27" s="30"/>
      <c r="F27" s="102">
        <v>44660</v>
      </c>
      <c r="G27" s="29">
        <v>5</v>
      </c>
      <c r="H27" s="102">
        <f t="shared" si="4"/>
        <v>44666</v>
      </c>
      <c r="I27" s="71">
        <v>1</v>
      </c>
      <c r="K27" s="50"/>
      <c r="L27" s="4"/>
      <c r="M27" s="4"/>
      <c r="N27" s="4"/>
      <c r="O27" s="4"/>
      <c r="P27" s="4"/>
      <c r="Q27" s="4"/>
      <c r="R27" s="4"/>
      <c r="S27" s="4"/>
      <c r="T27" s="4"/>
      <c r="U27" s="4"/>
      <c r="V27" s="4"/>
      <c r="W27" s="4"/>
      <c r="X27" s="4"/>
      <c r="Y27" s="4"/>
      <c r="Z27" s="4"/>
      <c r="AA27" s="4"/>
      <c r="AB27" s="7"/>
      <c r="AC27" s="7"/>
      <c r="AD27" s="7"/>
      <c r="AE27" s="7"/>
      <c r="AF27" s="7"/>
      <c r="AG27" s="7"/>
      <c r="AH27" s="7"/>
      <c r="AI27" s="7"/>
      <c r="AJ27" s="7"/>
      <c r="AK27" s="7"/>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51"/>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2"/>
      <c r="FD27" s="2"/>
      <c r="FE27" s="2"/>
      <c r="FF27" s="2"/>
      <c r="FG27" s="2"/>
      <c r="FH27" s="2"/>
      <c r="FI27" s="2"/>
      <c r="FJ27" s="2"/>
      <c r="FK27" s="2"/>
      <c r="FL27" s="2"/>
      <c r="FM27" s="2"/>
      <c r="FN27" s="2"/>
      <c r="FO27" s="2"/>
      <c r="FP27" s="2"/>
      <c r="FQ27" s="2"/>
      <c r="FR27" s="2"/>
      <c r="FS27" s="2"/>
      <c r="FT27" s="2"/>
      <c r="FU27" s="2"/>
      <c r="FV27" s="2"/>
      <c r="FW27" s="2"/>
      <c r="FX27" s="2"/>
      <c r="FY27" s="2"/>
      <c r="FZ27" s="2"/>
      <c r="GA27" s="2"/>
      <c r="GB27" s="2"/>
      <c r="GC27" s="2"/>
      <c r="GD27" s="2"/>
      <c r="GE27" s="2"/>
      <c r="GF27" s="2"/>
      <c r="GG27" s="2"/>
      <c r="GH27" s="2"/>
      <c r="GI27" s="2"/>
      <c r="GJ27" s="2"/>
      <c r="GK27" s="2"/>
      <c r="GL27" s="2"/>
      <c r="GM27" s="2"/>
      <c r="GN27" s="2"/>
      <c r="GO27" s="2"/>
      <c r="GP27" s="2"/>
      <c r="GQ27" s="2"/>
      <c r="GR27" s="2"/>
      <c r="GS27" s="2"/>
      <c r="GT27" s="2"/>
      <c r="GU27" s="2"/>
      <c r="GV27" s="2"/>
      <c r="GW27" s="2"/>
    </row>
    <row r="28" spans="1:205" ht="15.6" x14ac:dyDescent="0.3">
      <c r="A28" s="60" t="s">
        <v>159</v>
      </c>
      <c r="B28" s="23" t="s">
        <v>158</v>
      </c>
      <c r="C28" s="37" t="s">
        <v>161</v>
      </c>
      <c r="D28" s="31" t="s">
        <v>87</v>
      </c>
      <c r="E28" s="30" t="s">
        <v>162</v>
      </c>
      <c r="F28" s="102">
        <v>44799</v>
      </c>
      <c r="G28" s="29">
        <v>9</v>
      </c>
      <c r="H28" s="102">
        <f t="shared" si="4"/>
        <v>44811</v>
      </c>
      <c r="I28" s="71">
        <v>0.8</v>
      </c>
      <c r="K28" s="50"/>
      <c r="L28" s="4"/>
      <c r="M28" s="4"/>
      <c r="N28" s="4"/>
      <c r="O28" s="4"/>
      <c r="P28" s="4"/>
      <c r="Q28" s="4"/>
      <c r="R28" s="4"/>
      <c r="S28" s="4"/>
      <c r="T28" s="4"/>
      <c r="U28" s="4"/>
      <c r="V28" s="4"/>
      <c r="W28" s="4"/>
      <c r="X28" s="4"/>
      <c r="Y28" s="4"/>
      <c r="Z28" s="4"/>
      <c r="AA28" s="4"/>
      <c r="AB28" s="7"/>
      <c r="AC28" s="7"/>
      <c r="AD28" s="7"/>
      <c r="AE28" s="7"/>
      <c r="AF28" s="7"/>
      <c r="AG28" s="7"/>
      <c r="AH28" s="7"/>
      <c r="AI28" s="7"/>
      <c r="AJ28" s="7"/>
      <c r="AK28" s="7"/>
      <c r="AL28" s="7"/>
      <c r="AM28" s="7"/>
      <c r="AN28" s="7"/>
      <c r="AO28" s="7"/>
      <c r="AP28" s="7"/>
      <c r="AQ28" s="7"/>
      <c r="AR28" s="7"/>
      <c r="AS28" s="7"/>
      <c r="AT28" s="7"/>
      <c r="AU28" s="7"/>
      <c r="AV28" s="7"/>
      <c r="AW28" s="7"/>
      <c r="AX28" s="7"/>
      <c r="AY28" s="7"/>
      <c r="AZ28" s="7"/>
      <c r="BA28" s="7"/>
      <c r="BB28" s="7"/>
      <c r="BC28" s="7"/>
      <c r="BD28" s="7"/>
      <c r="BE28" s="7"/>
      <c r="BF28" s="7"/>
      <c r="BG28" s="7"/>
      <c r="BH28" s="7"/>
      <c r="BI28" s="7"/>
      <c r="BJ28" s="7"/>
      <c r="BK28" s="51"/>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2"/>
      <c r="FD28" s="2"/>
      <c r="FE28" s="2"/>
      <c r="FF28" s="2"/>
      <c r="FG28" s="2"/>
      <c r="FH28" s="2"/>
      <c r="FI28" s="2"/>
      <c r="FJ28" s="2"/>
      <c r="FK28" s="2"/>
      <c r="FL28" s="2"/>
      <c r="FM28" s="2"/>
      <c r="FN28" s="2"/>
      <c r="FO28" s="2"/>
      <c r="FP28" s="2"/>
      <c r="FQ28" s="2"/>
      <c r="FR28" s="2"/>
      <c r="FS28" s="2"/>
      <c r="FT28" s="2"/>
      <c r="FU28" s="2"/>
      <c r="FV28" s="2"/>
      <c r="FW28" s="2"/>
      <c r="FX28" s="2"/>
      <c r="FY28" s="2"/>
      <c r="FZ28" s="2"/>
      <c r="GA28" s="2"/>
      <c r="GB28" s="2"/>
      <c r="GC28" s="2"/>
      <c r="GD28" s="2"/>
      <c r="GE28" s="2"/>
      <c r="GF28" s="2"/>
      <c r="GG28" s="2"/>
      <c r="GH28" s="2"/>
      <c r="GI28" s="2"/>
      <c r="GJ28" s="2"/>
      <c r="GK28" s="2"/>
      <c r="GL28" s="2"/>
      <c r="GM28" s="2"/>
      <c r="GN28" s="2"/>
      <c r="GO28" s="2"/>
      <c r="GP28" s="2"/>
      <c r="GQ28" s="2"/>
      <c r="GR28" s="2"/>
      <c r="GS28" s="2"/>
      <c r="GT28" s="2"/>
      <c r="GU28" s="2"/>
      <c r="GV28" s="2"/>
      <c r="GW28" s="2"/>
    </row>
    <row r="29" spans="1:205" ht="15.6" x14ac:dyDescent="0.3">
      <c r="A29" s="60">
        <v>2</v>
      </c>
      <c r="B29" s="23" t="s">
        <v>160</v>
      </c>
      <c r="C29" s="37" t="s">
        <v>157</v>
      </c>
      <c r="D29" s="31" t="s">
        <v>87</v>
      </c>
      <c r="E29" s="30" t="s">
        <v>163</v>
      </c>
      <c r="F29" s="102">
        <v>44681</v>
      </c>
      <c r="G29" s="29">
        <v>1</v>
      </c>
      <c r="H29" s="102">
        <f t="shared" si="4"/>
        <v>44683</v>
      </c>
      <c r="I29" s="71">
        <v>0</v>
      </c>
      <c r="K29" s="50"/>
      <c r="L29" s="4"/>
      <c r="M29" s="4"/>
      <c r="N29" s="4"/>
      <c r="O29" s="4"/>
      <c r="P29" s="4"/>
      <c r="Q29" s="4"/>
      <c r="R29" s="4"/>
      <c r="S29" s="4"/>
      <c r="T29" s="4"/>
      <c r="U29" s="4"/>
      <c r="V29" s="4"/>
      <c r="W29" s="4"/>
      <c r="X29" s="4"/>
      <c r="Y29" s="4"/>
      <c r="Z29" s="4"/>
      <c r="AA29" s="4"/>
      <c r="AB29" s="7"/>
      <c r="AC29" s="7"/>
      <c r="AD29" s="7"/>
      <c r="AE29" s="7"/>
      <c r="AF29" s="7"/>
      <c r="AG29" s="7"/>
      <c r="AH29" s="7"/>
      <c r="AI29" s="7"/>
      <c r="AJ29" s="7"/>
      <c r="AK29" s="7"/>
      <c r="AL29" s="7"/>
      <c r="AM29" s="7"/>
      <c r="AN29" s="7"/>
      <c r="AO29" s="7"/>
      <c r="AP29" s="7"/>
      <c r="AQ29" s="7"/>
      <c r="AR29" s="7"/>
      <c r="AS29" s="7"/>
      <c r="AT29" s="7"/>
      <c r="AU29" s="7"/>
      <c r="AV29" s="7"/>
      <c r="AW29" s="7"/>
      <c r="AX29" s="7"/>
      <c r="AY29" s="7"/>
      <c r="AZ29" s="7"/>
      <c r="BA29" s="7"/>
      <c r="BB29" s="7"/>
      <c r="BC29" s="7"/>
      <c r="BD29" s="7"/>
      <c r="BE29" s="7"/>
      <c r="BF29" s="7"/>
      <c r="BG29" s="7"/>
      <c r="BH29" s="7"/>
      <c r="BI29" s="7"/>
      <c r="BJ29" s="7"/>
      <c r="BK29" s="51"/>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c r="DS29" s="2"/>
      <c r="DT29" s="2"/>
      <c r="DU29" s="2"/>
      <c r="DV29" s="2"/>
      <c r="DW29" s="2"/>
      <c r="DX29" s="2"/>
      <c r="DY29" s="2"/>
      <c r="DZ29" s="2"/>
      <c r="EA29" s="2"/>
      <c r="EB29" s="2"/>
      <c r="EC29" s="2"/>
      <c r="ED29" s="2"/>
      <c r="EE29" s="2"/>
      <c r="EF29" s="2"/>
      <c r="EG29" s="2"/>
      <c r="EH29" s="2"/>
      <c r="EI29" s="2"/>
      <c r="EJ29" s="2"/>
      <c r="EK29" s="2"/>
      <c r="EL29" s="2"/>
      <c r="EM29" s="2"/>
      <c r="EN29" s="2"/>
      <c r="EO29" s="2"/>
      <c r="EP29" s="2"/>
      <c r="EQ29" s="2"/>
      <c r="ER29" s="2"/>
      <c r="ES29" s="2"/>
      <c r="ET29" s="2"/>
      <c r="EU29" s="2"/>
      <c r="EV29" s="2"/>
      <c r="EW29" s="2"/>
      <c r="EX29" s="2"/>
      <c r="EY29" s="2"/>
      <c r="EZ29" s="2"/>
      <c r="FA29" s="2"/>
      <c r="FB29" s="2"/>
      <c r="FC29" s="2"/>
      <c r="FD29" s="2"/>
      <c r="FE29" s="2"/>
      <c r="FF29" s="2"/>
      <c r="FG29" s="2"/>
      <c r="FH29" s="2"/>
      <c r="FI29" s="2"/>
      <c r="FJ29" s="2"/>
      <c r="FK29" s="2"/>
      <c r="FL29" s="2"/>
      <c r="FM29" s="2"/>
      <c r="FN29" s="2"/>
      <c r="FO29" s="2"/>
      <c r="FP29" s="2"/>
      <c r="FQ29" s="2"/>
      <c r="FR29" s="2"/>
      <c r="FS29" s="2"/>
      <c r="FT29" s="2"/>
      <c r="FU29" s="2"/>
      <c r="FV29" s="2"/>
      <c r="FW29" s="2"/>
      <c r="FX29" s="2"/>
      <c r="FY29" s="2"/>
      <c r="FZ29" s="2"/>
      <c r="GA29" s="2"/>
      <c r="GB29" s="2"/>
      <c r="GC29" s="2"/>
      <c r="GD29" s="2"/>
      <c r="GE29" s="2"/>
      <c r="GF29" s="2"/>
      <c r="GG29" s="2"/>
      <c r="GH29" s="2"/>
      <c r="GI29" s="2"/>
      <c r="GJ29" s="2"/>
      <c r="GK29" s="2"/>
      <c r="GL29" s="2"/>
      <c r="GM29" s="2"/>
      <c r="GN29" s="2"/>
      <c r="GO29" s="2"/>
      <c r="GP29" s="2"/>
      <c r="GQ29" s="2"/>
      <c r="GR29" s="2"/>
      <c r="GS29" s="2"/>
      <c r="GT29" s="2"/>
      <c r="GU29" s="2"/>
      <c r="GV29" s="2"/>
      <c r="GW29" s="2"/>
    </row>
    <row r="30" spans="1:205" ht="15.6" x14ac:dyDescent="0.3">
      <c r="A30" s="59">
        <v>2</v>
      </c>
      <c r="B30" s="41" t="s">
        <v>165</v>
      </c>
      <c r="C30" s="42"/>
      <c r="D30" s="43"/>
      <c r="E30" s="44"/>
      <c r="F30" s="107">
        <f>MIN(F31:F40)</f>
        <v>44811</v>
      </c>
      <c r="G30" s="108">
        <f>NETWORKDAYS(F30,H30)</f>
        <v>64</v>
      </c>
      <c r="H30" s="107">
        <f>MAX(H31:H40)</f>
        <v>44900</v>
      </c>
      <c r="I30" s="70">
        <f>AVERAGE(I31:I40)</f>
        <v>0.09</v>
      </c>
      <c r="K30" s="50"/>
      <c r="L30" s="4"/>
      <c r="M30" s="4"/>
      <c r="N30" s="4"/>
      <c r="O30" s="4"/>
      <c r="P30" s="4"/>
      <c r="Q30" s="4"/>
      <c r="R30" s="4"/>
      <c r="S30" s="4"/>
      <c r="T30" s="4"/>
      <c r="U30" s="4"/>
      <c r="V30" s="4"/>
      <c r="W30" s="4"/>
      <c r="X30" s="4"/>
      <c r="Y30" s="4"/>
      <c r="Z30" s="4"/>
      <c r="AA30" s="4"/>
      <c r="AB30" s="7"/>
      <c r="AC30" s="7"/>
      <c r="AD30" s="7"/>
      <c r="AE30" s="7"/>
      <c r="AF30" s="7"/>
      <c r="AG30" s="7"/>
      <c r="AH30" s="7"/>
      <c r="AI30" s="7"/>
      <c r="AJ30" s="7"/>
      <c r="AK30" s="7"/>
      <c r="AL30" s="7"/>
      <c r="AM30" s="7"/>
      <c r="AN30" s="7"/>
      <c r="AO30" s="7"/>
      <c r="AP30" s="7"/>
      <c r="AQ30" s="7"/>
      <c r="AR30" s="7"/>
      <c r="AS30" s="7"/>
      <c r="AT30" s="7"/>
      <c r="AU30" s="7"/>
      <c r="AV30" s="7"/>
      <c r="AW30" s="7"/>
      <c r="AX30" s="7"/>
      <c r="AY30" s="7"/>
      <c r="AZ30" s="7"/>
      <c r="BA30" s="7"/>
      <c r="BB30" s="7"/>
      <c r="BC30" s="7"/>
      <c r="BD30" s="7"/>
      <c r="BE30" s="7"/>
      <c r="BF30" s="7"/>
      <c r="BG30" s="7"/>
      <c r="BH30" s="7"/>
      <c r="BI30" s="7"/>
      <c r="BJ30" s="7"/>
      <c r="BK30" s="51"/>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2"/>
      <c r="FD30" s="2"/>
      <c r="FE30" s="2"/>
      <c r="FF30" s="2"/>
      <c r="FG30" s="2"/>
      <c r="FH30" s="2"/>
      <c r="FI30" s="2"/>
      <c r="FJ30" s="2"/>
      <c r="FK30" s="2"/>
      <c r="FL30" s="2"/>
      <c r="FM30" s="2"/>
      <c r="FN30" s="2"/>
      <c r="FO30" s="2"/>
      <c r="FP30" s="2"/>
      <c r="FQ30" s="2"/>
      <c r="FR30" s="2"/>
      <c r="FS30" s="2"/>
      <c r="FT30" s="2"/>
      <c r="FU30" s="2"/>
      <c r="FV30" s="2"/>
      <c r="FW30" s="2"/>
      <c r="FX30" s="2"/>
      <c r="FY30" s="2"/>
      <c r="FZ30" s="2"/>
      <c r="GA30" s="2"/>
      <c r="GB30" s="2"/>
      <c r="GC30" s="2"/>
      <c r="GD30" s="2"/>
      <c r="GE30" s="2"/>
      <c r="GF30" s="2"/>
      <c r="GG30" s="2"/>
      <c r="GH30" s="2"/>
      <c r="GI30" s="2"/>
      <c r="GJ30" s="2"/>
      <c r="GK30" s="2"/>
      <c r="GL30" s="2"/>
      <c r="GM30" s="2"/>
      <c r="GN30" s="2"/>
      <c r="GO30" s="2"/>
      <c r="GP30" s="2"/>
      <c r="GQ30" s="2"/>
      <c r="GR30" s="2"/>
      <c r="GS30" s="2"/>
      <c r="GT30" s="2"/>
      <c r="GU30" s="2"/>
      <c r="GV30" s="2"/>
      <c r="GW30" s="2"/>
    </row>
    <row r="31" spans="1:205" s="5" customFormat="1" ht="15.6" x14ac:dyDescent="0.3">
      <c r="A31" s="60" t="s">
        <v>11</v>
      </c>
      <c r="B31" s="23" t="s">
        <v>166</v>
      </c>
      <c r="C31" s="37">
        <v>1</v>
      </c>
      <c r="D31" s="31" t="s">
        <v>96</v>
      </c>
      <c r="E31" s="30" t="s">
        <v>178</v>
      </c>
      <c r="F31" s="102">
        <v>44811</v>
      </c>
      <c r="G31" s="29">
        <v>20</v>
      </c>
      <c r="H31" s="102">
        <f>IF(F31="","",WORKDAY(IF(WEEKDAY(F31,1)=7,F31+2,IF(WEEKDAY(F31,1)=1,F31+1,F31)),G31-1,))</f>
        <v>44838</v>
      </c>
      <c r="I31" s="71">
        <v>0.1</v>
      </c>
      <c r="J31"/>
      <c r="K31" s="50"/>
      <c r="L31" s="4"/>
      <c r="M31" s="4"/>
      <c r="N31" s="4"/>
      <c r="O31" s="4"/>
      <c r="P31" s="4"/>
      <c r="Q31" s="4"/>
      <c r="R31" s="4"/>
      <c r="S31" s="4"/>
      <c r="T31" s="4"/>
      <c r="U31" s="4"/>
      <c r="V31" s="4"/>
      <c r="W31" s="4"/>
      <c r="X31" s="4"/>
      <c r="Y31" s="4"/>
      <c r="Z31" s="4"/>
      <c r="AA31" s="4"/>
      <c r="AB31" s="7"/>
      <c r="AC31" s="7"/>
      <c r="AD31" s="7"/>
      <c r="AE31" s="7"/>
      <c r="AF31" s="7"/>
      <c r="AG31" s="7"/>
      <c r="AH31" s="7"/>
      <c r="AI31" s="7"/>
      <c r="AJ31" s="7"/>
      <c r="AK31" s="7"/>
      <c r="AL31" s="7"/>
      <c r="AM31" s="7"/>
      <c r="AN31" s="7"/>
      <c r="AO31" s="7"/>
      <c r="AP31" s="7"/>
      <c r="AQ31" s="7"/>
      <c r="AR31" s="7"/>
      <c r="AS31" s="7"/>
      <c r="AT31" s="7"/>
      <c r="AU31" s="7"/>
      <c r="AV31" s="7"/>
      <c r="AW31" s="7"/>
      <c r="AX31" s="7"/>
      <c r="AY31" s="7"/>
      <c r="AZ31" s="7"/>
      <c r="BA31" s="7"/>
      <c r="BB31" s="7"/>
      <c r="BC31" s="7"/>
      <c r="BD31" s="7"/>
      <c r="BE31" s="7"/>
      <c r="BF31" s="7"/>
      <c r="BG31" s="7"/>
      <c r="BH31" s="7"/>
      <c r="BI31" s="7"/>
      <c r="BJ31" s="7"/>
      <c r="BK31" s="51"/>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c r="DO31" s="2"/>
      <c r="DP31" s="2"/>
      <c r="DQ31" s="2"/>
      <c r="DR31" s="2"/>
      <c r="DS31" s="2"/>
      <c r="DT31" s="2"/>
      <c r="DU31" s="2"/>
      <c r="DV31" s="2"/>
      <c r="DW31" s="2"/>
      <c r="DX31" s="2"/>
      <c r="DY31" s="2"/>
      <c r="DZ31" s="2"/>
      <c r="EA31" s="2"/>
      <c r="EB31" s="2"/>
      <c r="EC31" s="2"/>
      <c r="ED31" s="2"/>
      <c r="EE31" s="2"/>
      <c r="EF31" s="2"/>
      <c r="EG31" s="2"/>
      <c r="EH31" s="2"/>
      <c r="EI31" s="2"/>
      <c r="EJ31" s="2"/>
      <c r="EK31" s="2"/>
      <c r="EL31" s="2"/>
      <c r="EM31" s="2"/>
      <c r="EN31" s="2"/>
      <c r="EO31" s="2"/>
      <c r="EP31" s="2"/>
      <c r="EQ31" s="2"/>
      <c r="ER31" s="2"/>
      <c r="ES31" s="2"/>
      <c r="ET31" s="2"/>
      <c r="EU31" s="2"/>
      <c r="EV31" s="2"/>
      <c r="EW31" s="2"/>
      <c r="EX31" s="2"/>
      <c r="EY31" s="2"/>
      <c r="EZ31" s="2"/>
      <c r="FA31" s="2"/>
      <c r="FB31" s="2"/>
      <c r="FC31" s="2"/>
      <c r="FD31" s="2"/>
      <c r="FE31" s="2"/>
      <c r="FF31" s="2"/>
      <c r="FG31" s="2"/>
      <c r="FH31" s="2"/>
      <c r="FI31" s="2"/>
      <c r="FJ31" s="2"/>
      <c r="FK31" s="2"/>
      <c r="FL31" s="2"/>
      <c r="FM31" s="2"/>
      <c r="FN31" s="2"/>
      <c r="FO31" s="2"/>
      <c r="FP31" s="2"/>
      <c r="FQ31" s="2"/>
      <c r="FR31" s="2"/>
      <c r="FS31" s="2"/>
      <c r="FT31" s="2"/>
      <c r="FU31" s="2"/>
      <c r="FV31" s="2"/>
      <c r="FW31" s="2"/>
      <c r="FX31" s="2"/>
      <c r="FY31" s="2"/>
      <c r="FZ31" s="2"/>
      <c r="GA31" s="2"/>
      <c r="GB31" s="2"/>
      <c r="GC31" s="2"/>
      <c r="GD31" s="2"/>
      <c r="GE31" s="2"/>
      <c r="GF31" s="2"/>
      <c r="GG31" s="2"/>
      <c r="GH31" s="2"/>
      <c r="GI31" s="2"/>
      <c r="GJ31" s="2"/>
      <c r="GK31" s="2"/>
      <c r="GL31" s="2"/>
      <c r="GM31" s="2"/>
      <c r="GN31" s="2"/>
      <c r="GO31" s="2"/>
      <c r="GP31" s="2"/>
      <c r="GQ31" s="2"/>
      <c r="GR31" s="2"/>
      <c r="GS31" s="2"/>
      <c r="GT31" s="2"/>
      <c r="GU31" s="2"/>
      <c r="GV31" s="2"/>
      <c r="GW31" s="2"/>
    </row>
    <row r="32" spans="1:205" ht="15.6" x14ac:dyDescent="0.3">
      <c r="A32" s="60" t="s">
        <v>12</v>
      </c>
      <c r="B32" s="23" t="s">
        <v>167</v>
      </c>
      <c r="C32" s="37">
        <v>1</v>
      </c>
      <c r="D32" s="31" t="s">
        <v>99</v>
      </c>
      <c r="E32" s="30" t="s">
        <v>178</v>
      </c>
      <c r="F32" s="102">
        <v>44811</v>
      </c>
      <c r="G32" s="29">
        <v>20</v>
      </c>
      <c r="H32" s="102">
        <f t="shared" ref="H32:H39" si="5">IF(F32="","",WORKDAY(IF(WEEKDAY(F32,1)=7,F32+2,IF(WEEKDAY(F32,1)=1,F32+1,F32)),G32-1,))</f>
        <v>44838</v>
      </c>
      <c r="I32" s="71">
        <v>0.1</v>
      </c>
      <c r="K32" s="50"/>
      <c r="L32" s="4"/>
      <c r="M32" s="4"/>
      <c r="N32" s="4"/>
      <c r="O32" s="4"/>
      <c r="P32" s="4"/>
      <c r="Q32" s="4"/>
      <c r="R32" s="4"/>
      <c r="S32" s="4"/>
      <c r="T32" s="4"/>
      <c r="U32" s="4"/>
      <c r="V32" s="4"/>
      <c r="W32" s="4"/>
      <c r="X32" s="4"/>
      <c r="Y32" s="4"/>
      <c r="Z32" s="4"/>
      <c r="AA32" s="4"/>
      <c r="AB32" s="7"/>
      <c r="AC32" s="7"/>
      <c r="AD32" s="7"/>
      <c r="AE32" s="7"/>
      <c r="AF32" s="7"/>
      <c r="AG32" s="7"/>
      <c r="AH32" s="7"/>
      <c r="AI32" s="7"/>
      <c r="AJ32" s="7"/>
      <c r="AK32" s="7"/>
      <c r="AL32" s="7"/>
      <c r="AM32" s="7"/>
      <c r="AN32" s="7"/>
      <c r="AO32" s="7"/>
      <c r="AP32" s="7"/>
      <c r="AQ32" s="7"/>
      <c r="AR32" s="7"/>
      <c r="AS32" s="7"/>
      <c r="AT32" s="7"/>
      <c r="AU32" s="7"/>
      <c r="AV32" s="7"/>
      <c r="AW32" s="7"/>
      <c r="AX32" s="7"/>
      <c r="AY32" s="7"/>
      <c r="AZ32" s="7"/>
      <c r="BA32" s="7"/>
      <c r="BB32" s="7"/>
      <c r="BC32" s="7"/>
      <c r="BD32" s="7"/>
      <c r="BE32" s="7"/>
      <c r="BF32" s="7"/>
      <c r="BG32" s="7"/>
      <c r="BH32" s="7"/>
      <c r="BI32" s="7"/>
      <c r="BJ32" s="7"/>
      <c r="BK32" s="51"/>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2"/>
      <c r="FD32" s="2"/>
      <c r="FE32" s="2"/>
      <c r="FF32" s="2"/>
      <c r="FG32" s="2"/>
      <c r="FH32" s="2"/>
      <c r="FI32" s="2"/>
      <c r="FJ32" s="2"/>
      <c r="FK32" s="2"/>
      <c r="FL32" s="2"/>
      <c r="FM32" s="2"/>
      <c r="FN32" s="2"/>
      <c r="FO32" s="2"/>
      <c r="FP32" s="2"/>
      <c r="FQ32" s="2"/>
      <c r="FR32" s="2"/>
      <c r="FS32" s="2"/>
      <c r="FT32" s="2"/>
      <c r="FU32" s="2"/>
      <c r="FV32" s="2"/>
      <c r="FW32" s="2"/>
      <c r="FX32" s="2"/>
      <c r="FY32" s="2"/>
      <c r="FZ32" s="2"/>
      <c r="GA32" s="2"/>
      <c r="GB32" s="2"/>
      <c r="GC32" s="2"/>
      <c r="GD32" s="2"/>
      <c r="GE32" s="2"/>
      <c r="GF32" s="2"/>
      <c r="GG32" s="2"/>
      <c r="GH32" s="2"/>
      <c r="GI32" s="2"/>
      <c r="GJ32" s="2"/>
      <c r="GK32" s="2"/>
      <c r="GL32" s="2"/>
      <c r="GM32" s="2"/>
      <c r="GN32" s="2"/>
      <c r="GO32" s="2"/>
      <c r="GP32" s="2"/>
      <c r="GQ32" s="2"/>
      <c r="GR32" s="2"/>
      <c r="GS32" s="2"/>
      <c r="GT32" s="2"/>
      <c r="GU32" s="2"/>
      <c r="GV32" s="2"/>
      <c r="GW32" s="2"/>
    </row>
    <row r="33" spans="1:205" ht="15.6" x14ac:dyDescent="0.3">
      <c r="A33" s="60" t="s">
        <v>13</v>
      </c>
      <c r="B33" s="23" t="s">
        <v>168</v>
      </c>
      <c r="C33" s="37">
        <v>1</v>
      </c>
      <c r="D33" s="31" t="s">
        <v>102</v>
      </c>
      <c r="E33" s="30" t="s">
        <v>178</v>
      </c>
      <c r="F33" s="102">
        <v>44811</v>
      </c>
      <c r="G33" s="29">
        <v>20</v>
      </c>
      <c r="H33" s="102">
        <f t="shared" si="5"/>
        <v>44838</v>
      </c>
      <c r="I33" s="71">
        <v>0.1</v>
      </c>
      <c r="K33" s="50"/>
      <c r="L33" s="4"/>
      <c r="M33" s="4"/>
      <c r="N33" s="4"/>
      <c r="O33" s="4"/>
      <c r="P33" s="4"/>
      <c r="Q33" s="4"/>
      <c r="R33" s="4"/>
      <c r="S33" s="4"/>
      <c r="T33" s="4"/>
      <c r="U33" s="4"/>
      <c r="V33" s="4"/>
      <c r="W33" s="4"/>
      <c r="X33" s="4"/>
      <c r="Y33" s="4"/>
      <c r="Z33" s="4"/>
      <c r="AA33" s="4"/>
      <c r="AB33" s="7"/>
      <c r="AC33" s="7"/>
      <c r="AD33" s="7"/>
      <c r="AE33" s="7"/>
      <c r="AF33" s="7"/>
      <c r="AG33" s="7"/>
      <c r="AH33" s="7"/>
      <c r="AI33" s="7"/>
      <c r="AJ33" s="7"/>
      <c r="AK33" s="7"/>
      <c r="AL33" s="7"/>
      <c r="AM33" s="7"/>
      <c r="AN33" s="7"/>
      <c r="AO33" s="7"/>
      <c r="AP33" s="7"/>
      <c r="AQ33" s="7"/>
      <c r="AR33" s="7"/>
      <c r="AS33" s="7"/>
      <c r="AT33" s="7"/>
      <c r="AU33" s="7"/>
      <c r="AV33" s="7"/>
      <c r="AW33" s="7"/>
      <c r="AX33" s="7"/>
      <c r="AY33" s="7"/>
      <c r="AZ33" s="7"/>
      <c r="BA33" s="7"/>
      <c r="BB33" s="7"/>
      <c r="BC33" s="7"/>
      <c r="BD33" s="7"/>
      <c r="BE33" s="7"/>
      <c r="BF33" s="7"/>
      <c r="BG33" s="7"/>
      <c r="BH33" s="7"/>
      <c r="BI33" s="7"/>
      <c r="BJ33" s="7"/>
      <c r="BK33" s="51"/>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row>
    <row r="34" spans="1:205" ht="15.6" x14ac:dyDescent="0.3">
      <c r="A34" s="60" t="s">
        <v>14</v>
      </c>
      <c r="B34" s="23" t="s">
        <v>169</v>
      </c>
      <c r="C34" s="37">
        <v>1</v>
      </c>
      <c r="D34" s="31" t="s">
        <v>105</v>
      </c>
      <c r="E34" s="30" t="s">
        <v>178</v>
      </c>
      <c r="F34" s="102">
        <v>44811</v>
      </c>
      <c r="G34" s="29">
        <v>20</v>
      </c>
      <c r="H34" s="102">
        <f t="shared" si="5"/>
        <v>44838</v>
      </c>
      <c r="I34" s="71">
        <v>0.1</v>
      </c>
      <c r="K34" s="50"/>
      <c r="L34" s="4"/>
      <c r="M34" s="4"/>
      <c r="N34" s="4"/>
      <c r="O34" s="4"/>
      <c r="P34" s="4"/>
      <c r="Q34" s="4"/>
      <c r="R34" s="4"/>
      <c r="S34" s="4"/>
      <c r="T34" s="4"/>
      <c r="U34" s="4"/>
      <c r="V34" s="4"/>
      <c r="W34" s="4"/>
      <c r="X34" s="4"/>
      <c r="Y34" s="4"/>
      <c r="Z34" s="4"/>
      <c r="AA34" s="4"/>
      <c r="AB34" s="7"/>
      <c r="AC34" s="7"/>
      <c r="AD34" s="7"/>
      <c r="AE34" s="7"/>
      <c r="AF34" s="7"/>
      <c r="AG34" s="7"/>
      <c r="AH34" s="7"/>
      <c r="AI34" s="7"/>
      <c r="AJ34" s="7"/>
      <c r="AK34" s="7"/>
      <c r="AL34" s="7"/>
      <c r="AM34" s="7"/>
      <c r="AN34" s="7"/>
      <c r="AO34" s="7"/>
      <c r="AP34" s="7"/>
      <c r="AQ34" s="7"/>
      <c r="AR34" s="7"/>
      <c r="AS34" s="7"/>
      <c r="AT34" s="7"/>
      <c r="AU34" s="7"/>
      <c r="AV34" s="7"/>
      <c r="AW34" s="7"/>
      <c r="AX34" s="7"/>
      <c r="AY34" s="7"/>
      <c r="AZ34" s="7"/>
      <c r="BA34" s="7"/>
      <c r="BB34" s="7"/>
      <c r="BC34" s="7"/>
      <c r="BD34" s="7"/>
      <c r="BE34" s="7"/>
      <c r="BF34" s="7"/>
      <c r="BG34" s="7"/>
      <c r="BH34" s="7"/>
      <c r="BI34" s="7"/>
      <c r="BJ34" s="7"/>
      <c r="BK34" s="51"/>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2"/>
      <c r="FD34" s="2"/>
      <c r="FE34" s="2"/>
      <c r="FF34" s="2"/>
      <c r="FG34" s="2"/>
      <c r="FH34" s="2"/>
      <c r="FI34" s="2"/>
      <c r="FJ34" s="2"/>
      <c r="FK34" s="2"/>
      <c r="FL34" s="2"/>
      <c r="FM34" s="2"/>
      <c r="FN34" s="2"/>
      <c r="FO34" s="2"/>
      <c r="FP34" s="2"/>
      <c r="FQ34" s="2"/>
      <c r="FR34" s="2"/>
      <c r="FS34" s="2"/>
      <c r="FT34" s="2"/>
      <c r="FU34" s="2"/>
      <c r="FV34" s="2"/>
      <c r="FW34" s="2"/>
      <c r="FX34" s="2"/>
      <c r="FY34" s="2"/>
      <c r="FZ34" s="2"/>
      <c r="GA34" s="2"/>
      <c r="GB34" s="2"/>
      <c r="GC34" s="2"/>
      <c r="GD34" s="2"/>
      <c r="GE34" s="2"/>
      <c r="GF34" s="2"/>
      <c r="GG34" s="2"/>
      <c r="GH34" s="2"/>
      <c r="GI34" s="2"/>
      <c r="GJ34" s="2"/>
      <c r="GK34" s="2"/>
      <c r="GL34" s="2"/>
      <c r="GM34" s="2"/>
      <c r="GN34" s="2"/>
      <c r="GO34" s="2"/>
      <c r="GP34" s="2"/>
      <c r="GQ34" s="2"/>
      <c r="GR34" s="2"/>
      <c r="GS34" s="2"/>
      <c r="GT34" s="2"/>
      <c r="GU34" s="2"/>
      <c r="GV34" s="2"/>
      <c r="GW34" s="2"/>
    </row>
    <row r="35" spans="1:205" ht="15.6" x14ac:dyDescent="0.3">
      <c r="A35" s="60" t="s">
        <v>15</v>
      </c>
      <c r="B35" s="23" t="s">
        <v>170</v>
      </c>
      <c r="C35" s="37">
        <v>1</v>
      </c>
      <c r="D35" s="31" t="s">
        <v>108</v>
      </c>
      <c r="E35" s="30" t="s">
        <v>178</v>
      </c>
      <c r="F35" s="102">
        <v>44811</v>
      </c>
      <c r="G35" s="29">
        <v>20</v>
      </c>
      <c r="H35" s="102">
        <f t="shared" si="5"/>
        <v>44838</v>
      </c>
      <c r="I35" s="71">
        <v>0.1</v>
      </c>
      <c r="K35" s="50"/>
      <c r="L35" s="4"/>
      <c r="M35" s="4"/>
      <c r="N35" s="4"/>
      <c r="O35" s="4"/>
      <c r="P35" s="4"/>
      <c r="Q35" s="4"/>
      <c r="R35" s="4"/>
      <c r="S35" s="4"/>
      <c r="T35" s="4"/>
      <c r="U35" s="4"/>
      <c r="V35" s="4"/>
      <c r="W35" s="4"/>
      <c r="X35" s="4"/>
      <c r="Y35" s="4"/>
      <c r="Z35" s="4"/>
      <c r="AA35" s="4"/>
      <c r="AB35" s="7"/>
      <c r="AC35" s="7"/>
      <c r="AD35" s="7"/>
      <c r="AE35" s="7"/>
      <c r="AF35" s="7"/>
      <c r="AG35" s="7"/>
      <c r="AH35" s="7"/>
      <c r="AI35" s="7"/>
      <c r="AJ35" s="7"/>
      <c r="AK35" s="7"/>
      <c r="AL35" s="7"/>
      <c r="AM35" s="7"/>
      <c r="AN35" s="7"/>
      <c r="AO35" s="7"/>
      <c r="AP35" s="7"/>
      <c r="AQ35" s="7"/>
      <c r="AR35" s="7"/>
      <c r="AS35" s="7"/>
      <c r="AT35" s="7"/>
      <c r="AU35" s="7"/>
      <c r="AV35" s="7"/>
      <c r="AW35" s="7"/>
      <c r="AX35" s="7"/>
      <c r="AY35" s="7"/>
      <c r="AZ35" s="7"/>
      <c r="BA35" s="7"/>
      <c r="BB35" s="7"/>
      <c r="BC35" s="7"/>
      <c r="BD35" s="7"/>
      <c r="BE35" s="7"/>
      <c r="BF35" s="7"/>
      <c r="BG35" s="7"/>
      <c r="BH35" s="7"/>
      <c r="BI35" s="7"/>
      <c r="BJ35" s="7"/>
      <c r="BK35" s="51"/>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row>
    <row r="36" spans="1:205" ht="15.6" x14ac:dyDescent="0.3">
      <c r="A36" s="60" t="s">
        <v>45</v>
      </c>
      <c r="B36" s="23" t="s">
        <v>171</v>
      </c>
      <c r="C36" s="37">
        <v>1</v>
      </c>
      <c r="D36" s="31" t="s">
        <v>93</v>
      </c>
      <c r="E36" s="30" t="s">
        <v>178</v>
      </c>
      <c r="F36" s="102">
        <v>44811</v>
      </c>
      <c r="G36" s="29">
        <v>20</v>
      </c>
      <c r="H36" s="102">
        <f t="shared" si="5"/>
        <v>44838</v>
      </c>
      <c r="I36" s="71">
        <v>0.1</v>
      </c>
      <c r="K36" s="50"/>
      <c r="L36" s="4"/>
      <c r="M36" s="4"/>
      <c r="N36" s="4"/>
      <c r="O36" s="4"/>
      <c r="P36" s="4"/>
      <c r="Q36" s="4"/>
      <c r="R36" s="4"/>
      <c r="S36" s="4"/>
      <c r="T36" s="4"/>
      <c r="U36" s="4"/>
      <c r="V36" s="4"/>
      <c r="W36" s="4"/>
      <c r="X36" s="4"/>
      <c r="Y36" s="4"/>
      <c r="Z36" s="4"/>
      <c r="AA36" s="4"/>
      <c r="AB36" s="7"/>
      <c r="AC36" s="7"/>
      <c r="AD36" s="7"/>
      <c r="AE36" s="7"/>
      <c r="AF36" s="7"/>
      <c r="AG36" s="7"/>
      <c r="AH36" s="7"/>
      <c r="AI36" s="7"/>
      <c r="AJ36" s="7"/>
      <c r="AK36" s="7"/>
      <c r="AL36" s="7"/>
      <c r="AM36" s="7"/>
      <c r="AN36" s="7"/>
      <c r="AO36" s="7"/>
      <c r="AP36" s="7"/>
      <c r="AQ36" s="7"/>
      <c r="AR36" s="7"/>
      <c r="AS36" s="7"/>
      <c r="AT36" s="7"/>
      <c r="AU36" s="7"/>
      <c r="AV36" s="7"/>
      <c r="AW36" s="7"/>
      <c r="AX36" s="7"/>
      <c r="AY36" s="7"/>
      <c r="AZ36" s="7"/>
      <c r="BA36" s="7"/>
      <c r="BB36" s="7"/>
      <c r="BC36" s="7"/>
      <c r="BD36" s="7"/>
      <c r="BE36" s="7"/>
      <c r="BF36" s="7"/>
      <c r="BG36" s="7"/>
      <c r="BH36" s="7"/>
      <c r="BI36" s="7"/>
      <c r="BJ36" s="7"/>
      <c r="BK36" s="51"/>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row>
    <row r="37" spans="1:205" ht="15.6" x14ac:dyDescent="0.3">
      <c r="A37" s="60" t="s">
        <v>214</v>
      </c>
      <c r="B37" s="23" t="s">
        <v>172</v>
      </c>
      <c r="C37" s="37" t="s">
        <v>176</v>
      </c>
      <c r="D37" s="31" t="s">
        <v>87</v>
      </c>
      <c r="E37" s="30" t="s">
        <v>179</v>
      </c>
      <c r="F37" s="102">
        <v>44840</v>
      </c>
      <c r="G37" s="29">
        <v>22</v>
      </c>
      <c r="H37" s="102">
        <f t="shared" si="5"/>
        <v>44869</v>
      </c>
      <c r="I37" s="71">
        <v>0.1</v>
      </c>
      <c r="K37" s="50"/>
      <c r="L37" s="4"/>
      <c r="M37" s="4"/>
      <c r="N37" s="4"/>
      <c r="O37" s="4"/>
      <c r="P37" s="4"/>
      <c r="Q37" s="4"/>
      <c r="R37" s="4"/>
      <c r="S37" s="4"/>
      <c r="T37" s="4"/>
      <c r="U37" s="4"/>
      <c r="V37" s="4"/>
      <c r="W37" s="4"/>
      <c r="X37" s="4"/>
      <c r="Y37" s="4"/>
      <c r="Z37" s="4"/>
      <c r="AA37" s="4"/>
      <c r="AB37" s="7"/>
      <c r="AC37" s="7"/>
      <c r="AD37" s="7"/>
      <c r="AE37" s="7"/>
      <c r="AF37" s="7"/>
      <c r="AG37" s="7"/>
      <c r="AH37" s="7"/>
      <c r="AI37" s="7"/>
      <c r="AJ37" s="7"/>
      <c r="AK37" s="7"/>
      <c r="AL37" s="7"/>
      <c r="AM37" s="7"/>
      <c r="AN37" s="7"/>
      <c r="AO37" s="7"/>
      <c r="AP37" s="7"/>
      <c r="AQ37" s="7"/>
      <c r="AR37" s="7"/>
      <c r="AS37" s="7"/>
      <c r="AT37" s="7"/>
      <c r="AU37" s="7"/>
      <c r="AV37" s="7"/>
      <c r="AW37" s="7"/>
      <c r="AX37" s="7"/>
      <c r="AY37" s="7"/>
      <c r="AZ37" s="7"/>
      <c r="BA37" s="7"/>
      <c r="BB37" s="7"/>
      <c r="BC37" s="7"/>
      <c r="BD37" s="7"/>
      <c r="BE37" s="7"/>
      <c r="BF37" s="7"/>
      <c r="BG37" s="7"/>
      <c r="BH37" s="7"/>
      <c r="BI37" s="7"/>
      <c r="BJ37" s="7"/>
      <c r="BK37" s="51"/>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row>
    <row r="38" spans="1:205" ht="15.6" x14ac:dyDescent="0.3">
      <c r="A38" s="60" t="s">
        <v>215</v>
      </c>
      <c r="B38" s="23" t="s">
        <v>173</v>
      </c>
      <c r="C38" s="37" t="s">
        <v>177</v>
      </c>
      <c r="D38" s="31" t="s">
        <v>87</v>
      </c>
      <c r="E38" s="30" t="s">
        <v>179</v>
      </c>
      <c r="F38" s="102">
        <v>44869</v>
      </c>
      <c r="G38" s="29">
        <v>22</v>
      </c>
      <c r="H38" s="102">
        <f t="shared" si="5"/>
        <v>44900</v>
      </c>
      <c r="I38" s="71">
        <v>0.15</v>
      </c>
      <c r="K38" s="50"/>
      <c r="L38" s="4"/>
      <c r="M38" s="4"/>
      <c r="N38" s="4"/>
      <c r="O38" s="4"/>
      <c r="P38" s="4"/>
      <c r="Q38" s="4"/>
      <c r="R38" s="4"/>
      <c r="S38" s="4"/>
      <c r="T38" s="4"/>
      <c r="U38" s="4"/>
      <c r="V38" s="4"/>
      <c r="W38" s="4"/>
      <c r="X38" s="4"/>
      <c r="Y38" s="4"/>
      <c r="Z38" s="4"/>
      <c r="AA38" s="4"/>
      <c r="AB38" s="7"/>
      <c r="AC38" s="7"/>
      <c r="AD38" s="7"/>
      <c r="AE38" s="7"/>
      <c r="AF38" s="7"/>
      <c r="AG38" s="7"/>
      <c r="AH38" s="7"/>
      <c r="AI38" s="7"/>
      <c r="AJ38" s="7"/>
      <c r="AK38" s="7"/>
      <c r="AL38" s="7"/>
      <c r="AM38" s="7"/>
      <c r="AN38" s="7"/>
      <c r="AO38" s="7"/>
      <c r="AP38" s="7"/>
      <c r="AQ38" s="7"/>
      <c r="AR38" s="7"/>
      <c r="AS38" s="7"/>
      <c r="AT38" s="7"/>
      <c r="AU38" s="7"/>
      <c r="AV38" s="7"/>
      <c r="AW38" s="7"/>
      <c r="AX38" s="7"/>
      <c r="AY38" s="7"/>
      <c r="AZ38" s="7"/>
      <c r="BA38" s="7"/>
      <c r="BB38" s="7"/>
      <c r="BC38" s="7"/>
      <c r="BD38" s="7"/>
      <c r="BE38" s="7"/>
      <c r="BF38" s="7"/>
      <c r="BG38" s="7"/>
      <c r="BH38" s="7"/>
      <c r="BI38" s="7"/>
      <c r="BJ38" s="7"/>
      <c r="BK38" s="51"/>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row>
    <row r="39" spans="1:205" ht="15.6" x14ac:dyDescent="0.3">
      <c r="A39" s="60" t="s">
        <v>216</v>
      </c>
      <c r="B39" s="23" t="s">
        <v>174</v>
      </c>
      <c r="C39" s="37">
        <v>1</v>
      </c>
      <c r="D39" s="31" t="s">
        <v>180</v>
      </c>
      <c r="E39" s="30" t="s">
        <v>178</v>
      </c>
      <c r="F39" s="102">
        <v>44811</v>
      </c>
      <c r="G39" s="29">
        <v>22</v>
      </c>
      <c r="H39" s="102">
        <f t="shared" si="5"/>
        <v>44840</v>
      </c>
      <c r="I39" s="71">
        <v>0.05</v>
      </c>
      <c r="K39" s="50"/>
      <c r="L39" s="4"/>
      <c r="M39" s="4"/>
      <c r="N39" s="4"/>
      <c r="O39" s="4"/>
      <c r="P39" s="4"/>
      <c r="Q39" s="4"/>
      <c r="R39" s="4"/>
      <c r="S39" s="4"/>
      <c r="T39" s="4"/>
      <c r="U39" s="4"/>
      <c r="V39" s="4"/>
      <c r="W39" s="4"/>
      <c r="X39" s="4"/>
      <c r="Y39" s="4"/>
      <c r="Z39" s="4"/>
      <c r="AA39" s="4"/>
      <c r="AB39" s="7"/>
      <c r="AC39" s="7"/>
      <c r="AD39" s="7"/>
      <c r="AE39" s="7"/>
      <c r="AF39" s="7"/>
      <c r="AG39" s="7"/>
      <c r="AH39" s="7"/>
      <c r="AI39" s="7"/>
      <c r="AJ39" s="7"/>
      <c r="AK39" s="7"/>
      <c r="AL39" s="7"/>
      <c r="AM39" s="7"/>
      <c r="AN39" s="7"/>
      <c r="AO39" s="7"/>
      <c r="AP39" s="7"/>
      <c r="AQ39" s="7"/>
      <c r="AR39" s="7"/>
      <c r="AS39" s="7"/>
      <c r="AT39" s="7"/>
      <c r="AU39" s="7"/>
      <c r="AV39" s="7"/>
      <c r="AW39" s="7"/>
      <c r="AX39" s="7"/>
      <c r="AY39" s="7"/>
      <c r="AZ39" s="7"/>
      <c r="BA39" s="7"/>
      <c r="BB39" s="7"/>
      <c r="BC39" s="7"/>
      <c r="BD39" s="7"/>
      <c r="BE39" s="7"/>
      <c r="BF39" s="7"/>
      <c r="BG39" s="7"/>
      <c r="BH39" s="7"/>
      <c r="BI39" s="7"/>
      <c r="BJ39" s="7"/>
      <c r="BK39" s="51"/>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row>
    <row r="40" spans="1:205" ht="28.8" x14ac:dyDescent="0.3">
      <c r="A40" s="60" t="s">
        <v>217</v>
      </c>
      <c r="B40" s="23" t="s">
        <v>175</v>
      </c>
      <c r="C40" s="37" t="s">
        <v>12</v>
      </c>
      <c r="D40" s="31" t="s">
        <v>87</v>
      </c>
      <c r="E40" s="30" t="s">
        <v>181</v>
      </c>
      <c r="F40" s="102">
        <v>44838</v>
      </c>
      <c r="G40" s="29">
        <v>1</v>
      </c>
      <c r="H40" s="102">
        <f>IF(F40="","",WORKDAY(IF(WEEKDAY(F40,1)=7,F40+2,IF(WEEKDAY(F40,1)=1,F40+1,F40)),G40-1,))</f>
        <v>44838</v>
      </c>
      <c r="I40" s="71">
        <v>0</v>
      </c>
      <c r="K40" s="50"/>
      <c r="L40" s="4"/>
      <c r="M40" s="4"/>
      <c r="N40" s="4"/>
      <c r="O40" s="4"/>
      <c r="P40" s="4"/>
      <c r="Q40" s="4"/>
      <c r="R40" s="4"/>
      <c r="S40" s="4"/>
      <c r="T40" s="4"/>
      <c r="U40" s="4"/>
      <c r="V40" s="4"/>
      <c r="W40" s="4"/>
      <c r="X40" s="4"/>
      <c r="Y40" s="4"/>
      <c r="Z40" s="4"/>
      <c r="AA40" s="4"/>
      <c r="AB40" s="7"/>
      <c r="AC40" s="7"/>
      <c r="AD40" s="7"/>
      <c r="AE40" s="7"/>
      <c r="AF40" s="7"/>
      <c r="AG40" s="7"/>
      <c r="AH40" s="7"/>
      <c r="AI40" s="7"/>
      <c r="AJ40" s="7"/>
      <c r="AK40" s="7"/>
      <c r="AL40" s="7"/>
      <c r="AM40" s="7"/>
      <c r="AN40" s="7"/>
      <c r="AO40" s="7"/>
      <c r="AP40" s="7"/>
      <c r="AQ40" s="7"/>
      <c r="AR40" s="7"/>
      <c r="AS40" s="7"/>
      <c r="AT40" s="7"/>
      <c r="AU40" s="7"/>
      <c r="AV40" s="7"/>
      <c r="AW40" s="7"/>
      <c r="AX40" s="7"/>
      <c r="AY40" s="7"/>
      <c r="AZ40" s="7"/>
      <c r="BA40" s="7"/>
      <c r="BB40" s="7"/>
      <c r="BC40" s="7"/>
      <c r="BD40" s="7"/>
      <c r="BE40" s="7"/>
      <c r="BF40" s="7"/>
      <c r="BG40" s="7"/>
      <c r="BH40" s="7"/>
      <c r="BI40" s="7"/>
      <c r="BJ40" s="7"/>
      <c r="BK40" s="51"/>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row>
    <row r="41" spans="1:205" s="5" customFormat="1" ht="15.6" x14ac:dyDescent="0.3">
      <c r="A41" s="59">
        <v>3</v>
      </c>
      <c r="B41" s="41" t="s">
        <v>182</v>
      </c>
      <c r="C41" s="42"/>
      <c r="D41" s="43"/>
      <c r="E41" s="44"/>
      <c r="F41" s="107">
        <f>MIN(F42:F60)</f>
        <v>44898</v>
      </c>
      <c r="G41" s="109">
        <f>NETWORKDAYS(F41,H41)</f>
        <v>84</v>
      </c>
      <c r="H41" s="107">
        <f>MAX(H42:H60)</f>
        <v>45015</v>
      </c>
      <c r="I41" s="70">
        <f>SUMIF(A42:A60,A41&amp;"*",I42:I60)/(COUNTIF(A41:A60,A41&amp;".*"))</f>
        <v>0</v>
      </c>
      <c r="J41"/>
      <c r="K41" s="50"/>
      <c r="L41" s="4"/>
      <c r="M41" s="4"/>
      <c r="N41" s="4"/>
      <c r="O41" s="4"/>
      <c r="P41" s="4"/>
      <c r="Q41" s="4"/>
      <c r="R41" s="4"/>
      <c r="S41" s="4"/>
      <c r="T41" s="4"/>
      <c r="U41" s="4"/>
      <c r="V41" s="4"/>
      <c r="W41" s="4"/>
      <c r="X41" s="4"/>
      <c r="Y41" s="4"/>
      <c r="Z41" s="4"/>
      <c r="AA41" s="4"/>
      <c r="AB41" s="7"/>
      <c r="AC41" s="7"/>
      <c r="AD41" s="7"/>
      <c r="AE41" s="7"/>
      <c r="AF41" s="7"/>
      <c r="AG41" s="7"/>
      <c r="AH41" s="7"/>
      <c r="AI41" s="7"/>
      <c r="AJ41" s="7"/>
      <c r="AK41" s="7"/>
      <c r="AL41" s="7"/>
      <c r="AM41" s="7"/>
      <c r="AN41" s="7"/>
      <c r="AO41" s="7"/>
      <c r="AP41" s="7"/>
      <c r="AQ41" s="7"/>
      <c r="AR41" s="7"/>
      <c r="AS41" s="7"/>
      <c r="AT41" s="7"/>
      <c r="AU41" s="7"/>
      <c r="AV41" s="7"/>
      <c r="AW41" s="7"/>
      <c r="AX41" s="7"/>
      <c r="AY41" s="7"/>
      <c r="AZ41" s="7"/>
      <c r="BA41" s="7"/>
      <c r="BB41" s="7"/>
      <c r="BC41" s="7"/>
      <c r="BD41" s="7"/>
      <c r="BE41" s="7"/>
      <c r="BF41" s="7"/>
      <c r="BG41" s="7"/>
      <c r="BH41" s="7"/>
      <c r="BI41" s="7"/>
      <c r="BJ41" s="7"/>
      <c r="BK41" s="51"/>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row>
    <row r="42" spans="1:205" ht="15.6" x14ac:dyDescent="0.3">
      <c r="A42" s="60" t="s">
        <v>16</v>
      </c>
      <c r="B42" s="23" t="s">
        <v>183</v>
      </c>
      <c r="C42" s="37">
        <v>2</v>
      </c>
      <c r="D42" s="31" t="s">
        <v>113</v>
      </c>
      <c r="E42" s="30"/>
      <c r="F42" s="102">
        <v>44898</v>
      </c>
      <c r="G42" s="29">
        <v>65</v>
      </c>
      <c r="H42" s="102">
        <f>IF(F42="","",WORKDAY(IF(WEEKDAY(F42,1)=7,F42+2,IF(WEEKDAY(F42,1)=1,F42+1,F42)),G42-1,))</f>
        <v>44988</v>
      </c>
      <c r="I42" s="71">
        <v>0</v>
      </c>
      <c r="K42" s="50"/>
      <c r="L42" s="4"/>
      <c r="M42" s="4"/>
      <c r="N42" s="4"/>
      <c r="O42" s="4"/>
      <c r="P42" s="4"/>
      <c r="Q42" s="4"/>
      <c r="R42" s="4"/>
      <c r="S42" s="4"/>
      <c r="T42" s="4"/>
      <c r="U42" s="4"/>
      <c r="V42" s="4"/>
      <c r="W42" s="4"/>
      <c r="X42" s="4"/>
      <c r="Y42" s="4"/>
      <c r="Z42" s="4"/>
      <c r="AA42" s="4"/>
      <c r="AB42" s="7"/>
      <c r="AC42" s="7"/>
      <c r="AD42" s="7"/>
      <c r="AE42" s="7"/>
      <c r="AF42" s="7"/>
      <c r="AG42" s="7"/>
      <c r="AH42" s="7"/>
      <c r="AI42" s="7"/>
      <c r="AJ42" s="7"/>
      <c r="AK42" s="7"/>
      <c r="AL42" s="7"/>
      <c r="AM42" s="7"/>
      <c r="AN42" s="7"/>
      <c r="AO42" s="7"/>
      <c r="AP42" s="7"/>
      <c r="AQ42" s="7"/>
      <c r="AR42" s="7"/>
      <c r="AS42" s="7"/>
      <c r="AT42" s="7"/>
      <c r="AU42" s="7"/>
      <c r="AV42" s="7"/>
      <c r="AW42" s="7"/>
      <c r="AX42" s="7"/>
      <c r="AY42" s="7"/>
      <c r="AZ42" s="7"/>
      <c r="BA42" s="7"/>
      <c r="BB42" s="7"/>
      <c r="BC42" s="7"/>
      <c r="BD42" s="7"/>
      <c r="BE42" s="7"/>
      <c r="BF42" s="7"/>
      <c r="BG42" s="7"/>
      <c r="BH42" s="7"/>
      <c r="BI42" s="7"/>
      <c r="BJ42" s="7"/>
      <c r="BK42" s="51"/>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row>
    <row r="43" spans="1:205" ht="15.6" x14ac:dyDescent="0.3">
      <c r="A43" s="60" t="s">
        <v>17</v>
      </c>
      <c r="B43" s="23" t="s">
        <v>184</v>
      </c>
      <c r="C43" s="37">
        <v>2</v>
      </c>
      <c r="D43" s="31" t="s">
        <v>116</v>
      </c>
      <c r="E43" s="30"/>
      <c r="F43" s="102">
        <v>44898</v>
      </c>
      <c r="G43" s="29">
        <v>65</v>
      </c>
      <c r="H43" s="102">
        <f t="shared" ref="H43:H60" si="6">IF(F43="","",WORKDAY(IF(WEEKDAY(F43,1)=7,F43+2,IF(WEEKDAY(F43,1)=1,F43+1,F43)),G43-1,))</f>
        <v>44988</v>
      </c>
      <c r="I43" s="71">
        <v>0</v>
      </c>
      <c r="K43" s="50"/>
      <c r="L43" s="4"/>
      <c r="M43" s="4"/>
      <c r="N43" s="4"/>
      <c r="O43" s="4"/>
      <c r="P43" s="4"/>
      <c r="Q43" s="4"/>
      <c r="R43" s="4"/>
      <c r="S43" s="4"/>
      <c r="T43" s="4"/>
      <c r="U43" s="4"/>
      <c r="V43" s="4"/>
      <c r="W43" s="4"/>
      <c r="X43" s="4"/>
      <c r="Y43" s="4"/>
      <c r="Z43" s="4"/>
      <c r="AA43" s="4"/>
      <c r="AB43" s="7"/>
      <c r="AC43" s="7"/>
      <c r="AD43" s="7"/>
      <c r="AE43" s="7"/>
      <c r="AF43" s="7"/>
      <c r="AG43" s="7"/>
      <c r="AH43" s="7"/>
      <c r="AI43" s="7"/>
      <c r="AJ43" s="7"/>
      <c r="AK43" s="7"/>
      <c r="AL43" s="7"/>
      <c r="AM43" s="7"/>
      <c r="AN43" s="7"/>
      <c r="AO43" s="7"/>
      <c r="AP43" s="7"/>
      <c r="AQ43" s="7"/>
      <c r="AR43" s="7"/>
      <c r="AS43" s="7"/>
      <c r="AT43" s="7"/>
      <c r="AU43" s="7"/>
      <c r="AV43" s="7"/>
      <c r="AW43" s="7"/>
      <c r="AX43" s="7"/>
      <c r="AY43" s="7"/>
      <c r="AZ43" s="7"/>
      <c r="BA43" s="7"/>
      <c r="BB43" s="7"/>
      <c r="BC43" s="7"/>
      <c r="BD43" s="7"/>
      <c r="BE43" s="7"/>
      <c r="BF43" s="7"/>
      <c r="BG43" s="7"/>
      <c r="BH43" s="7"/>
      <c r="BI43" s="7"/>
      <c r="BJ43" s="7"/>
      <c r="BK43" s="51"/>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row>
    <row r="44" spans="1:205" ht="15.6" x14ac:dyDescent="0.3">
      <c r="A44" s="60" t="s">
        <v>18</v>
      </c>
      <c r="B44" s="23" t="s">
        <v>185</v>
      </c>
      <c r="C44" s="37">
        <v>2</v>
      </c>
      <c r="D44" s="31" t="s">
        <v>124</v>
      </c>
      <c r="E44" s="30"/>
      <c r="F44" s="102">
        <v>44898</v>
      </c>
      <c r="G44" s="29">
        <v>65</v>
      </c>
      <c r="H44" s="102">
        <f t="shared" si="6"/>
        <v>44988</v>
      </c>
      <c r="I44" s="71">
        <v>0</v>
      </c>
      <c r="K44" s="50"/>
      <c r="L44" s="4"/>
      <c r="M44" s="4"/>
      <c r="N44" s="4"/>
      <c r="O44" s="4"/>
      <c r="P44" s="4"/>
      <c r="Q44" s="4"/>
      <c r="R44" s="4"/>
      <c r="S44" s="4"/>
      <c r="T44" s="4"/>
      <c r="U44" s="4"/>
      <c r="V44" s="4"/>
      <c r="W44" s="4"/>
      <c r="X44" s="4"/>
      <c r="Y44" s="4"/>
      <c r="Z44" s="4"/>
      <c r="AA44" s="4"/>
      <c r="AB44" s="7"/>
      <c r="AC44" s="7"/>
      <c r="AD44" s="7"/>
      <c r="AE44" s="7"/>
      <c r="AF44" s="7"/>
      <c r="AG44" s="7"/>
      <c r="AH44" s="7"/>
      <c r="AI44" s="7"/>
      <c r="AJ44" s="7"/>
      <c r="AK44" s="7"/>
      <c r="AL44" s="7"/>
      <c r="AM44" s="7"/>
      <c r="AN44" s="7"/>
      <c r="AO44" s="7"/>
      <c r="AP44" s="7"/>
      <c r="AQ44" s="7"/>
      <c r="AR44" s="7"/>
      <c r="AS44" s="7"/>
      <c r="AT44" s="7"/>
      <c r="AU44" s="7"/>
      <c r="AV44" s="7"/>
      <c r="AW44" s="7"/>
      <c r="AX44" s="7"/>
      <c r="AY44" s="7"/>
      <c r="AZ44" s="7"/>
      <c r="BA44" s="7"/>
      <c r="BB44" s="7"/>
      <c r="BC44" s="7"/>
      <c r="BD44" s="7"/>
      <c r="BE44" s="7"/>
      <c r="BF44" s="7"/>
      <c r="BG44" s="7"/>
      <c r="BH44" s="7"/>
      <c r="BI44" s="7"/>
      <c r="BJ44" s="7"/>
      <c r="BK44" s="51"/>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row>
    <row r="45" spans="1:205" ht="15.6" x14ac:dyDescent="0.3">
      <c r="A45" s="60" t="s">
        <v>19</v>
      </c>
      <c r="B45" s="23" t="s">
        <v>186</v>
      </c>
      <c r="C45" s="37">
        <v>2</v>
      </c>
      <c r="D45" s="31" t="s">
        <v>127</v>
      </c>
      <c r="E45" s="30"/>
      <c r="F45" s="102">
        <v>44898</v>
      </c>
      <c r="G45" s="29">
        <v>65</v>
      </c>
      <c r="H45" s="102">
        <f t="shared" si="6"/>
        <v>44988</v>
      </c>
      <c r="I45" s="71">
        <v>0</v>
      </c>
      <c r="K45" s="50"/>
      <c r="L45" s="4"/>
      <c r="M45" s="4"/>
      <c r="N45" s="4"/>
      <c r="O45" s="4"/>
      <c r="P45" s="4"/>
      <c r="Q45" s="4"/>
      <c r="R45" s="4"/>
      <c r="S45" s="4"/>
      <c r="T45" s="4"/>
      <c r="U45" s="4"/>
      <c r="V45" s="4"/>
      <c r="W45" s="4"/>
      <c r="X45" s="4"/>
      <c r="Y45" s="4"/>
      <c r="Z45" s="4"/>
      <c r="AA45" s="4"/>
      <c r="AB45" s="7"/>
      <c r="AC45" s="7"/>
      <c r="AD45" s="7"/>
      <c r="AE45" s="7"/>
      <c r="AF45" s="7"/>
      <c r="AG45" s="7"/>
      <c r="AH45" s="7"/>
      <c r="AI45" s="7"/>
      <c r="AJ45" s="7"/>
      <c r="AK45" s="7"/>
      <c r="AL45" s="7"/>
      <c r="AM45" s="7"/>
      <c r="AN45" s="7"/>
      <c r="AO45" s="7"/>
      <c r="AP45" s="7"/>
      <c r="AQ45" s="7"/>
      <c r="AR45" s="7"/>
      <c r="AS45" s="7"/>
      <c r="AT45" s="7"/>
      <c r="AU45" s="7"/>
      <c r="AV45" s="7"/>
      <c r="AW45" s="7"/>
      <c r="AX45" s="7"/>
      <c r="AY45" s="7"/>
      <c r="AZ45" s="7"/>
      <c r="BA45" s="7"/>
      <c r="BB45" s="7"/>
      <c r="BC45" s="7"/>
      <c r="BD45" s="7"/>
      <c r="BE45" s="7"/>
      <c r="BF45" s="7"/>
      <c r="BG45" s="7"/>
      <c r="BH45" s="7"/>
      <c r="BI45" s="7"/>
      <c r="BJ45" s="7"/>
      <c r="BK45" s="51"/>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row>
    <row r="46" spans="1:205" ht="15.6" x14ac:dyDescent="0.3">
      <c r="A46" s="60" t="s">
        <v>20</v>
      </c>
      <c r="B46" s="23" t="s">
        <v>187</v>
      </c>
      <c r="C46" s="37">
        <v>2</v>
      </c>
      <c r="D46" s="31" t="s">
        <v>119</v>
      </c>
      <c r="E46" s="30"/>
      <c r="F46" s="102">
        <v>44898</v>
      </c>
      <c r="G46" s="29">
        <v>65</v>
      </c>
      <c r="H46" s="102">
        <f t="shared" si="6"/>
        <v>44988</v>
      </c>
      <c r="I46" s="71">
        <v>0</v>
      </c>
      <c r="K46" s="50"/>
      <c r="L46" s="4"/>
      <c r="M46" s="4"/>
      <c r="N46" s="4"/>
      <c r="O46" s="4"/>
      <c r="P46" s="4"/>
      <c r="Q46" s="4"/>
      <c r="R46" s="4"/>
      <c r="S46" s="4"/>
      <c r="T46" s="4"/>
      <c r="U46" s="4"/>
      <c r="V46" s="4"/>
      <c r="W46" s="4"/>
      <c r="X46" s="4"/>
      <c r="Y46" s="4"/>
      <c r="Z46" s="4"/>
      <c r="AA46" s="4"/>
      <c r="AB46" s="7"/>
      <c r="AC46" s="7"/>
      <c r="AD46" s="7"/>
      <c r="AE46" s="7"/>
      <c r="AF46" s="7"/>
      <c r="AG46" s="7"/>
      <c r="AH46" s="7"/>
      <c r="AI46" s="7"/>
      <c r="AJ46" s="7"/>
      <c r="AK46" s="7"/>
      <c r="AL46" s="7"/>
      <c r="AM46" s="7"/>
      <c r="AN46" s="7"/>
      <c r="AO46" s="7"/>
      <c r="AP46" s="7"/>
      <c r="AQ46" s="7"/>
      <c r="AR46" s="7"/>
      <c r="AS46" s="7"/>
      <c r="AT46" s="7"/>
      <c r="AU46" s="7"/>
      <c r="AV46" s="7"/>
      <c r="AW46" s="7"/>
      <c r="AX46" s="7"/>
      <c r="AY46" s="7"/>
      <c r="AZ46" s="7"/>
      <c r="BA46" s="7"/>
      <c r="BB46" s="7"/>
      <c r="BC46" s="7"/>
      <c r="BD46" s="7"/>
      <c r="BE46" s="7"/>
      <c r="BF46" s="7"/>
      <c r="BG46" s="7"/>
      <c r="BH46" s="7"/>
      <c r="BI46" s="7"/>
      <c r="BJ46" s="7"/>
      <c r="BK46" s="51"/>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row>
    <row r="47" spans="1:205" ht="15.6" x14ac:dyDescent="0.3">
      <c r="A47" s="60" t="s">
        <v>188</v>
      </c>
      <c r="B47" s="23" t="s">
        <v>187</v>
      </c>
      <c r="C47" s="37">
        <v>2</v>
      </c>
      <c r="D47" s="31" t="s">
        <v>122</v>
      </c>
      <c r="E47" s="30"/>
      <c r="F47" s="102">
        <v>44898</v>
      </c>
      <c r="G47" s="29">
        <v>65</v>
      </c>
      <c r="H47" s="102">
        <f t="shared" si="6"/>
        <v>44988</v>
      </c>
      <c r="I47" s="71">
        <v>0</v>
      </c>
      <c r="K47" s="50"/>
      <c r="L47" s="4"/>
      <c r="M47" s="4"/>
      <c r="N47" s="4"/>
      <c r="O47" s="4"/>
      <c r="P47" s="4"/>
      <c r="Q47" s="4"/>
      <c r="R47" s="4"/>
      <c r="S47" s="4"/>
      <c r="T47" s="4"/>
      <c r="U47" s="4"/>
      <c r="V47" s="4"/>
      <c r="W47" s="4"/>
      <c r="X47" s="4"/>
      <c r="Y47" s="4"/>
      <c r="Z47" s="4"/>
      <c r="AA47" s="4"/>
      <c r="AB47" s="7"/>
      <c r="AC47" s="7"/>
      <c r="AD47" s="7"/>
      <c r="AE47" s="7"/>
      <c r="AF47" s="7"/>
      <c r="AG47" s="7"/>
      <c r="AH47" s="7"/>
      <c r="AI47" s="7"/>
      <c r="AJ47" s="7"/>
      <c r="AK47" s="7"/>
      <c r="AL47" s="7"/>
      <c r="AM47" s="7"/>
      <c r="AN47" s="7"/>
      <c r="AO47" s="7"/>
      <c r="AP47" s="7"/>
      <c r="AQ47" s="7"/>
      <c r="AR47" s="7"/>
      <c r="AS47" s="7"/>
      <c r="AT47" s="7"/>
      <c r="AU47" s="7"/>
      <c r="AV47" s="7"/>
      <c r="AW47" s="7"/>
      <c r="AX47" s="7"/>
      <c r="AY47" s="7"/>
      <c r="AZ47" s="7"/>
      <c r="BA47" s="7"/>
      <c r="BB47" s="7"/>
      <c r="BC47" s="7"/>
      <c r="BD47" s="7"/>
      <c r="BE47" s="7"/>
      <c r="BF47" s="7"/>
      <c r="BG47" s="7"/>
      <c r="BH47" s="7"/>
      <c r="BI47" s="7"/>
      <c r="BJ47" s="7"/>
      <c r="BK47" s="51"/>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row>
    <row r="48" spans="1:205" ht="15.6" x14ac:dyDescent="0.3">
      <c r="A48" s="60" t="s">
        <v>189</v>
      </c>
      <c r="B48" s="23" t="s">
        <v>190</v>
      </c>
      <c r="C48" s="37">
        <v>2</v>
      </c>
      <c r="D48" s="31" t="s">
        <v>129</v>
      </c>
      <c r="E48" s="30"/>
      <c r="F48" s="102">
        <v>44898</v>
      </c>
      <c r="G48" s="29">
        <v>65</v>
      </c>
      <c r="H48" s="102">
        <f t="shared" si="6"/>
        <v>44988</v>
      </c>
      <c r="I48" s="71">
        <v>0</v>
      </c>
      <c r="K48" s="50"/>
      <c r="L48" s="4"/>
      <c r="M48" s="4"/>
      <c r="N48" s="4"/>
      <c r="O48" s="4"/>
      <c r="P48" s="4"/>
      <c r="Q48" s="4"/>
      <c r="R48" s="4"/>
      <c r="S48" s="4"/>
      <c r="T48" s="4"/>
      <c r="U48" s="4"/>
      <c r="V48" s="4"/>
      <c r="W48" s="4"/>
      <c r="X48" s="4"/>
      <c r="Y48" s="4"/>
      <c r="Z48" s="4"/>
      <c r="AA48" s="4"/>
      <c r="AB48" s="7"/>
      <c r="AC48" s="7"/>
      <c r="AD48" s="7"/>
      <c r="AE48" s="7"/>
      <c r="AF48" s="7"/>
      <c r="AG48" s="7"/>
      <c r="AH48" s="7"/>
      <c r="AI48" s="7"/>
      <c r="AJ48" s="7"/>
      <c r="AK48" s="7"/>
      <c r="AL48" s="7"/>
      <c r="AM48" s="7"/>
      <c r="AN48" s="7"/>
      <c r="AO48" s="7"/>
      <c r="AP48" s="7"/>
      <c r="AQ48" s="7"/>
      <c r="AR48" s="7"/>
      <c r="AS48" s="7"/>
      <c r="AT48" s="7"/>
      <c r="AU48" s="7"/>
      <c r="AV48" s="7"/>
      <c r="AW48" s="7"/>
      <c r="AX48" s="7"/>
      <c r="AY48" s="7"/>
      <c r="AZ48" s="7"/>
      <c r="BA48" s="7"/>
      <c r="BB48" s="7"/>
      <c r="BC48" s="7"/>
      <c r="BD48" s="7"/>
      <c r="BE48" s="7"/>
      <c r="BF48" s="7"/>
      <c r="BG48" s="7"/>
      <c r="BH48" s="7"/>
      <c r="BI48" s="7"/>
      <c r="BJ48" s="7"/>
      <c r="BK48" s="51"/>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row>
    <row r="49" spans="1:205" ht="15.6" x14ac:dyDescent="0.3">
      <c r="A49" s="60" t="s">
        <v>191</v>
      </c>
      <c r="B49" s="23" t="s">
        <v>192</v>
      </c>
      <c r="C49" s="37">
        <v>2</v>
      </c>
      <c r="D49" s="31" t="s">
        <v>132</v>
      </c>
      <c r="E49" s="30"/>
      <c r="F49" s="102">
        <v>44898</v>
      </c>
      <c r="G49" s="29">
        <v>65</v>
      </c>
      <c r="H49" s="102">
        <f t="shared" si="6"/>
        <v>44988</v>
      </c>
      <c r="I49" s="71">
        <v>0</v>
      </c>
      <c r="K49" s="50"/>
      <c r="L49" s="4"/>
      <c r="M49" s="4"/>
      <c r="N49" s="4"/>
      <c r="O49" s="4"/>
      <c r="P49" s="4"/>
      <c r="Q49" s="4"/>
      <c r="R49" s="4"/>
      <c r="S49" s="4"/>
      <c r="T49" s="4"/>
      <c r="U49" s="4"/>
      <c r="V49" s="4"/>
      <c r="W49" s="4"/>
      <c r="X49" s="4"/>
      <c r="Y49" s="4"/>
      <c r="Z49" s="4"/>
      <c r="AA49" s="4"/>
      <c r="AB49" s="7"/>
      <c r="AC49" s="7"/>
      <c r="AD49" s="7"/>
      <c r="AE49" s="7"/>
      <c r="AF49" s="7"/>
      <c r="AG49" s="7"/>
      <c r="AH49" s="7"/>
      <c r="AI49" s="7"/>
      <c r="AJ49" s="7"/>
      <c r="AK49" s="7"/>
      <c r="AL49" s="7"/>
      <c r="AM49" s="7"/>
      <c r="AN49" s="7"/>
      <c r="AO49" s="7"/>
      <c r="AP49" s="7"/>
      <c r="AQ49" s="7"/>
      <c r="AR49" s="7"/>
      <c r="AS49" s="7"/>
      <c r="AT49" s="7"/>
      <c r="AU49" s="7"/>
      <c r="AV49" s="7"/>
      <c r="AW49" s="7"/>
      <c r="AX49" s="7"/>
      <c r="AY49" s="7"/>
      <c r="AZ49" s="7"/>
      <c r="BA49" s="7"/>
      <c r="BB49" s="7"/>
      <c r="BC49" s="7"/>
      <c r="BD49" s="7"/>
      <c r="BE49" s="7"/>
      <c r="BF49" s="7"/>
      <c r="BG49" s="7"/>
      <c r="BH49" s="7"/>
      <c r="BI49" s="7"/>
      <c r="BJ49" s="7"/>
      <c r="BK49" s="51"/>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c r="EI49" s="2"/>
      <c r="EJ49" s="2"/>
      <c r="EK49" s="2"/>
      <c r="EL49" s="2"/>
      <c r="EM49" s="2"/>
      <c r="EN49" s="2"/>
      <c r="EO49" s="2"/>
      <c r="EP49" s="2"/>
      <c r="EQ49" s="2"/>
      <c r="ER49" s="2"/>
      <c r="ES49" s="2"/>
      <c r="ET49" s="2"/>
      <c r="EU49" s="2"/>
      <c r="EV49" s="2"/>
      <c r="EW49" s="2"/>
      <c r="EX49" s="2"/>
      <c r="EY49" s="2"/>
      <c r="EZ49" s="2"/>
      <c r="FA49" s="2"/>
      <c r="FB49" s="2"/>
      <c r="FC49" s="2"/>
      <c r="FD49" s="2"/>
      <c r="FE49" s="2"/>
      <c r="FF49" s="2"/>
      <c r="FG49" s="2"/>
      <c r="FH49" s="2"/>
      <c r="FI49" s="2"/>
      <c r="FJ49" s="2"/>
      <c r="FK49" s="2"/>
      <c r="FL49" s="2"/>
      <c r="FM49" s="2"/>
      <c r="FN49" s="2"/>
      <c r="FO49" s="2"/>
      <c r="FP49" s="2"/>
      <c r="FQ49" s="2"/>
      <c r="FR49" s="2"/>
      <c r="FS49" s="2"/>
      <c r="FT49" s="2"/>
      <c r="FU49" s="2"/>
      <c r="FV49" s="2"/>
      <c r="FW49" s="2"/>
      <c r="FX49" s="2"/>
      <c r="FY49" s="2"/>
      <c r="FZ49" s="2"/>
      <c r="GA49" s="2"/>
      <c r="GB49" s="2"/>
      <c r="GC49" s="2"/>
      <c r="GD49" s="2"/>
      <c r="GE49" s="2"/>
      <c r="GF49" s="2"/>
      <c r="GG49" s="2"/>
      <c r="GH49" s="2"/>
      <c r="GI49" s="2"/>
      <c r="GJ49" s="2"/>
      <c r="GK49" s="2"/>
      <c r="GL49" s="2"/>
      <c r="GM49" s="2"/>
      <c r="GN49" s="2"/>
      <c r="GO49" s="2"/>
      <c r="GP49" s="2"/>
      <c r="GQ49" s="2"/>
      <c r="GR49" s="2"/>
      <c r="GS49" s="2"/>
      <c r="GT49" s="2"/>
      <c r="GU49" s="2"/>
      <c r="GV49" s="2"/>
      <c r="GW49" s="2"/>
    </row>
    <row r="50" spans="1:205" ht="15.6" x14ac:dyDescent="0.3">
      <c r="A50" s="60" t="s">
        <v>193</v>
      </c>
      <c r="B50" s="23" t="s">
        <v>194</v>
      </c>
      <c r="C50" s="37">
        <v>2</v>
      </c>
      <c r="D50" s="31" t="s">
        <v>134</v>
      </c>
      <c r="E50" s="30"/>
      <c r="F50" s="102">
        <v>44898</v>
      </c>
      <c r="G50" s="29">
        <v>65</v>
      </c>
      <c r="H50" s="102">
        <f t="shared" si="6"/>
        <v>44988</v>
      </c>
      <c r="I50" s="71">
        <v>0</v>
      </c>
      <c r="K50" s="50"/>
      <c r="L50" s="4"/>
      <c r="M50" s="4"/>
      <c r="N50" s="4"/>
      <c r="O50" s="4"/>
      <c r="P50" s="4"/>
      <c r="Q50" s="4"/>
      <c r="R50" s="4"/>
      <c r="S50" s="4"/>
      <c r="T50" s="4"/>
      <c r="U50" s="4"/>
      <c r="V50" s="4"/>
      <c r="W50" s="4"/>
      <c r="X50" s="4"/>
      <c r="Y50" s="4"/>
      <c r="Z50" s="4"/>
      <c r="AA50" s="4"/>
      <c r="AB50" s="7"/>
      <c r="AC50" s="7"/>
      <c r="AD50" s="7"/>
      <c r="AE50" s="7"/>
      <c r="AF50" s="7"/>
      <c r="AG50" s="7"/>
      <c r="AH50" s="7"/>
      <c r="AI50" s="7"/>
      <c r="AJ50" s="7"/>
      <c r="AK50" s="7"/>
      <c r="AL50" s="7"/>
      <c r="AM50" s="7"/>
      <c r="AN50" s="7"/>
      <c r="AO50" s="7"/>
      <c r="AP50" s="7"/>
      <c r="AQ50" s="7"/>
      <c r="AR50" s="7"/>
      <c r="AS50" s="7"/>
      <c r="AT50" s="7"/>
      <c r="AU50" s="7"/>
      <c r="AV50" s="7"/>
      <c r="AW50" s="7"/>
      <c r="AX50" s="7"/>
      <c r="AY50" s="7"/>
      <c r="AZ50" s="7"/>
      <c r="BA50" s="7"/>
      <c r="BB50" s="7"/>
      <c r="BC50" s="7"/>
      <c r="BD50" s="7"/>
      <c r="BE50" s="7"/>
      <c r="BF50" s="7"/>
      <c r="BG50" s="7"/>
      <c r="BH50" s="7"/>
      <c r="BI50" s="7"/>
      <c r="BJ50" s="7"/>
      <c r="BK50" s="51"/>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c r="EE50" s="2"/>
      <c r="EF50" s="2"/>
      <c r="EG50" s="2"/>
      <c r="EH50" s="2"/>
      <c r="EI50" s="2"/>
      <c r="EJ50" s="2"/>
      <c r="EK50" s="2"/>
      <c r="EL50" s="2"/>
      <c r="EM50" s="2"/>
      <c r="EN50" s="2"/>
      <c r="EO50" s="2"/>
      <c r="EP50" s="2"/>
      <c r="EQ50" s="2"/>
      <c r="ER50" s="2"/>
      <c r="ES50" s="2"/>
      <c r="ET50" s="2"/>
      <c r="EU50" s="2"/>
      <c r="EV50" s="2"/>
      <c r="EW50" s="2"/>
      <c r="EX50" s="2"/>
      <c r="EY50" s="2"/>
      <c r="EZ50" s="2"/>
      <c r="FA50" s="2"/>
      <c r="FB50" s="2"/>
      <c r="FC50" s="2"/>
      <c r="FD50" s="2"/>
      <c r="FE50" s="2"/>
      <c r="FF50" s="2"/>
      <c r="FG50" s="2"/>
      <c r="FH50" s="2"/>
      <c r="FI50" s="2"/>
      <c r="FJ50" s="2"/>
      <c r="FK50" s="2"/>
      <c r="FL50" s="2"/>
      <c r="FM50" s="2"/>
      <c r="FN50" s="2"/>
      <c r="FO50" s="2"/>
      <c r="FP50" s="2"/>
      <c r="FQ50" s="2"/>
      <c r="FR50" s="2"/>
      <c r="FS50" s="2"/>
      <c r="FT50" s="2"/>
      <c r="FU50" s="2"/>
      <c r="FV50" s="2"/>
      <c r="FW50" s="2"/>
      <c r="FX50" s="2"/>
      <c r="FY50" s="2"/>
      <c r="FZ50" s="2"/>
      <c r="GA50" s="2"/>
      <c r="GB50" s="2"/>
      <c r="GC50" s="2"/>
      <c r="GD50" s="2"/>
      <c r="GE50" s="2"/>
      <c r="GF50" s="2"/>
      <c r="GG50" s="2"/>
      <c r="GH50" s="2"/>
      <c r="GI50" s="2"/>
      <c r="GJ50" s="2"/>
      <c r="GK50" s="2"/>
      <c r="GL50" s="2"/>
      <c r="GM50" s="2"/>
      <c r="GN50" s="2"/>
      <c r="GO50" s="2"/>
      <c r="GP50" s="2"/>
      <c r="GQ50" s="2"/>
      <c r="GR50" s="2"/>
      <c r="GS50" s="2"/>
      <c r="GT50" s="2"/>
      <c r="GU50" s="2"/>
      <c r="GV50" s="2"/>
      <c r="GW50" s="2"/>
    </row>
    <row r="51" spans="1:205" ht="15.6" x14ac:dyDescent="0.3">
      <c r="A51" s="60" t="s">
        <v>195</v>
      </c>
      <c r="B51" s="23" t="s">
        <v>194</v>
      </c>
      <c r="C51" s="37">
        <v>2</v>
      </c>
      <c r="D51" s="31" t="s">
        <v>137</v>
      </c>
      <c r="E51" s="30"/>
      <c r="F51" s="102">
        <v>44898</v>
      </c>
      <c r="G51" s="29">
        <v>65</v>
      </c>
      <c r="H51" s="102">
        <f t="shared" si="6"/>
        <v>44988</v>
      </c>
      <c r="I51" s="71">
        <v>0</v>
      </c>
      <c r="K51" s="50"/>
      <c r="L51" s="4"/>
      <c r="M51" s="4"/>
      <c r="N51" s="4"/>
      <c r="O51" s="4"/>
      <c r="P51" s="4"/>
      <c r="Q51" s="4"/>
      <c r="R51" s="4"/>
      <c r="S51" s="4"/>
      <c r="T51" s="4"/>
      <c r="U51" s="4"/>
      <c r="V51" s="4"/>
      <c r="W51" s="4"/>
      <c r="X51" s="4"/>
      <c r="Y51" s="4"/>
      <c r="Z51" s="4"/>
      <c r="AA51" s="4"/>
      <c r="AB51" s="7"/>
      <c r="AC51" s="7"/>
      <c r="AD51" s="7"/>
      <c r="AE51" s="7"/>
      <c r="AF51" s="7"/>
      <c r="AG51" s="7"/>
      <c r="AH51" s="7"/>
      <c r="AI51" s="7"/>
      <c r="AJ51" s="7"/>
      <c r="AK51" s="7"/>
      <c r="AL51" s="7"/>
      <c r="AM51" s="7"/>
      <c r="AN51" s="7"/>
      <c r="AO51" s="7"/>
      <c r="AP51" s="7"/>
      <c r="AQ51" s="7"/>
      <c r="AR51" s="7"/>
      <c r="AS51" s="7"/>
      <c r="AT51" s="7"/>
      <c r="AU51" s="7"/>
      <c r="AV51" s="7"/>
      <c r="AW51" s="7"/>
      <c r="AX51" s="7"/>
      <c r="AY51" s="7"/>
      <c r="AZ51" s="7"/>
      <c r="BA51" s="7"/>
      <c r="BB51" s="7"/>
      <c r="BC51" s="7"/>
      <c r="BD51" s="7"/>
      <c r="BE51" s="7"/>
      <c r="BF51" s="7"/>
      <c r="BG51" s="7"/>
      <c r="BH51" s="7"/>
      <c r="BI51" s="7"/>
      <c r="BJ51" s="7"/>
      <c r="BK51" s="51"/>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2"/>
      <c r="FD51" s="2"/>
      <c r="FE51" s="2"/>
      <c r="FF51" s="2"/>
      <c r="FG51" s="2"/>
      <c r="FH51" s="2"/>
      <c r="FI51" s="2"/>
      <c r="FJ51" s="2"/>
      <c r="FK51" s="2"/>
      <c r="FL51" s="2"/>
      <c r="FM51" s="2"/>
      <c r="FN51" s="2"/>
      <c r="FO51" s="2"/>
      <c r="FP51" s="2"/>
      <c r="FQ51" s="2"/>
      <c r="FR51" s="2"/>
      <c r="FS51" s="2"/>
      <c r="FT51" s="2"/>
      <c r="FU51" s="2"/>
      <c r="FV51" s="2"/>
      <c r="FW51" s="2"/>
      <c r="FX51" s="2"/>
      <c r="FY51" s="2"/>
      <c r="FZ51" s="2"/>
      <c r="GA51" s="2"/>
      <c r="GB51" s="2"/>
      <c r="GC51" s="2"/>
      <c r="GD51" s="2"/>
      <c r="GE51" s="2"/>
      <c r="GF51" s="2"/>
      <c r="GG51" s="2"/>
      <c r="GH51" s="2"/>
      <c r="GI51" s="2"/>
      <c r="GJ51" s="2"/>
      <c r="GK51" s="2"/>
      <c r="GL51" s="2"/>
      <c r="GM51" s="2"/>
      <c r="GN51" s="2"/>
      <c r="GO51" s="2"/>
      <c r="GP51" s="2"/>
      <c r="GQ51" s="2"/>
      <c r="GR51" s="2"/>
      <c r="GS51" s="2"/>
      <c r="GT51" s="2"/>
      <c r="GU51" s="2"/>
      <c r="GV51" s="2"/>
      <c r="GW51" s="2"/>
    </row>
    <row r="52" spans="1:205" ht="15.6" x14ac:dyDescent="0.3">
      <c r="A52" s="60" t="s">
        <v>196</v>
      </c>
      <c r="B52" s="23" t="s">
        <v>197</v>
      </c>
      <c r="C52" s="37">
        <v>2</v>
      </c>
      <c r="D52" s="31" t="s">
        <v>140</v>
      </c>
      <c r="E52" s="30"/>
      <c r="F52" s="102">
        <v>44898</v>
      </c>
      <c r="G52" s="29">
        <v>65</v>
      </c>
      <c r="H52" s="102">
        <f t="shared" si="6"/>
        <v>44988</v>
      </c>
      <c r="I52" s="71">
        <v>0</v>
      </c>
      <c r="K52" s="50"/>
      <c r="L52" s="4"/>
      <c r="M52" s="4"/>
      <c r="N52" s="4"/>
      <c r="O52" s="4"/>
      <c r="P52" s="4"/>
      <c r="Q52" s="4"/>
      <c r="R52" s="4"/>
      <c r="S52" s="4"/>
      <c r="T52" s="4"/>
      <c r="U52" s="4"/>
      <c r="V52" s="4"/>
      <c r="W52" s="4"/>
      <c r="X52" s="4"/>
      <c r="Y52" s="4"/>
      <c r="Z52" s="4"/>
      <c r="AA52" s="4"/>
      <c r="AB52" s="7"/>
      <c r="AC52" s="7"/>
      <c r="AD52" s="7"/>
      <c r="AE52" s="7"/>
      <c r="AF52" s="7"/>
      <c r="AG52" s="7"/>
      <c r="AH52" s="7"/>
      <c r="AI52" s="7"/>
      <c r="AJ52" s="7"/>
      <c r="AK52" s="7"/>
      <c r="AL52" s="7"/>
      <c r="AM52" s="7"/>
      <c r="AN52" s="7"/>
      <c r="AO52" s="7"/>
      <c r="AP52" s="7"/>
      <c r="AQ52" s="7"/>
      <c r="AR52" s="7"/>
      <c r="AS52" s="7"/>
      <c r="AT52" s="7"/>
      <c r="AU52" s="7"/>
      <c r="AV52" s="7"/>
      <c r="AW52" s="7"/>
      <c r="AX52" s="7"/>
      <c r="AY52" s="7"/>
      <c r="AZ52" s="7"/>
      <c r="BA52" s="7"/>
      <c r="BB52" s="7"/>
      <c r="BC52" s="7"/>
      <c r="BD52" s="7"/>
      <c r="BE52" s="7"/>
      <c r="BF52" s="7"/>
      <c r="BG52" s="7"/>
      <c r="BH52" s="7"/>
      <c r="BI52" s="7"/>
      <c r="BJ52" s="7"/>
      <c r="BK52" s="51"/>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c r="EE52" s="2"/>
      <c r="EF52" s="2"/>
      <c r="EG52" s="2"/>
      <c r="EH52" s="2"/>
      <c r="EI52" s="2"/>
      <c r="EJ52" s="2"/>
      <c r="EK52" s="2"/>
      <c r="EL52" s="2"/>
      <c r="EM52" s="2"/>
      <c r="EN52" s="2"/>
      <c r="EO52" s="2"/>
      <c r="EP52" s="2"/>
      <c r="EQ52" s="2"/>
      <c r="ER52" s="2"/>
      <c r="ES52" s="2"/>
      <c r="ET52" s="2"/>
      <c r="EU52" s="2"/>
      <c r="EV52" s="2"/>
      <c r="EW52" s="2"/>
      <c r="EX52" s="2"/>
      <c r="EY52" s="2"/>
      <c r="EZ52" s="2"/>
      <c r="FA52" s="2"/>
      <c r="FB52" s="2"/>
      <c r="FC52" s="2"/>
      <c r="FD52" s="2"/>
      <c r="FE52" s="2"/>
      <c r="FF52" s="2"/>
      <c r="FG52" s="2"/>
      <c r="FH52" s="2"/>
      <c r="FI52" s="2"/>
      <c r="FJ52" s="2"/>
      <c r="FK52" s="2"/>
      <c r="FL52" s="2"/>
      <c r="FM52" s="2"/>
      <c r="FN52" s="2"/>
      <c r="FO52" s="2"/>
      <c r="FP52" s="2"/>
      <c r="FQ52" s="2"/>
      <c r="FR52" s="2"/>
      <c r="FS52" s="2"/>
      <c r="FT52" s="2"/>
      <c r="FU52" s="2"/>
      <c r="FV52" s="2"/>
      <c r="FW52" s="2"/>
      <c r="FX52" s="2"/>
      <c r="FY52" s="2"/>
      <c r="FZ52" s="2"/>
      <c r="GA52" s="2"/>
      <c r="GB52" s="2"/>
      <c r="GC52" s="2"/>
      <c r="GD52" s="2"/>
      <c r="GE52" s="2"/>
      <c r="GF52" s="2"/>
      <c r="GG52" s="2"/>
      <c r="GH52" s="2"/>
      <c r="GI52" s="2"/>
      <c r="GJ52" s="2"/>
      <c r="GK52" s="2"/>
      <c r="GL52" s="2"/>
      <c r="GM52" s="2"/>
      <c r="GN52" s="2"/>
      <c r="GO52" s="2"/>
      <c r="GP52" s="2"/>
      <c r="GQ52" s="2"/>
      <c r="GR52" s="2"/>
      <c r="GS52" s="2"/>
      <c r="GT52" s="2"/>
      <c r="GU52" s="2"/>
      <c r="GV52" s="2"/>
      <c r="GW52" s="2"/>
    </row>
    <row r="53" spans="1:205" ht="15.6" x14ac:dyDescent="0.3">
      <c r="A53" s="60" t="s">
        <v>198</v>
      </c>
      <c r="B53" s="23" t="s">
        <v>199</v>
      </c>
      <c r="C53" s="37">
        <v>2</v>
      </c>
      <c r="D53" s="31" t="s">
        <v>96</v>
      </c>
      <c r="E53" s="30"/>
      <c r="F53" s="102">
        <v>44898</v>
      </c>
      <c r="G53" s="29">
        <v>65</v>
      </c>
      <c r="H53" s="102">
        <f t="shared" si="6"/>
        <v>44988</v>
      </c>
      <c r="I53" s="71">
        <v>0</v>
      </c>
      <c r="K53" s="50"/>
      <c r="L53" s="4"/>
      <c r="M53" s="4"/>
      <c r="N53" s="4"/>
      <c r="O53" s="4"/>
      <c r="P53" s="4"/>
      <c r="Q53" s="4"/>
      <c r="R53" s="4"/>
      <c r="S53" s="4"/>
      <c r="T53" s="4"/>
      <c r="U53" s="4"/>
      <c r="V53" s="4"/>
      <c r="W53" s="4"/>
      <c r="X53" s="4"/>
      <c r="Y53" s="4"/>
      <c r="Z53" s="4"/>
      <c r="AA53" s="4"/>
      <c r="AB53" s="7"/>
      <c r="AC53" s="7"/>
      <c r="AD53" s="7"/>
      <c r="AE53" s="7"/>
      <c r="AF53" s="7"/>
      <c r="AG53" s="7"/>
      <c r="AH53" s="7"/>
      <c r="AI53" s="7"/>
      <c r="AJ53" s="7"/>
      <c r="AK53" s="7"/>
      <c r="AL53" s="7"/>
      <c r="AM53" s="7"/>
      <c r="AN53" s="7"/>
      <c r="AO53" s="7"/>
      <c r="AP53" s="7"/>
      <c r="AQ53" s="7"/>
      <c r="AR53" s="7"/>
      <c r="AS53" s="7"/>
      <c r="AT53" s="7"/>
      <c r="AU53" s="7"/>
      <c r="AV53" s="7"/>
      <c r="AW53" s="7"/>
      <c r="AX53" s="7"/>
      <c r="AY53" s="7"/>
      <c r="AZ53" s="7"/>
      <c r="BA53" s="7"/>
      <c r="BB53" s="7"/>
      <c r="BC53" s="7"/>
      <c r="BD53" s="7"/>
      <c r="BE53" s="7"/>
      <c r="BF53" s="7"/>
      <c r="BG53" s="7"/>
      <c r="BH53" s="7"/>
      <c r="BI53" s="7"/>
      <c r="BJ53" s="7"/>
      <c r="BK53" s="51"/>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c r="DO53" s="2"/>
      <c r="DP53" s="2"/>
      <c r="DQ53" s="2"/>
      <c r="DR53" s="2"/>
      <c r="DS53" s="2"/>
      <c r="DT53" s="2"/>
      <c r="DU53" s="2"/>
      <c r="DV53" s="2"/>
      <c r="DW53" s="2"/>
      <c r="DX53" s="2"/>
      <c r="DY53" s="2"/>
      <c r="DZ53" s="2"/>
      <c r="EA53" s="2"/>
      <c r="EB53" s="2"/>
      <c r="EC53" s="2"/>
      <c r="ED53" s="2"/>
      <c r="EE53" s="2"/>
      <c r="EF53" s="2"/>
      <c r="EG53" s="2"/>
      <c r="EH53" s="2"/>
      <c r="EI53" s="2"/>
      <c r="EJ53" s="2"/>
      <c r="EK53" s="2"/>
      <c r="EL53" s="2"/>
      <c r="EM53" s="2"/>
      <c r="EN53" s="2"/>
      <c r="EO53" s="2"/>
      <c r="EP53" s="2"/>
      <c r="EQ53" s="2"/>
      <c r="ER53" s="2"/>
      <c r="ES53" s="2"/>
      <c r="ET53" s="2"/>
      <c r="EU53" s="2"/>
      <c r="EV53" s="2"/>
      <c r="EW53" s="2"/>
      <c r="EX53" s="2"/>
      <c r="EY53" s="2"/>
      <c r="EZ53" s="2"/>
      <c r="FA53" s="2"/>
      <c r="FB53" s="2"/>
      <c r="FC53" s="2"/>
      <c r="FD53" s="2"/>
      <c r="FE53" s="2"/>
      <c r="FF53" s="2"/>
      <c r="FG53" s="2"/>
      <c r="FH53" s="2"/>
      <c r="FI53" s="2"/>
      <c r="FJ53" s="2"/>
      <c r="FK53" s="2"/>
      <c r="FL53" s="2"/>
      <c r="FM53" s="2"/>
      <c r="FN53" s="2"/>
      <c r="FO53" s="2"/>
      <c r="FP53" s="2"/>
      <c r="FQ53" s="2"/>
      <c r="FR53" s="2"/>
      <c r="FS53" s="2"/>
      <c r="FT53" s="2"/>
      <c r="FU53" s="2"/>
      <c r="FV53" s="2"/>
      <c r="FW53" s="2"/>
      <c r="FX53" s="2"/>
      <c r="FY53" s="2"/>
      <c r="FZ53" s="2"/>
      <c r="GA53" s="2"/>
      <c r="GB53" s="2"/>
      <c r="GC53" s="2"/>
      <c r="GD53" s="2"/>
      <c r="GE53" s="2"/>
      <c r="GF53" s="2"/>
      <c r="GG53" s="2"/>
      <c r="GH53" s="2"/>
      <c r="GI53" s="2"/>
      <c r="GJ53" s="2"/>
      <c r="GK53" s="2"/>
      <c r="GL53" s="2"/>
      <c r="GM53" s="2"/>
      <c r="GN53" s="2"/>
      <c r="GO53" s="2"/>
      <c r="GP53" s="2"/>
      <c r="GQ53" s="2"/>
      <c r="GR53" s="2"/>
      <c r="GS53" s="2"/>
      <c r="GT53" s="2"/>
      <c r="GU53" s="2"/>
      <c r="GV53" s="2"/>
      <c r="GW53" s="2"/>
    </row>
    <row r="54" spans="1:205" ht="15.6" x14ac:dyDescent="0.3">
      <c r="A54" s="60" t="s">
        <v>200</v>
      </c>
      <c r="B54" s="23" t="s">
        <v>201</v>
      </c>
      <c r="C54" s="37">
        <v>2</v>
      </c>
      <c r="D54" s="31" t="s">
        <v>99</v>
      </c>
      <c r="E54" s="30"/>
      <c r="F54" s="102">
        <v>44898</v>
      </c>
      <c r="G54" s="29">
        <v>65</v>
      </c>
      <c r="H54" s="102">
        <f t="shared" si="6"/>
        <v>44988</v>
      </c>
      <c r="I54" s="71">
        <v>0</v>
      </c>
      <c r="K54" s="50"/>
      <c r="L54" s="4"/>
      <c r="M54" s="4"/>
      <c r="N54" s="4"/>
      <c r="O54" s="4"/>
      <c r="P54" s="4"/>
      <c r="Q54" s="4"/>
      <c r="R54" s="4"/>
      <c r="S54" s="4"/>
      <c r="T54" s="4"/>
      <c r="U54" s="4"/>
      <c r="V54" s="4"/>
      <c r="W54" s="4"/>
      <c r="X54" s="4"/>
      <c r="Y54" s="4"/>
      <c r="Z54" s="4"/>
      <c r="AA54" s="4"/>
      <c r="AB54" s="7"/>
      <c r="AC54" s="7"/>
      <c r="AD54" s="7"/>
      <c r="AE54" s="7"/>
      <c r="AF54" s="7"/>
      <c r="AG54" s="7"/>
      <c r="AH54" s="7"/>
      <c r="AI54" s="7"/>
      <c r="AJ54" s="7"/>
      <c r="AK54" s="7"/>
      <c r="AL54" s="7"/>
      <c r="AM54" s="7"/>
      <c r="AN54" s="7"/>
      <c r="AO54" s="7"/>
      <c r="AP54" s="7"/>
      <c r="AQ54" s="7"/>
      <c r="AR54" s="7"/>
      <c r="AS54" s="7"/>
      <c r="AT54" s="7"/>
      <c r="AU54" s="7"/>
      <c r="AV54" s="7"/>
      <c r="AW54" s="7"/>
      <c r="AX54" s="7"/>
      <c r="AY54" s="7"/>
      <c r="AZ54" s="7"/>
      <c r="BA54" s="7"/>
      <c r="BB54" s="7"/>
      <c r="BC54" s="7"/>
      <c r="BD54" s="7"/>
      <c r="BE54" s="7"/>
      <c r="BF54" s="7"/>
      <c r="BG54" s="7"/>
      <c r="BH54" s="7"/>
      <c r="BI54" s="7"/>
      <c r="BJ54" s="7"/>
      <c r="BK54" s="51"/>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2"/>
      <c r="DT54" s="2"/>
      <c r="DU54" s="2"/>
      <c r="DV54" s="2"/>
      <c r="DW54" s="2"/>
      <c r="DX54" s="2"/>
      <c r="DY54" s="2"/>
      <c r="DZ54" s="2"/>
      <c r="EA54" s="2"/>
      <c r="EB54" s="2"/>
      <c r="EC54" s="2"/>
      <c r="ED54" s="2"/>
      <c r="EE54" s="2"/>
      <c r="EF54" s="2"/>
      <c r="EG54" s="2"/>
      <c r="EH54" s="2"/>
      <c r="EI54" s="2"/>
      <c r="EJ54" s="2"/>
      <c r="EK54" s="2"/>
      <c r="EL54" s="2"/>
      <c r="EM54" s="2"/>
      <c r="EN54" s="2"/>
      <c r="EO54" s="2"/>
      <c r="EP54" s="2"/>
      <c r="EQ54" s="2"/>
      <c r="ER54" s="2"/>
      <c r="ES54" s="2"/>
      <c r="ET54" s="2"/>
      <c r="EU54" s="2"/>
      <c r="EV54" s="2"/>
      <c r="EW54" s="2"/>
      <c r="EX54" s="2"/>
      <c r="EY54" s="2"/>
      <c r="EZ54" s="2"/>
      <c r="FA54" s="2"/>
      <c r="FB54" s="2"/>
      <c r="FC54" s="2"/>
      <c r="FD54" s="2"/>
      <c r="FE54" s="2"/>
      <c r="FF54" s="2"/>
      <c r="FG54" s="2"/>
      <c r="FH54" s="2"/>
      <c r="FI54" s="2"/>
      <c r="FJ54" s="2"/>
      <c r="FK54" s="2"/>
      <c r="FL54" s="2"/>
      <c r="FM54" s="2"/>
      <c r="FN54" s="2"/>
      <c r="FO54" s="2"/>
      <c r="FP54" s="2"/>
      <c r="FQ54" s="2"/>
      <c r="FR54" s="2"/>
      <c r="FS54" s="2"/>
      <c r="FT54" s="2"/>
      <c r="FU54" s="2"/>
      <c r="FV54" s="2"/>
      <c r="FW54" s="2"/>
      <c r="FX54" s="2"/>
      <c r="FY54" s="2"/>
      <c r="FZ54" s="2"/>
      <c r="GA54" s="2"/>
      <c r="GB54" s="2"/>
      <c r="GC54" s="2"/>
      <c r="GD54" s="2"/>
      <c r="GE54" s="2"/>
      <c r="GF54" s="2"/>
      <c r="GG54" s="2"/>
      <c r="GH54" s="2"/>
      <c r="GI54" s="2"/>
      <c r="GJ54" s="2"/>
      <c r="GK54" s="2"/>
      <c r="GL54" s="2"/>
      <c r="GM54" s="2"/>
      <c r="GN54" s="2"/>
      <c r="GO54" s="2"/>
      <c r="GP54" s="2"/>
      <c r="GQ54" s="2"/>
      <c r="GR54" s="2"/>
      <c r="GS54" s="2"/>
      <c r="GT54" s="2"/>
      <c r="GU54" s="2"/>
      <c r="GV54" s="2"/>
      <c r="GW54" s="2"/>
    </row>
    <row r="55" spans="1:205" ht="15.6" x14ac:dyDescent="0.3">
      <c r="A55" s="60" t="s">
        <v>202</v>
      </c>
      <c r="B55" s="23" t="s">
        <v>203</v>
      </c>
      <c r="C55" s="37">
        <v>2</v>
      </c>
      <c r="D55" s="31" t="s">
        <v>102</v>
      </c>
      <c r="E55" s="30"/>
      <c r="F55" s="102">
        <v>44898</v>
      </c>
      <c r="G55" s="29">
        <v>65</v>
      </c>
      <c r="H55" s="102">
        <f t="shared" si="6"/>
        <v>44988</v>
      </c>
      <c r="I55" s="71">
        <v>0</v>
      </c>
      <c r="K55" s="50"/>
      <c r="L55" s="4"/>
      <c r="M55" s="4"/>
      <c r="N55" s="4"/>
      <c r="O55" s="4"/>
      <c r="P55" s="4"/>
      <c r="Q55" s="4"/>
      <c r="R55" s="4"/>
      <c r="S55" s="4"/>
      <c r="T55" s="4"/>
      <c r="U55" s="4"/>
      <c r="V55" s="4"/>
      <c r="W55" s="4"/>
      <c r="X55" s="4"/>
      <c r="Y55" s="4"/>
      <c r="Z55" s="4"/>
      <c r="AA55" s="4"/>
      <c r="AB55" s="7"/>
      <c r="AC55" s="7"/>
      <c r="AD55" s="7"/>
      <c r="AE55" s="7"/>
      <c r="AF55" s="7"/>
      <c r="AG55" s="7"/>
      <c r="AH55" s="7"/>
      <c r="AI55" s="7"/>
      <c r="AJ55" s="7"/>
      <c r="AK55" s="7"/>
      <c r="AL55" s="7"/>
      <c r="AM55" s="7"/>
      <c r="AN55" s="7"/>
      <c r="AO55" s="7"/>
      <c r="AP55" s="7"/>
      <c r="AQ55" s="7"/>
      <c r="AR55" s="7"/>
      <c r="AS55" s="7"/>
      <c r="AT55" s="7"/>
      <c r="AU55" s="7"/>
      <c r="AV55" s="7"/>
      <c r="AW55" s="7"/>
      <c r="AX55" s="7"/>
      <c r="AY55" s="7"/>
      <c r="AZ55" s="7"/>
      <c r="BA55" s="7"/>
      <c r="BB55" s="7"/>
      <c r="BC55" s="7"/>
      <c r="BD55" s="7"/>
      <c r="BE55" s="7"/>
      <c r="BF55" s="7"/>
      <c r="BG55" s="7"/>
      <c r="BH55" s="7"/>
      <c r="BI55" s="7"/>
      <c r="BJ55" s="7"/>
      <c r="BK55" s="51"/>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c r="EE55" s="2"/>
      <c r="EF55" s="2"/>
      <c r="EG55" s="2"/>
      <c r="EH55" s="2"/>
      <c r="EI55" s="2"/>
      <c r="EJ55" s="2"/>
      <c r="EK55" s="2"/>
      <c r="EL55" s="2"/>
      <c r="EM55" s="2"/>
      <c r="EN55" s="2"/>
      <c r="EO55" s="2"/>
      <c r="EP55" s="2"/>
      <c r="EQ55" s="2"/>
      <c r="ER55" s="2"/>
      <c r="ES55" s="2"/>
      <c r="ET55" s="2"/>
      <c r="EU55" s="2"/>
      <c r="EV55" s="2"/>
      <c r="EW55" s="2"/>
      <c r="EX55" s="2"/>
      <c r="EY55" s="2"/>
      <c r="EZ55" s="2"/>
      <c r="FA55" s="2"/>
      <c r="FB55" s="2"/>
      <c r="FC55" s="2"/>
      <c r="FD55" s="2"/>
      <c r="FE55" s="2"/>
      <c r="FF55" s="2"/>
      <c r="FG55" s="2"/>
      <c r="FH55" s="2"/>
      <c r="FI55" s="2"/>
      <c r="FJ55" s="2"/>
      <c r="FK55" s="2"/>
      <c r="FL55" s="2"/>
      <c r="FM55" s="2"/>
      <c r="FN55" s="2"/>
      <c r="FO55" s="2"/>
      <c r="FP55" s="2"/>
      <c r="FQ55" s="2"/>
      <c r="FR55" s="2"/>
      <c r="FS55" s="2"/>
      <c r="FT55" s="2"/>
      <c r="FU55" s="2"/>
      <c r="FV55" s="2"/>
      <c r="FW55" s="2"/>
      <c r="FX55" s="2"/>
      <c r="FY55" s="2"/>
      <c r="FZ55" s="2"/>
      <c r="GA55" s="2"/>
      <c r="GB55" s="2"/>
      <c r="GC55" s="2"/>
      <c r="GD55" s="2"/>
      <c r="GE55" s="2"/>
      <c r="GF55" s="2"/>
      <c r="GG55" s="2"/>
      <c r="GH55" s="2"/>
      <c r="GI55" s="2"/>
      <c r="GJ55" s="2"/>
      <c r="GK55" s="2"/>
      <c r="GL55" s="2"/>
      <c r="GM55" s="2"/>
      <c r="GN55" s="2"/>
      <c r="GO55" s="2"/>
      <c r="GP55" s="2"/>
      <c r="GQ55" s="2"/>
      <c r="GR55" s="2"/>
      <c r="GS55" s="2"/>
      <c r="GT55" s="2"/>
      <c r="GU55" s="2"/>
      <c r="GV55" s="2"/>
      <c r="GW55" s="2"/>
    </row>
    <row r="56" spans="1:205" ht="15.6" x14ac:dyDescent="0.3">
      <c r="A56" s="60" t="s">
        <v>204</v>
      </c>
      <c r="B56" s="23" t="s">
        <v>205</v>
      </c>
      <c r="C56" s="37">
        <v>2</v>
      </c>
      <c r="D56" s="31" t="s">
        <v>105</v>
      </c>
      <c r="E56" s="30"/>
      <c r="F56" s="102">
        <v>44898</v>
      </c>
      <c r="G56" s="29">
        <v>65</v>
      </c>
      <c r="H56" s="102">
        <f t="shared" si="6"/>
        <v>44988</v>
      </c>
      <c r="I56" s="71">
        <v>0</v>
      </c>
      <c r="K56" s="50"/>
      <c r="L56" s="4"/>
      <c r="M56" s="4"/>
      <c r="N56" s="4"/>
      <c r="O56" s="4"/>
      <c r="P56" s="4"/>
      <c r="Q56" s="4"/>
      <c r="R56" s="4"/>
      <c r="S56" s="4"/>
      <c r="T56" s="4"/>
      <c r="U56" s="4"/>
      <c r="V56" s="4"/>
      <c r="W56" s="4"/>
      <c r="X56" s="4"/>
      <c r="Y56" s="4"/>
      <c r="Z56" s="4"/>
      <c r="AA56" s="4"/>
      <c r="AB56" s="7"/>
      <c r="AC56" s="7"/>
      <c r="AD56" s="7"/>
      <c r="AE56" s="7"/>
      <c r="AF56" s="7"/>
      <c r="AG56" s="7"/>
      <c r="AH56" s="7"/>
      <c r="AI56" s="7"/>
      <c r="AJ56" s="7"/>
      <c r="AK56" s="7"/>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51"/>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c r="DO56" s="2"/>
      <c r="DP56" s="2"/>
      <c r="DQ56" s="2"/>
      <c r="DR56" s="2"/>
      <c r="DS56" s="2"/>
      <c r="DT56" s="2"/>
      <c r="DU56" s="2"/>
      <c r="DV56" s="2"/>
      <c r="DW56" s="2"/>
      <c r="DX56" s="2"/>
      <c r="DY56" s="2"/>
      <c r="DZ56" s="2"/>
      <c r="EA56" s="2"/>
      <c r="EB56" s="2"/>
      <c r="EC56" s="2"/>
      <c r="ED56" s="2"/>
      <c r="EE56" s="2"/>
      <c r="EF56" s="2"/>
      <c r="EG56" s="2"/>
      <c r="EH56" s="2"/>
      <c r="EI56" s="2"/>
      <c r="EJ56" s="2"/>
      <c r="EK56" s="2"/>
      <c r="EL56" s="2"/>
      <c r="EM56" s="2"/>
      <c r="EN56" s="2"/>
      <c r="EO56" s="2"/>
      <c r="EP56" s="2"/>
      <c r="EQ56" s="2"/>
      <c r="ER56" s="2"/>
      <c r="ES56" s="2"/>
      <c r="ET56" s="2"/>
      <c r="EU56" s="2"/>
      <c r="EV56" s="2"/>
      <c r="EW56" s="2"/>
      <c r="EX56" s="2"/>
      <c r="EY56" s="2"/>
      <c r="EZ56" s="2"/>
      <c r="FA56" s="2"/>
      <c r="FB56" s="2"/>
      <c r="FC56" s="2"/>
      <c r="FD56" s="2"/>
      <c r="FE56" s="2"/>
      <c r="FF56" s="2"/>
      <c r="FG56" s="2"/>
      <c r="FH56" s="2"/>
      <c r="FI56" s="2"/>
      <c r="FJ56" s="2"/>
      <c r="FK56" s="2"/>
      <c r="FL56" s="2"/>
      <c r="FM56" s="2"/>
      <c r="FN56" s="2"/>
      <c r="FO56" s="2"/>
      <c r="FP56" s="2"/>
      <c r="FQ56" s="2"/>
      <c r="FR56" s="2"/>
      <c r="FS56" s="2"/>
      <c r="FT56" s="2"/>
      <c r="FU56" s="2"/>
      <c r="FV56" s="2"/>
      <c r="FW56" s="2"/>
      <c r="FX56" s="2"/>
      <c r="FY56" s="2"/>
      <c r="FZ56" s="2"/>
      <c r="GA56" s="2"/>
      <c r="GB56" s="2"/>
      <c r="GC56" s="2"/>
      <c r="GD56" s="2"/>
      <c r="GE56" s="2"/>
      <c r="GF56" s="2"/>
      <c r="GG56" s="2"/>
      <c r="GH56" s="2"/>
      <c r="GI56" s="2"/>
      <c r="GJ56" s="2"/>
      <c r="GK56" s="2"/>
      <c r="GL56" s="2"/>
      <c r="GM56" s="2"/>
      <c r="GN56" s="2"/>
      <c r="GO56" s="2"/>
      <c r="GP56" s="2"/>
      <c r="GQ56" s="2"/>
      <c r="GR56" s="2"/>
      <c r="GS56" s="2"/>
      <c r="GT56" s="2"/>
      <c r="GU56" s="2"/>
      <c r="GV56" s="2"/>
      <c r="GW56" s="2"/>
    </row>
    <row r="57" spans="1:205" ht="15.6" x14ac:dyDescent="0.3">
      <c r="A57" s="60" t="s">
        <v>206</v>
      </c>
      <c r="B57" s="23" t="s">
        <v>207</v>
      </c>
      <c r="C57" s="37">
        <v>2</v>
      </c>
      <c r="D57" s="31" t="s">
        <v>93</v>
      </c>
      <c r="E57" s="30"/>
      <c r="F57" s="102">
        <v>44898</v>
      </c>
      <c r="G57" s="29">
        <v>65</v>
      </c>
      <c r="H57" s="102">
        <f t="shared" si="6"/>
        <v>44988</v>
      </c>
      <c r="I57" s="71">
        <v>0</v>
      </c>
      <c r="K57" s="50"/>
      <c r="L57" s="4"/>
      <c r="M57" s="4"/>
      <c r="N57" s="4"/>
      <c r="O57" s="4"/>
      <c r="P57" s="4"/>
      <c r="Q57" s="4"/>
      <c r="R57" s="4"/>
      <c r="S57" s="4"/>
      <c r="T57" s="4"/>
      <c r="U57" s="4"/>
      <c r="V57" s="4"/>
      <c r="W57" s="4"/>
      <c r="X57" s="4"/>
      <c r="Y57" s="4"/>
      <c r="Z57" s="4"/>
      <c r="AA57" s="4"/>
      <c r="AB57" s="7"/>
      <c r="AC57" s="7"/>
      <c r="AD57" s="7"/>
      <c r="AE57" s="7"/>
      <c r="AF57" s="7"/>
      <c r="AG57" s="7"/>
      <c r="AH57" s="7"/>
      <c r="AI57" s="7"/>
      <c r="AJ57" s="7"/>
      <c r="AK57" s="7"/>
      <c r="AL57" s="7"/>
      <c r="AM57" s="7"/>
      <c r="AN57" s="7"/>
      <c r="AO57" s="7"/>
      <c r="AP57" s="7"/>
      <c r="AQ57" s="7"/>
      <c r="AR57" s="7"/>
      <c r="AS57" s="7"/>
      <c r="AT57" s="7"/>
      <c r="AU57" s="7"/>
      <c r="AV57" s="7"/>
      <c r="AW57" s="7"/>
      <c r="AX57" s="7"/>
      <c r="AY57" s="7"/>
      <c r="AZ57" s="7"/>
      <c r="BA57" s="7"/>
      <c r="BB57" s="7"/>
      <c r="BC57" s="7"/>
      <c r="BD57" s="7"/>
      <c r="BE57" s="7"/>
      <c r="BF57" s="7"/>
      <c r="BG57" s="7"/>
      <c r="BH57" s="7"/>
      <c r="BI57" s="7"/>
      <c r="BJ57" s="7"/>
      <c r="BK57" s="51"/>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c r="DO57" s="2"/>
      <c r="DP57" s="2"/>
      <c r="DQ57" s="2"/>
      <c r="DR57" s="2"/>
      <c r="DS57" s="2"/>
      <c r="DT57" s="2"/>
      <c r="DU57" s="2"/>
      <c r="DV57" s="2"/>
      <c r="DW57" s="2"/>
      <c r="DX57" s="2"/>
      <c r="DY57" s="2"/>
      <c r="DZ57" s="2"/>
      <c r="EA57" s="2"/>
      <c r="EB57" s="2"/>
      <c r="EC57" s="2"/>
      <c r="ED57" s="2"/>
      <c r="EE57" s="2"/>
      <c r="EF57" s="2"/>
      <c r="EG57" s="2"/>
      <c r="EH57" s="2"/>
      <c r="EI57" s="2"/>
      <c r="EJ57" s="2"/>
      <c r="EK57" s="2"/>
      <c r="EL57" s="2"/>
      <c r="EM57" s="2"/>
      <c r="EN57" s="2"/>
      <c r="EO57" s="2"/>
      <c r="EP57" s="2"/>
      <c r="EQ57" s="2"/>
      <c r="ER57" s="2"/>
      <c r="ES57" s="2"/>
      <c r="ET57" s="2"/>
      <c r="EU57" s="2"/>
      <c r="EV57" s="2"/>
      <c r="EW57" s="2"/>
      <c r="EX57" s="2"/>
      <c r="EY57" s="2"/>
      <c r="EZ57" s="2"/>
      <c r="FA57" s="2"/>
      <c r="FB57" s="2"/>
      <c r="FC57" s="2"/>
      <c r="FD57" s="2"/>
      <c r="FE57" s="2"/>
      <c r="FF57" s="2"/>
      <c r="FG57" s="2"/>
      <c r="FH57" s="2"/>
      <c r="FI57" s="2"/>
      <c r="FJ57" s="2"/>
      <c r="FK57" s="2"/>
      <c r="FL57" s="2"/>
      <c r="FM57" s="2"/>
      <c r="FN57" s="2"/>
      <c r="FO57" s="2"/>
      <c r="FP57" s="2"/>
      <c r="FQ57" s="2"/>
      <c r="FR57" s="2"/>
      <c r="FS57" s="2"/>
      <c r="FT57" s="2"/>
      <c r="FU57" s="2"/>
      <c r="FV57" s="2"/>
      <c r="FW57" s="2"/>
      <c r="FX57" s="2"/>
      <c r="FY57" s="2"/>
      <c r="FZ57" s="2"/>
      <c r="GA57" s="2"/>
      <c r="GB57" s="2"/>
      <c r="GC57" s="2"/>
      <c r="GD57" s="2"/>
      <c r="GE57" s="2"/>
      <c r="GF57" s="2"/>
      <c r="GG57" s="2"/>
      <c r="GH57" s="2"/>
      <c r="GI57" s="2"/>
      <c r="GJ57" s="2"/>
      <c r="GK57" s="2"/>
      <c r="GL57" s="2"/>
      <c r="GM57" s="2"/>
      <c r="GN57" s="2"/>
      <c r="GO57" s="2"/>
      <c r="GP57" s="2"/>
      <c r="GQ57" s="2"/>
      <c r="GR57" s="2"/>
      <c r="GS57" s="2"/>
      <c r="GT57" s="2"/>
      <c r="GU57" s="2"/>
      <c r="GV57" s="2"/>
      <c r="GW57" s="2"/>
    </row>
    <row r="58" spans="1:205" ht="15.6" x14ac:dyDescent="0.3">
      <c r="A58" s="60" t="s">
        <v>208</v>
      </c>
      <c r="B58" s="23" t="s">
        <v>209</v>
      </c>
      <c r="C58" s="37" t="s">
        <v>218</v>
      </c>
      <c r="D58" s="31" t="s">
        <v>143</v>
      </c>
      <c r="E58" s="30"/>
      <c r="F58" s="102">
        <v>44988</v>
      </c>
      <c r="G58" s="29">
        <v>20</v>
      </c>
      <c r="H58" s="102">
        <f t="shared" si="6"/>
        <v>45015</v>
      </c>
      <c r="I58" s="71">
        <v>0</v>
      </c>
      <c r="K58" s="50"/>
      <c r="L58" s="4"/>
      <c r="M58" s="4"/>
      <c r="N58" s="4"/>
      <c r="O58" s="4"/>
      <c r="P58" s="4"/>
      <c r="Q58" s="4"/>
      <c r="R58" s="4"/>
      <c r="S58" s="4"/>
      <c r="T58" s="4"/>
      <c r="U58" s="4"/>
      <c r="V58" s="4"/>
      <c r="W58" s="4"/>
      <c r="X58" s="4"/>
      <c r="Y58" s="4"/>
      <c r="Z58" s="4"/>
      <c r="AA58" s="4"/>
      <c r="AB58" s="7"/>
      <c r="AC58" s="7"/>
      <c r="AD58" s="7"/>
      <c r="AE58" s="7"/>
      <c r="AF58" s="7"/>
      <c r="AG58" s="7"/>
      <c r="AH58" s="7"/>
      <c r="AI58" s="7"/>
      <c r="AJ58" s="7"/>
      <c r="AK58" s="7"/>
      <c r="AL58" s="7"/>
      <c r="AM58" s="7"/>
      <c r="AN58" s="7"/>
      <c r="AO58" s="7"/>
      <c r="AP58" s="7"/>
      <c r="AQ58" s="7"/>
      <c r="AR58" s="7"/>
      <c r="AS58" s="7"/>
      <c r="AT58" s="7"/>
      <c r="AU58" s="7"/>
      <c r="AV58" s="7"/>
      <c r="AW58" s="7"/>
      <c r="AX58" s="7"/>
      <c r="AY58" s="7"/>
      <c r="AZ58" s="7"/>
      <c r="BA58" s="7"/>
      <c r="BB58" s="7"/>
      <c r="BC58" s="7"/>
      <c r="BD58" s="7"/>
      <c r="BE58" s="7"/>
      <c r="BF58" s="7"/>
      <c r="BG58" s="7"/>
      <c r="BH58" s="7"/>
      <c r="BI58" s="7"/>
      <c r="BJ58" s="7"/>
      <c r="BK58" s="51"/>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c r="DO58" s="2"/>
      <c r="DP58" s="2"/>
      <c r="DQ58" s="2"/>
      <c r="DR58" s="2"/>
      <c r="DS58" s="2"/>
      <c r="DT58" s="2"/>
      <c r="DU58" s="2"/>
      <c r="DV58" s="2"/>
      <c r="DW58" s="2"/>
      <c r="DX58" s="2"/>
      <c r="DY58" s="2"/>
      <c r="DZ58" s="2"/>
      <c r="EA58" s="2"/>
      <c r="EB58" s="2"/>
      <c r="EC58" s="2"/>
      <c r="ED58" s="2"/>
      <c r="EE58" s="2"/>
      <c r="EF58" s="2"/>
      <c r="EG58" s="2"/>
      <c r="EH58" s="2"/>
      <c r="EI58" s="2"/>
      <c r="EJ58" s="2"/>
      <c r="EK58" s="2"/>
      <c r="EL58" s="2"/>
      <c r="EM58" s="2"/>
      <c r="EN58" s="2"/>
      <c r="EO58" s="2"/>
      <c r="EP58" s="2"/>
      <c r="EQ58" s="2"/>
      <c r="ER58" s="2"/>
      <c r="ES58" s="2"/>
      <c r="ET58" s="2"/>
      <c r="EU58" s="2"/>
      <c r="EV58" s="2"/>
      <c r="EW58" s="2"/>
      <c r="EX58" s="2"/>
      <c r="EY58" s="2"/>
      <c r="EZ58" s="2"/>
      <c r="FA58" s="2"/>
      <c r="FB58" s="2"/>
      <c r="FC58" s="2"/>
      <c r="FD58" s="2"/>
      <c r="FE58" s="2"/>
      <c r="FF58" s="2"/>
      <c r="FG58" s="2"/>
      <c r="FH58" s="2"/>
      <c r="FI58" s="2"/>
      <c r="FJ58" s="2"/>
      <c r="FK58" s="2"/>
      <c r="FL58" s="2"/>
      <c r="FM58" s="2"/>
      <c r="FN58" s="2"/>
      <c r="FO58" s="2"/>
      <c r="FP58" s="2"/>
      <c r="FQ58" s="2"/>
      <c r="FR58" s="2"/>
      <c r="FS58" s="2"/>
      <c r="FT58" s="2"/>
      <c r="FU58" s="2"/>
      <c r="FV58" s="2"/>
      <c r="FW58" s="2"/>
      <c r="FX58" s="2"/>
      <c r="FY58" s="2"/>
      <c r="FZ58" s="2"/>
      <c r="GA58" s="2"/>
      <c r="GB58" s="2"/>
      <c r="GC58" s="2"/>
      <c r="GD58" s="2"/>
      <c r="GE58" s="2"/>
      <c r="GF58" s="2"/>
      <c r="GG58" s="2"/>
      <c r="GH58" s="2"/>
      <c r="GI58" s="2"/>
      <c r="GJ58" s="2"/>
      <c r="GK58" s="2"/>
      <c r="GL58" s="2"/>
      <c r="GM58" s="2"/>
      <c r="GN58" s="2"/>
      <c r="GO58" s="2"/>
      <c r="GP58" s="2"/>
      <c r="GQ58" s="2"/>
      <c r="GR58" s="2"/>
      <c r="GS58" s="2"/>
      <c r="GT58" s="2"/>
      <c r="GU58" s="2"/>
      <c r="GV58" s="2"/>
      <c r="GW58" s="2"/>
    </row>
    <row r="59" spans="1:205" ht="15.6" x14ac:dyDescent="0.3">
      <c r="A59" s="60" t="s">
        <v>210</v>
      </c>
      <c r="B59" s="23" t="s">
        <v>211</v>
      </c>
      <c r="C59" s="37" t="s">
        <v>208</v>
      </c>
      <c r="D59" s="31" t="s">
        <v>143</v>
      </c>
      <c r="E59" s="30"/>
      <c r="F59" s="102">
        <v>44911</v>
      </c>
      <c r="G59" s="29">
        <v>1</v>
      </c>
      <c r="H59" s="102">
        <f t="shared" si="6"/>
        <v>44911</v>
      </c>
      <c r="I59" s="71">
        <v>0</v>
      </c>
      <c r="K59" s="50"/>
      <c r="L59" s="4"/>
      <c r="M59" s="4"/>
      <c r="N59" s="4"/>
      <c r="O59" s="4"/>
      <c r="P59" s="4"/>
      <c r="Q59" s="4"/>
      <c r="R59" s="4"/>
      <c r="S59" s="4"/>
      <c r="T59" s="4"/>
      <c r="U59" s="4"/>
      <c r="V59" s="4"/>
      <c r="W59" s="4"/>
      <c r="X59" s="4"/>
      <c r="Y59" s="4"/>
      <c r="Z59" s="4"/>
      <c r="AA59" s="4"/>
      <c r="AB59" s="7"/>
      <c r="AC59" s="7"/>
      <c r="AD59" s="7"/>
      <c r="AE59" s="7"/>
      <c r="AF59" s="7"/>
      <c r="AG59" s="7"/>
      <c r="AH59" s="7"/>
      <c r="AI59" s="7"/>
      <c r="AJ59" s="7"/>
      <c r="AK59" s="7"/>
      <c r="AL59" s="7"/>
      <c r="AM59" s="7"/>
      <c r="AN59" s="7"/>
      <c r="AO59" s="7"/>
      <c r="AP59" s="7"/>
      <c r="AQ59" s="7"/>
      <c r="AR59" s="7"/>
      <c r="AS59" s="7"/>
      <c r="AT59" s="7"/>
      <c r="AU59" s="7"/>
      <c r="AV59" s="7"/>
      <c r="AW59" s="7"/>
      <c r="AX59" s="7"/>
      <c r="AY59" s="7"/>
      <c r="AZ59" s="7"/>
      <c r="BA59" s="7"/>
      <c r="BB59" s="7"/>
      <c r="BC59" s="7"/>
      <c r="BD59" s="7"/>
      <c r="BE59" s="7"/>
      <c r="BF59" s="7"/>
      <c r="BG59" s="7"/>
      <c r="BH59" s="7"/>
      <c r="BI59" s="7"/>
      <c r="BJ59" s="7"/>
      <c r="BK59" s="51"/>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c r="DO59" s="2"/>
      <c r="DP59" s="2"/>
      <c r="DQ59" s="2"/>
      <c r="DR59" s="2"/>
      <c r="DS59" s="2"/>
      <c r="DT59" s="2"/>
      <c r="DU59" s="2"/>
      <c r="DV59" s="2"/>
      <c r="DW59" s="2"/>
      <c r="DX59" s="2"/>
      <c r="DY59" s="2"/>
      <c r="DZ59" s="2"/>
      <c r="EA59" s="2"/>
      <c r="EB59" s="2"/>
      <c r="EC59" s="2"/>
      <c r="ED59" s="2"/>
      <c r="EE59" s="2"/>
      <c r="EF59" s="2"/>
      <c r="EG59" s="2"/>
      <c r="EH59" s="2"/>
      <c r="EI59" s="2"/>
      <c r="EJ59" s="2"/>
      <c r="EK59" s="2"/>
      <c r="EL59" s="2"/>
      <c r="EM59" s="2"/>
      <c r="EN59" s="2"/>
      <c r="EO59" s="2"/>
      <c r="EP59" s="2"/>
      <c r="EQ59" s="2"/>
      <c r="ER59" s="2"/>
      <c r="ES59" s="2"/>
      <c r="ET59" s="2"/>
      <c r="EU59" s="2"/>
      <c r="EV59" s="2"/>
      <c r="EW59" s="2"/>
      <c r="EX59" s="2"/>
      <c r="EY59" s="2"/>
      <c r="EZ59" s="2"/>
      <c r="FA59" s="2"/>
      <c r="FB59" s="2"/>
      <c r="FC59" s="2"/>
      <c r="FD59" s="2"/>
      <c r="FE59" s="2"/>
      <c r="FF59" s="2"/>
      <c r="FG59" s="2"/>
      <c r="FH59" s="2"/>
      <c r="FI59" s="2"/>
      <c r="FJ59" s="2"/>
      <c r="FK59" s="2"/>
      <c r="FL59" s="2"/>
      <c r="FM59" s="2"/>
      <c r="FN59" s="2"/>
      <c r="FO59" s="2"/>
      <c r="FP59" s="2"/>
      <c r="FQ59" s="2"/>
      <c r="FR59" s="2"/>
      <c r="FS59" s="2"/>
      <c r="FT59" s="2"/>
      <c r="FU59" s="2"/>
      <c r="FV59" s="2"/>
      <c r="FW59" s="2"/>
      <c r="FX59" s="2"/>
      <c r="FY59" s="2"/>
      <c r="FZ59" s="2"/>
      <c r="GA59" s="2"/>
      <c r="GB59" s="2"/>
      <c r="GC59" s="2"/>
      <c r="GD59" s="2"/>
      <c r="GE59" s="2"/>
      <c r="GF59" s="2"/>
      <c r="GG59" s="2"/>
      <c r="GH59" s="2"/>
      <c r="GI59" s="2"/>
      <c r="GJ59" s="2"/>
      <c r="GK59" s="2"/>
      <c r="GL59" s="2"/>
      <c r="GM59" s="2"/>
      <c r="GN59" s="2"/>
      <c r="GO59" s="2"/>
      <c r="GP59" s="2"/>
      <c r="GQ59" s="2"/>
      <c r="GR59" s="2"/>
      <c r="GS59" s="2"/>
      <c r="GT59" s="2"/>
      <c r="GU59" s="2"/>
      <c r="GV59" s="2"/>
      <c r="GW59" s="2"/>
    </row>
    <row r="60" spans="1:205" ht="15.6" x14ac:dyDescent="0.3">
      <c r="A60" s="60" t="s">
        <v>212</v>
      </c>
      <c r="B60" s="23" t="s">
        <v>213</v>
      </c>
      <c r="C60" s="37" t="s">
        <v>210</v>
      </c>
      <c r="D60" s="31" t="s">
        <v>87</v>
      </c>
      <c r="E60" s="30" t="s">
        <v>181</v>
      </c>
      <c r="F60" s="102">
        <v>44911</v>
      </c>
      <c r="G60" s="29">
        <v>1</v>
      </c>
      <c r="H60" s="102">
        <f t="shared" si="6"/>
        <v>44911</v>
      </c>
      <c r="I60" s="71">
        <v>0</v>
      </c>
      <c r="K60" s="50"/>
      <c r="L60" s="4"/>
      <c r="M60" s="4"/>
      <c r="N60" s="4"/>
      <c r="O60" s="4"/>
      <c r="P60" s="4"/>
      <c r="Q60" s="4"/>
      <c r="R60" s="4"/>
      <c r="S60" s="4"/>
      <c r="T60" s="4"/>
      <c r="U60" s="4"/>
      <c r="V60" s="4"/>
      <c r="W60" s="4"/>
      <c r="X60" s="4"/>
      <c r="Y60" s="4"/>
      <c r="Z60" s="4"/>
      <c r="AA60" s="4"/>
      <c r="AB60" s="7"/>
      <c r="AC60" s="7"/>
      <c r="AD60" s="7"/>
      <c r="AE60" s="7"/>
      <c r="AF60" s="7"/>
      <c r="AG60" s="7"/>
      <c r="AH60" s="7"/>
      <c r="AI60" s="7"/>
      <c r="AJ60" s="7"/>
      <c r="AK60" s="7"/>
      <c r="AL60" s="7"/>
      <c r="AM60" s="7"/>
      <c r="AN60" s="7"/>
      <c r="AO60" s="7"/>
      <c r="AP60" s="7"/>
      <c r="AQ60" s="7"/>
      <c r="AR60" s="7"/>
      <c r="AS60" s="7"/>
      <c r="AT60" s="7"/>
      <c r="AU60" s="7"/>
      <c r="AV60" s="7"/>
      <c r="AW60" s="7"/>
      <c r="AX60" s="7"/>
      <c r="AY60" s="7"/>
      <c r="AZ60" s="7"/>
      <c r="BA60" s="7"/>
      <c r="BB60" s="7"/>
      <c r="BC60" s="7"/>
      <c r="BD60" s="7"/>
      <c r="BE60" s="7"/>
      <c r="BF60" s="7"/>
      <c r="BG60" s="7"/>
      <c r="BH60" s="7"/>
      <c r="BI60" s="7"/>
      <c r="BJ60" s="7"/>
      <c r="BK60" s="51"/>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c r="DO60" s="2"/>
      <c r="DP60" s="2"/>
      <c r="DQ60" s="2"/>
      <c r="DR60" s="2"/>
      <c r="DS60" s="2"/>
      <c r="DT60" s="2"/>
      <c r="DU60" s="2"/>
      <c r="DV60" s="2"/>
      <c r="DW60" s="2"/>
      <c r="DX60" s="2"/>
      <c r="DY60" s="2"/>
      <c r="DZ60" s="2"/>
      <c r="EA60" s="2"/>
      <c r="EB60" s="2"/>
      <c r="EC60" s="2"/>
      <c r="ED60" s="2"/>
      <c r="EE60" s="2"/>
      <c r="EF60" s="2"/>
      <c r="EG60" s="2"/>
      <c r="EH60" s="2"/>
      <c r="EI60" s="2"/>
      <c r="EJ60" s="2"/>
      <c r="EK60" s="2"/>
      <c r="EL60" s="2"/>
      <c r="EM60" s="2"/>
      <c r="EN60" s="2"/>
      <c r="EO60" s="2"/>
      <c r="EP60" s="2"/>
      <c r="EQ60" s="2"/>
      <c r="ER60" s="2"/>
      <c r="ES60" s="2"/>
      <c r="ET60" s="2"/>
      <c r="EU60" s="2"/>
      <c r="EV60" s="2"/>
      <c r="EW60" s="2"/>
      <c r="EX60" s="2"/>
      <c r="EY60" s="2"/>
      <c r="EZ60" s="2"/>
      <c r="FA60" s="2"/>
      <c r="FB60" s="2"/>
      <c r="FC60" s="2"/>
      <c r="FD60" s="2"/>
      <c r="FE60" s="2"/>
      <c r="FF60" s="2"/>
      <c r="FG60" s="2"/>
      <c r="FH60" s="2"/>
      <c r="FI60" s="2"/>
      <c r="FJ60" s="2"/>
      <c r="FK60" s="2"/>
      <c r="FL60" s="2"/>
      <c r="FM60" s="2"/>
      <c r="FN60" s="2"/>
      <c r="FO60" s="2"/>
      <c r="FP60" s="2"/>
      <c r="FQ60" s="2"/>
      <c r="FR60" s="2"/>
      <c r="FS60" s="2"/>
      <c r="FT60" s="2"/>
      <c r="FU60" s="2"/>
      <c r="FV60" s="2"/>
      <c r="FW60" s="2"/>
      <c r="FX60" s="2"/>
      <c r="FY60" s="2"/>
      <c r="FZ60" s="2"/>
      <c r="GA60" s="2"/>
      <c r="GB60" s="2"/>
      <c r="GC60" s="2"/>
      <c r="GD60" s="2"/>
      <c r="GE60" s="2"/>
      <c r="GF60" s="2"/>
      <c r="GG60" s="2"/>
      <c r="GH60" s="2"/>
      <c r="GI60" s="2"/>
      <c r="GJ60" s="2"/>
      <c r="GK60" s="2"/>
      <c r="GL60" s="2"/>
      <c r="GM60" s="2"/>
      <c r="GN60" s="2"/>
      <c r="GO60" s="2"/>
      <c r="GP60" s="2"/>
      <c r="GQ60" s="2"/>
      <c r="GR60" s="2"/>
      <c r="GS60" s="2"/>
      <c r="GT60" s="2"/>
      <c r="GU60" s="2"/>
      <c r="GV60" s="2"/>
      <c r="GW60" s="2"/>
    </row>
    <row r="61" spans="1:205" ht="15.6" x14ac:dyDescent="0.3">
      <c r="A61" s="59">
        <v>4</v>
      </c>
      <c r="B61" s="41" t="s">
        <v>219</v>
      </c>
      <c r="C61" s="42" t="s">
        <v>46</v>
      </c>
      <c r="D61" s="43"/>
      <c r="E61" s="44"/>
      <c r="F61" s="107">
        <f>MIN(F62:F143)</f>
        <v>44933</v>
      </c>
      <c r="G61" s="109">
        <f>NETWORKDAYS(F61,H61)</f>
        <v>98</v>
      </c>
      <c r="H61" s="107">
        <f>MAX(H62:H143)</f>
        <v>45070</v>
      </c>
      <c r="I61" s="70">
        <f ca="1">SUMIF(A62:A145,A61&amp;"*",I62:I143)/(COUNTIF(A61:A145,A61&amp;".*"))</f>
        <v>0</v>
      </c>
      <c r="K61" s="50"/>
      <c r="L61" s="4"/>
      <c r="M61" s="4"/>
      <c r="N61" s="4"/>
      <c r="O61" s="4"/>
      <c r="P61" s="4"/>
      <c r="Q61" s="4"/>
      <c r="R61" s="4"/>
      <c r="S61" s="4"/>
      <c r="T61" s="4"/>
      <c r="U61" s="4"/>
      <c r="V61" s="4"/>
      <c r="W61" s="4"/>
      <c r="X61" s="4"/>
      <c r="Y61" s="4"/>
      <c r="Z61" s="4"/>
      <c r="AA61" s="4"/>
      <c r="AB61" s="7"/>
      <c r="AC61" s="7"/>
      <c r="AD61" s="7"/>
      <c r="AE61" s="7"/>
      <c r="AF61" s="7"/>
      <c r="AG61" s="7"/>
      <c r="AH61" s="7"/>
      <c r="AI61" s="7"/>
      <c r="AJ61" s="7"/>
      <c r="AK61" s="7"/>
      <c r="AL61" s="7"/>
      <c r="AM61" s="7"/>
      <c r="AN61" s="7"/>
      <c r="AO61" s="7"/>
      <c r="AP61" s="7"/>
      <c r="AQ61" s="7"/>
      <c r="AR61" s="7"/>
      <c r="AS61" s="7"/>
      <c r="AT61" s="7"/>
      <c r="AU61" s="7"/>
      <c r="AV61" s="7"/>
      <c r="AW61" s="7"/>
      <c r="AX61" s="7"/>
      <c r="AY61" s="7"/>
      <c r="AZ61" s="7"/>
      <c r="BA61" s="7"/>
      <c r="BB61" s="7"/>
      <c r="BC61" s="7"/>
      <c r="BD61" s="7"/>
      <c r="BE61" s="7"/>
      <c r="BF61" s="7"/>
      <c r="BG61" s="7"/>
      <c r="BH61" s="7"/>
      <c r="BI61" s="7"/>
      <c r="BJ61" s="7"/>
      <c r="BK61" s="51"/>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c r="EI61" s="2"/>
      <c r="EJ61" s="2"/>
      <c r="EK61" s="2"/>
      <c r="EL61" s="2"/>
      <c r="EM61" s="2"/>
      <c r="EN61" s="2"/>
      <c r="EO61" s="2"/>
      <c r="EP61" s="2"/>
      <c r="EQ61" s="2"/>
      <c r="ER61" s="2"/>
      <c r="ES61" s="2"/>
      <c r="ET61" s="2"/>
      <c r="EU61" s="2"/>
      <c r="EV61" s="2"/>
      <c r="EW61" s="2"/>
      <c r="EX61" s="2"/>
      <c r="EY61" s="2"/>
      <c r="EZ61" s="2"/>
      <c r="FA61" s="2"/>
      <c r="FB61" s="2"/>
      <c r="FC61" s="2"/>
      <c r="FD61" s="2"/>
      <c r="FE61" s="2"/>
      <c r="FF61" s="2"/>
      <c r="FG61" s="2"/>
      <c r="FH61" s="2"/>
      <c r="FI61" s="2"/>
      <c r="FJ61" s="2"/>
      <c r="FK61" s="2"/>
      <c r="FL61" s="2"/>
      <c r="FM61" s="2"/>
      <c r="FN61" s="2"/>
      <c r="FO61" s="2"/>
      <c r="FP61" s="2"/>
      <c r="FQ61" s="2"/>
      <c r="FR61" s="2"/>
      <c r="FS61" s="2"/>
      <c r="FT61" s="2"/>
      <c r="FU61" s="2"/>
      <c r="FV61" s="2"/>
      <c r="FW61" s="2"/>
      <c r="FX61" s="2"/>
      <c r="FY61" s="2"/>
      <c r="FZ61" s="2"/>
      <c r="GA61" s="2"/>
      <c r="GB61" s="2"/>
      <c r="GC61" s="2"/>
      <c r="GD61" s="2"/>
      <c r="GE61" s="2"/>
      <c r="GF61" s="2"/>
      <c r="GG61" s="2"/>
      <c r="GH61" s="2"/>
      <c r="GI61" s="2"/>
      <c r="GJ61" s="2"/>
      <c r="GK61" s="2"/>
      <c r="GL61" s="2"/>
      <c r="GM61" s="2"/>
      <c r="GN61" s="2"/>
      <c r="GO61" s="2"/>
      <c r="GP61" s="2"/>
      <c r="GQ61" s="2"/>
      <c r="GR61" s="2"/>
      <c r="GS61" s="2"/>
      <c r="GT61" s="2"/>
      <c r="GU61" s="2"/>
      <c r="GV61" s="2"/>
      <c r="GW61" s="2"/>
    </row>
    <row r="62" spans="1:205" s="5" customFormat="1" ht="15.6" x14ac:dyDescent="0.3">
      <c r="A62" s="60" t="s">
        <v>21</v>
      </c>
      <c r="B62" s="23" t="s">
        <v>220</v>
      </c>
      <c r="C62" s="37">
        <v>3</v>
      </c>
      <c r="D62" s="31" t="s">
        <v>113</v>
      </c>
      <c r="E62" s="30"/>
      <c r="F62" s="102">
        <v>45015</v>
      </c>
      <c r="G62" s="29">
        <v>21</v>
      </c>
      <c r="H62" s="102">
        <f>IF(F62="","",WORKDAY(IF(WEEKDAY(F62,1)=7,F62+2,IF(WEEKDAY(F62,1)=1,F62+1,F62)),G62-1,))</f>
        <v>45043</v>
      </c>
      <c r="I62" s="71">
        <v>0</v>
      </c>
      <c r="J62"/>
      <c r="K62" s="50"/>
      <c r="L62" s="4"/>
      <c r="M62" s="4"/>
      <c r="N62" s="4"/>
      <c r="O62" s="4"/>
      <c r="P62" s="4"/>
      <c r="Q62" s="4"/>
      <c r="R62" s="4"/>
      <c r="S62" s="4"/>
      <c r="T62" s="4"/>
      <c r="U62" s="4"/>
      <c r="V62" s="4"/>
      <c r="W62" s="4"/>
      <c r="X62" s="4"/>
      <c r="Y62" s="4"/>
      <c r="Z62" s="4"/>
      <c r="AA62" s="4"/>
      <c r="AB62" s="7"/>
      <c r="AC62" s="7"/>
      <c r="AD62" s="7"/>
      <c r="AE62" s="7"/>
      <c r="AF62" s="7"/>
      <c r="AG62" s="7"/>
      <c r="AH62" s="7"/>
      <c r="AI62" s="7"/>
      <c r="AJ62" s="7"/>
      <c r="AK62" s="7"/>
      <c r="AL62" s="7"/>
      <c r="AM62" s="7"/>
      <c r="AN62" s="7"/>
      <c r="AO62" s="7"/>
      <c r="AP62" s="7"/>
      <c r="AQ62" s="7"/>
      <c r="AR62" s="7"/>
      <c r="AS62" s="7"/>
      <c r="AT62" s="7"/>
      <c r="AU62" s="7"/>
      <c r="AV62" s="7"/>
      <c r="AW62" s="7"/>
      <c r="AX62" s="7"/>
      <c r="AY62" s="7"/>
      <c r="AZ62" s="7"/>
      <c r="BA62" s="7"/>
      <c r="BB62" s="7"/>
      <c r="BC62" s="7"/>
      <c r="BD62" s="7"/>
      <c r="BE62" s="7"/>
      <c r="BF62" s="7"/>
      <c r="BG62" s="7"/>
      <c r="BH62" s="7"/>
      <c r="BI62" s="7"/>
      <c r="BJ62" s="7"/>
      <c r="BK62" s="51"/>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c r="DO62" s="2"/>
      <c r="DP62" s="2"/>
      <c r="DQ62" s="2"/>
      <c r="DR62" s="2"/>
      <c r="DS62" s="2"/>
      <c r="DT62" s="2"/>
      <c r="DU62" s="2"/>
      <c r="DV62" s="2"/>
      <c r="DW62" s="2"/>
      <c r="DX62" s="2"/>
      <c r="DY62" s="2"/>
      <c r="DZ62" s="2"/>
      <c r="EA62" s="2"/>
      <c r="EB62" s="2"/>
      <c r="EC62" s="2"/>
      <c r="ED62" s="2"/>
      <c r="EE62" s="2"/>
      <c r="EF62" s="2"/>
      <c r="EG62" s="2"/>
      <c r="EH62" s="2"/>
      <c r="EI62" s="2"/>
      <c r="EJ62" s="2"/>
      <c r="EK62" s="2"/>
      <c r="EL62" s="2"/>
      <c r="EM62" s="2"/>
      <c r="EN62" s="2"/>
      <c r="EO62" s="2"/>
      <c r="EP62" s="2"/>
      <c r="EQ62" s="2"/>
      <c r="ER62" s="2"/>
      <c r="ES62" s="2"/>
      <c r="ET62" s="2"/>
      <c r="EU62" s="2"/>
      <c r="EV62" s="2"/>
      <c r="EW62" s="2"/>
      <c r="EX62" s="2"/>
      <c r="EY62" s="2"/>
      <c r="EZ62" s="2"/>
      <c r="FA62" s="2"/>
      <c r="FB62" s="2"/>
      <c r="FC62" s="2"/>
      <c r="FD62" s="2"/>
      <c r="FE62" s="2"/>
      <c r="FF62" s="2"/>
      <c r="FG62" s="2"/>
      <c r="FH62" s="2"/>
      <c r="FI62" s="2"/>
      <c r="FJ62" s="2"/>
      <c r="FK62" s="2"/>
      <c r="FL62" s="2"/>
      <c r="FM62" s="2"/>
      <c r="FN62" s="2"/>
      <c r="FO62" s="2"/>
      <c r="FP62" s="2"/>
      <c r="FQ62" s="2"/>
      <c r="FR62" s="2"/>
      <c r="FS62" s="2"/>
      <c r="FT62" s="2"/>
      <c r="FU62" s="2"/>
      <c r="FV62" s="2"/>
      <c r="FW62" s="2"/>
      <c r="FX62" s="2"/>
      <c r="FY62" s="2"/>
      <c r="FZ62" s="2"/>
      <c r="GA62" s="2"/>
      <c r="GB62" s="2"/>
      <c r="GC62" s="2"/>
      <c r="GD62" s="2"/>
      <c r="GE62" s="2"/>
      <c r="GF62" s="2"/>
      <c r="GG62" s="2"/>
      <c r="GH62" s="2"/>
      <c r="GI62" s="2"/>
      <c r="GJ62" s="2"/>
      <c r="GK62" s="2"/>
      <c r="GL62" s="2"/>
      <c r="GM62" s="2"/>
      <c r="GN62" s="2"/>
      <c r="GO62" s="2"/>
      <c r="GP62" s="2"/>
      <c r="GQ62" s="2"/>
      <c r="GR62" s="2"/>
      <c r="GS62" s="2"/>
      <c r="GT62" s="2"/>
      <c r="GU62" s="2"/>
      <c r="GV62" s="2"/>
      <c r="GW62" s="2"/>
    </row>
    <row r="63" spans="1:205" s="5" customFormat="1" ht="15.6" x14ac:dyDescent="0.3">
      <c r="A63" s="60" t="s">
        <v>22</v>
      </c>
      <c r="B63" s="23" t="s">
        <v>221</v>
      </c>
      <c r="C63" s="37">
        <v>3</v>
      </c>
      <c r="D63" s="31" t="s">
        <v>116</v>
      </c>
      <c r="E63" s="30"/>
      <c r="F63" s="102">
        <v>45015</v>
      </c>
      <c r="G63" s="29">
        <v>21</v>
      </c>
      <c r="H63" s="102">
        <f t="shared" ref="H63:H126" si="7">IF(F63="","",WORKDAY(IF(WEEKDAY(F63,1)=7,F63+2,IF(WEEKDAY(F63,1)=1,F63+1,F63)),G63-1,))</f>
        <v>45043</v>
      </c>
      <c r="I63" s="71">
        <v>0</v>
      </c>
      <c r="J63"/>
      <c r="K63" s="50"/>
      <c r="L63" s="4"/>
      <c r="M63" s="4"/>
      <c r="N63" s="4"/>
      <c r="O63" s="4"/>
      <c r="P63" s="4"/>
      <c r="Q63" s="4"/>
      <c r="R63" s="4"/>
      <c r="S63" s="4"/>
      <c r="T63" s="4"/>
      <c r="U63" s="4"/>
      <c r="V63" s="4"/>
      <c r="W63" s="4"/>
      <c r="X63" s="4"/>
      <c r="Y63" s="4"/>
      <c r="Z63" s="4"/>
      <c r="AA63" s="4"/>
      <c r="AB63" s="7"/>
      <c r="AC63" s="7"/>
      <c r="AD63" s="7"/>
      <c r="AE63" s="7"/>
      <c r="AF63" s="7"/>
      <c r="AG63" s="7"/>
      <c r="AH63" s="7"/>
      <c r="AI63" s="7"/>
      <c r="AJ63" s="7"/>
      <c r="AK63" s="7"/>
      <c r="AL63" s="7"/>
      <c r="AM63" s="7"/>
      <c r="AN63" s="7"/>
      <c r="AO63" s="7"/>
      <c r="AP63" s="7"/>
      <c r="AQ63" s="7"/>
      <c r="AR63" s="7"/>
      <c r="AS63" s="7"/>
      <c r="AT63" s="7"/>
      <c r="AU63" s="7"/>
      <c r="AV63" s="7"/>
      <c r="AW63" s="7"/>
      <c r="AX63" s="7"/>
      <c r="AY63" s="7"/>
      <c r="AZ63" s="7"/>
      <c r="BA63" s="7"/>
      <c r="BB63" s="7"/>
      <c r="BC63" s="7"/>
      <c r="BD63" s="7"/>
      <c r="BE63" s="7"/>
      <c r="BF63" s="7"/>
      <c r="BG63" s="7"/>
      <c r="BH63" s="7"/>
      <c r="BI63" s="7"/>
      <c r="BJ63" s="7"/>
      <c r="BK63" s="51"/>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2"/>
      <c r="FD63" s="2"/>
      <c r="FE63" s="2"/>
      <c r="FF63" s="2"/>
      <c r="FG63" s="2"/>
      <c r="FH63" s="2"/>
      <c r="FI63" s="2"/>
      <c r="FJ63" s="2"/>
      <c r="FK63" s="2"/>
      <c r="FL63" s="2"/>
      <c r="FM63" s="2"/>
      <c r="FN63" s="2"/>
      <c r="FO63" s="2"/>
      <c r="FP63" s="2"/>
      <c r="FQ63" s="2"/>
      <c r="FR63" s="2"/>
      <c r="FS63" s="2"/>
      <c r="FT63" s="2"/>
      <c r="FU63" s="2"/>
      <c r="FV63" s="2"/>
      <c r="FW63" s="2"/>
      <c r="FX63" s="2"/>
      <c r="FY63" s="2"/>
      <c r="FZ63" s="2"/>
      <c r="GA63" s="2"/>
      <c r="GB63" s="2"/>
      <c r="GC63" s="2"/>
      <c r="GD63" s="2"/>
      <c r="GE63" s="2"/>
      <c r="GF63" s="2"/>
      <c r="GG63" s="2"/>
      <c r="GH63" s="2"/>
      <c r="GI63" s="2"/>
      <c r="GJ63" s="2"/>
      <c r="GK63" s="2"/>
      <c r="GL63" s="2"/>
      <c r="GM63" s="2"/>
      <c r="GN63" s="2"/>
      <c r="GO63" s="2"/>
      <c r="GP63" s="2"/>
      <c r="GQ63" s="2"/>
      <c r="GR63" s="2"/>
      <c r="GS63" s="2"/>
      <c r="GT63" s="2"/>
      <c r="GU63" s="2"/>
      <c r="GV63" s="2"/>
      <c r="GW63" s="2"/>
    </row>
    <row r="64" spans="1:205" s="5" customFormat="1" ht="15.6" x14ac:dyDescent="0.3">
      <c r="A64" s="60" t="s">
        <v>23</v>
      </c>
      <c r="B64" s="23" t="s">
        <v>222</v>
      </c>
      <c r="C64" s="37">
        <v>3</v>
      </c>
      <c r="D64" s="31" t="s">
        <v>124</v>
      </c>
      <c r="E64" s="30"/>
      <c r="F64" s="102">
        <v>45015</v>
      </c>
      <c r="G64" s="29">
        <v>21</v>
      </c>
      <c r="H64" s="102">
        <f t="shared" si="7"/>
        <v>45043</v>
      </c>
      <c r="I64" s="71">
        <v>0</v>
      </c>
      <c r="J64"/>
      <c r="K64" s="50"/>
      <c r="L64" s="4"/>
      <c r="M64" s="4"/>
      <c r="N64" s="4"/>
      <c r="O64" s="4"/>
      <c r="P64" s="4"/>
      <c r="Q64" s="4"/>
      <c r="R64" s="4"/>
      <c r="S64" s="4"/>
      <c r="T64" s="4"/>
      <c r="U64" s="4"/>
      <c r="V64" s="4"/>
      <c r="W64" s="4"/>
      <c r="X64" s="4"/>
      <c r="Y64" s="4"/>
      <c r="Z64" s="4"/>
      <c r="AA64" s="4"/>
      <c r="AB64" s="7"/>
      <c r="AC64" s="7"/>
      <c r="AD64" s="7"/>
      <c r="AE64" s="7"/>
      <c r="AF64" s="7"/>
      <c r="AG64" s="7"/>
      <c r="AH64" s="7"/>
      <c r="AI64" s="7"/>
      <c r="AJ64" s="7"/>
      <c r="AK64" s="7"/>
      <c r="AL64" s="7"/>
      <c r="AM64" s="7"/>
      <c r="AN64" s="7"/>
      <c r="AO64" s="7"/>
      <c r="AP64" s="7"/>
      <c r="AQ64" s="7"/>
      <c r="AR64" s="7"/>
      <c r="AS64" s="7"/>
      <c r="AT64" s="7"/>
      <c r="AU64" s="7"/>
      <c r="AV64" s="7"/>
      <c r="AW64" s="7"/>
      <c r="AX64" s="7"/>
      <c r="AY64" s="7"/>
      <c r="AZ64" s="7"/>
      <c r="BA64" s="7"/>
      <c r="BB64" s="7"/>
      <c r="BC64" s="7"/>
      <c r="BD64" s="7"/>
      <c r="BE64" s="7"/>
      <c r="BF64" s="7"/>
      <c r="BG64" s="7"/>
      <c r="BH64" s="7"/>
      <c r="BI64" s="7"/>
      <c r="BJ64" s="7"/>
      <c r="BK64" s="51"/>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2"/>
      <c r="FD64" s="2"/>
      <c r="FE64" s="2"/>
      <c r="FF64" s="2"/>
      <c r="FG64" s="2"/>
      <c r="FH64" s="2"/>
      <c r="FI64" s="2"/>
      <c r="FJ64" s="2"/>
      <c r="FK64" s="2"/>
      <c r="FL64" s="2"/>
      <c r="FM64" s="2"/>
      <c r="FN64" s="2"/>
      <c r="FO64" s="2"/>
      <c r="FP64" s="2"/>
      <c r="FQ64" s="2"/>
      <c r="FR64" s="2"/>
      <c r="FS64" s="2"/>
      <c r="FT64" s="2"/>
      <c r="FU64" s="2"/>
      <c r="FV64" s="2"/>
      <c r="FW64" s="2"/>
      <c r="FX64" s="2"/>
      <c r="FY64" s="2"/>
      <c r="FZ64" s="2"/>
      <c r="GA64" s="2"/>
      <c r="GB64" s="2"/>
      <c r="GC64" s="2"/>
      <c r="GD64" s="2"/>
      <c r="GE64" s="2"/>
      <c r="GF64" s="2"/>
      <c r="GG64" s="2"/>
      <c r="GH64" s="2"/>
      <c r="GI64" s="2"/>
      <c r="GJ64" s="2"/>
      <c r="GK64" s="2"/>
      <c r="GL64" s="2"/>
      <c r="GM64" s="2"/>
      <c r="GN64" s="2"/>
      <c r="GO64" s="2"/>
      <c r="GP64" s="2"/>
      <c r="GQ64" s="2"/>
      <c r="GR64" s="2"/>
      <c r="GS64" s="2"/>
      <c r="GT64" s="2"/>
      <c r="GU64" s="2"/>
      <c r="GV64" s="2"/>
      <c r="GW64" s="2"/>
    </row>
    <row r="65" spans="1:205" s="5" customFormat="1" ht="15.6" x14ac:dyDescent="0.3">
      <c r="A65" s="60" t="s">
        <v>24</v>
      </c>
      <c r="B65" s="23" t="s">
        <v>223</v>
      </c>
      <c r="C65" s="37">
        <v>3</v>
      </c>
      <c r="D65" s="31" t="s">
        <v>127</v>
      </c>
      <c r="E65" s="30"/>
      <c r="F65" s="102">
        <v>45015</v>
      </c>
      <c r="G65" s="29">
        <v>21</v>
      </c>
      <c r="H65" s="102">
        <f t="shared" si="7"/>
        <v>45043</v>
      </c>
      <c r="I65" s="71">
        <v>0</v>
      </c>
      <c r="J65"/>
      <c r="K65" s="50"/>
      <c r="L65" s="4"/>
      <c r="M65" s="4"/>
      <c r="N65" s="4"/>
      <c r="O65" s="4"/>
      <c r="P65" s="4"/>
      <c r="Q65" s="4"/>
      <c r="R65" s="4"/>
      <c r="S65" s="4"/>
      <c r="T65" s="4"/>
      <c r="U65" s="4"/>
      <c r="V65" s="4"/>
      <c r="W65" s="4"/>
      <c r="X65" s="4"/>
      <c r="Y65" s="4"/>
      <c r="Z65" s="4"/>
      <c r="AA65" s="4"/>
      <c r="AB65" s="7"/>
      <c r="AC65" s="7"/>
      <c r="AD65" s="7"/>
      <c r="AE65" s="7"/>
      <c r="AF65" s="7"/>
      <c r="AG65" s="7"/>
      <c r="AH65" s="7"/>
      <c r="AI65" s="7"/>
      <c r="AJ65" s="7"/>
      <c r="AK65" s="7"/>
      <c r="AL65" s="7"/>
      <c r="AM65" s="7"/>
      <c r="AN65" s="7"/>
      <c r="AO65" s="7"/>
      <c r="AP65" s="7"/>
      <c r="AQ65" s="7"/>
      <c r="AR65" s="7"/>
      <c r="AS65" s="7"/>
      <c r="AT65" s="7"/>
      <c r="AU65" s="7"/>
      <c r="AV65" s="7"/>
      <c r="AW65" s="7"/>
      <c r="AX65" s="7"/>
      <c r="AY65" s="7"/>
      <c r="AZ65" s="7"/>
      <c r="BA65" s="7"/>
      <c r="BB65" s="7"/>
      <c r="BC65" s="7"/>
      <c r="BD65" s="7"/>
      <c r="BE65" s="7"/>
      <c r="BF65" s="7"/>
      <c r="BG65" s="7"/>
      <c r="BH65" s="7"/>
      <c r="BI65" s="7"/>
      <c r="BJ65" s="7"/>
      <c r="BK65" s="51"/>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2"/>
      <c r="DT65" s="2"/>
      <c r="DU65" s="2"/>
      <c r="DV65" s="2"/>
      <c r="DW65" s="2"/>
      <c r="DX65" s="2"/>
      <c r="DY65" s="2"/>
      <c r="DZ65" s="2"/>
      <c r="EA65" s="2"/>
      <c r="EB65" s="2"/>
      <c r="EC65" s="2"/>
      <c r="ED65" s="2"/>
      <c r="EE65" s="2"/>
      <c r="EF65" s="2"/>
      <c r="EG65" s="2"/>
      <c r="EH65" s="2"/>
      <c r="EI65" s="2"/>
      <c r="EJ65" s="2"/>
      <c r="EK65" s="2"/>
      <c r="EL65" s="2"/>
      <c r="EM65" s="2"/>
      <c r="EN65" s="2"/>
      <c r="EO65" s="2"/>
      <c r="EP65" s="2"/>
      <c r="EQ65" s="2"/>
      <c r="ER65" s="2"/>
      <c r="ES65" s="2"/>
      <c r="ET65" s="2"/>
      <c r="EU65" s="2"/>
      <c r="EV65" s="2"/>
      <c r="EW65" s="2"/>
      <c r="EX65" s="2"/>
      <c r="EY65" s="2"/>
      <c r="EZ65" s="2"/>
      <c r="FA65" s="2"/>
      <c r="FB65" s="2"/>
      <c r="FC65" s="2"/>
      <c r="FD65" s="2"/>
      <c r="FE65" s="2"/>
      <c r="FF65" s="2"/>
      <c r="FG65" s="2"/>
      <c r="FH65" s="2"/>
      <c r="FI65" s="2"/>
      <c r="FJ65" s="2"/>
      <c r="FK65" s="2"/>
      <c r="FL65" s="2"/>
      <c r="FM65" s="2"/>
      <c r="FN65" s="2"/>
      <c r="FO65" s="2"/>
      <c r="FP65" s="2"/>
      <c r="FQ65" s="2"/>
      <c r="FR65" s="2"/>
      <c r="FS65" s="2"/>
      <c r="FT65" s="2"/>
      <c r="FU65" s="2"/>
      <c r="FV65" s="2"/>
      <c r="FW65" s="2"/>
      <c r="FX65" s="2"/>
      <c r="FY65" s="2"/>
      <c r="FZ65" s="2"/>
      <c r="GA65" s="2"/>
      <c r="GB65" s="2"/>
      <c r="GC65" s="2"/>
      <c r="GD65" s="2"/>
      <c r="GE65" s="2"/>
      <c r="GF65" s="2"/>
      <c r="GG65" s="2"/>
      <c r="GH65" s="2"/>
      <c r="GI65" s="2"/>
      <c r="GJ65" s="2"/>
      <c r="GK65" s="2"/>
      <c r="GL65" s="2"/>
      <c r="GM65" s="2"/>
      <c r="GN65" s="2"/>
      <c r="GO65" s="2"/>
      <c r="GP65" s="2"/>
      <c r="GQ65" s="2"/>
      <c r="GR65" s="2"/>
      <c r="GS65" s="2"/>
      <c r="GT65" s="2"/>
      <c r="GU65" s="2"/>
      <c r="GV65" s="2"/>
      <c r="GW65" s="2"/>
    </row>
    <row r="66" spans="1:205" s="5" customFormat="1" ht="15.6" x14ac:dyDescent="0.3">
      <c r="A66" s="60" t="s">
        <v>25</v>
      </c>
      <c r="B66" s="23" t="s">
        <v>224</v>
      </c>
      <c r="C66" s="37">
        <v>3</v>
      </c>
      <c r="D66" s="31" t="s">
        <v>119</v>
      </c>
      <c r="E66" s="30"/>
      <c r="F66" s="102">
        <v>45015</v>
      </c>
      <c r="G66" s="29">
        <v>21</v>
      </c>
      <c r="H66" s="102">
        <f t="shared" si="7"/>
        <v>45043</v>
      </c>
      <c r="I66" s="71">
        <v>0</v>
      </c>
      <c r="J66"/>
      <c r="K66" s="50"/>
      <c r="L66" s="4"/>
      <c r="M66" s="4"/>
      <c r="N66" s="4"/>
      <c r="O66" s="4"/>
      <c r="P66" s="4"/>
      <c r="Q66" s="4"/>
      <c r="R66" s="4"/>
      <c r="S66" s="4"/>
      <c r="T66" s="4"/>
      <c r="U66" s="4"/>
      <c r="V66" s="4"/>
      <c r="W66" s="4"/>
      <c r="X66" s="4"/>
      <c r="Y66" s="4"/>
      <c r="Z66" s="4"/>
      <c r="AA66" s="4"/>
      <c r="AB66" s="7"/>
      <c r="AC66" s="7"/>
      <c r="AD66" s="7"/>
      <c r="AE66" s="7"/>
      <c r="AF66" s="7"/>
      <c r="AG66" s="7"/>
      <c r="AH66" s="7"/>
      <c r="AI66" s="7"/>
      <c r="AJ66" s="7"/>
      <c r="AK66" s="7"/>
      <c r="AL66" s="7"/>
      <c r="AM66" s="7"/>
      <c r="AN66" s="7"/>
      <c r="AO66" s="7"/>
      <c r="AP66" s="7"/>
      <c r="AQ66" s="7"/>
      <c r="AR66" s="7"/>
      <c r="AS66" s="7"/>
      <c r="AT66" s="7"/>
      <c r="AU66" s="7"/>
      <c r="AV66" s="7"/>
      <c r="AW66" s="7"/>
      <c r="AX66" s="7"/>
      <c r="AY66" s="7"/>
      <c r="AZ66" s="7"/>
      <c r="BA66" s="7"/>
      <c r="BB66" s="7"/>
      <c r="BC66" s="7"/>
      <c r="BD66" s="7"/>
      <c r="BE66" s="7"/>
      <c r="BF66" s="7"/>
      <c r="BG66" s="7"/>
      <c r="BH66" s="7"/>
      <c r="BI66" s="7"/>
      <c r="BJ66" s="7"/>
      <c r="BK66" s="51"/>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c r="DO66" s="2"/>
      <c r="DP66" s="2"/>
      <c r="DQ66" s="2"/>
      <c r="DR66" s="2"/>
      <c r="DS66" s="2"/>
      <c r="DT66" s="2"/>
      <c r="DU66" s="2"/>
      <c r="DV66" s="2"/>
      <c r="DW66" s="2"/>
      <c r="DX66" s="2"/>
      <c r="DY66" s="2"/>
      <c r="DZ66" s="2"/>
      <c r="EA66" s="2"/>
      <c r="EB66" s="2"/>
      <c r="EC66" s="2"/>
      <c r="ED66" s="2"/>
      <c r="EE66" s="2"/>
      <c r="EF66" s="2"/>
      <c r="EG66" s="2"/>
      <c r="EH66" s="2"/>
      <c r="EI66" s="2"/>
      <c r="EJ66" s="2"/>
      <c r="EK66" s="2"/>
      <c r="EL66" s="2"/>
      <c r="EM66" s="2"/>
      <c r="EN66" s="2"/>
      <c r="EO66" s="2"/>
      <c r="EP66" s="2"/>
      <c r="EQ66" s="2"/>
      <c r="ER66" s="2"/>
      <c r="ES66" s="2"/>
      <c r="ET66" s="2"/>
      <c r="EU66" s="2"/>
      <c r="EV66" s="2"/>
      <c r="EW66" s="2"/>
      <c r="EX66" s="2"/>
      <c r="EY66" s="2"/>
      <c r="EZ66" s="2"/>
      <c r="FA66" s="2"/>
      <c r="FB66" s="2"/>
      <c r="FC66" s="2"/>
      <c r="FD66" s="2"/>
      <c r="FE66" s="2"/>
      <c r="FF66" s="2"/>
      <c r="FG66" s="2"/>
      <c r="FH66" s="2"/>
      <c r="FI66" s="2"/>
      <c r="FJ66" s="2"/>
      <c r="FK66" s="2"/>
      <c r="FL66" s="2"/>
      <c r="FM66" s="2"/>
      <c r="FN66" s="2"/>
      <c r="FO66" s="2"/>
      <c r="FP66" s="2"/>
      <c r="FQ66" s="2"/>
      <c r="FR66" s="2"/>
      <c r="FS66" s="2"/>
      <c r="FT66" s="2"/>
      <c r="FU66" s="2"/>
      <c r="FV66" s="2"/>
      <c r="FW66" s="2"/>
      <c r="FX66" s="2"/>
      <c r="FY66" s="2"/>
      <c r="FZ66" s="2"/>
      <c r="GA66" s="2"/>
      <c r="GB66" s="2"/>
      <c r="GC66" s="2"/>
      <c r="GD66" s="2"/>
      <c r="GE66" s="2"/>
      <c r="GF66" s="2"/>
      <c r="GG66" s="2"/>
      <c r="GH66" s="2"/>
      <c r="GI66" s="2"/>
      <c r="GJ66" s="2"/>
      <c r="GK66" s="2"/>
      <c r="GL66" s="2"/>
      <c r="GM66" s="2"/>
      <c r="GN66" s="2"/>
      <c r="GO66" s="2"/>
      <c r="GP66" s="2"/>
      <c r="GQ66" s="2"/>
      <c r="GR66" s="2"/>
      <c r="GS66" s="2"/>
      <c r="GT66" s="2"/>
      <c r="GU66" s="2"/>
      <c r="GV66" s="2"/>
      <c r="GW66" s="2"/>
    </row>
    <row r="67" spans="1:205" s="5" customFormat="1" ht="15.6" x14ac:dyDescent="0.3">
      <c r="A67" s="60" t="s">
        <v>225</v>
      </c>
      <c r="B67" s="23" t="s">
        <v>224</v>
      </c>
      <c r="C67" s="37">
        <v>3</v>
      </c>
      <c r="D67" s="31" t="s">
        <v>122</v>
      </c>
      <c r="E67" s="30"/>
      <c r="F67" s="102">
        <v>45015</v>
      </c>
      <c r="G67" s="29">
        <v>21</v>
      </c>
      <c r="H67" s="102">
        <f t="shared" si="7"/>
        <v>45043</v>
      </c>
      <c r="I67" s="71">
        <v>0</v>
      </c>
      <c r="J67"/>
      <c r="K67" s="50"/>
      <c r="L67" s="4"/>
      <c r="M67" s="4"/>
      <c r="N67" s="4"/>
      <c r="O67" s="4"/>
      <c r="P67" s="4"/>
      <c r="Q67" s="4"/>
      <c r="R67" s="4"/>
      <c r="S67" s="4"/>
      <c r="T67" s="4"/>
      <c r="U67" s="4"/>
      <c r="V67" s="4"/>
      <c r="W67" s="4"/>
      <c r="X67" s="4"/>
      <c r="Y67" s="4"/>
      <c r="Z67" s="4"/>
      <c r="AA67" s="4"/>
      <c r="AB67" s="7"/>
      <c r="AC67" s="7"/>
      <c r="AD67" s="7"/>
      <c r="AE67" s="7"/>
      <c r="AF67" s="7"/>
      <c r="AG67" s="7"/>
      <c r="AH67" s="7"/>
      <c r="AI67" s="7"/>
      <c r="AJ67" s="7"/>
      <c r="AK67" s="7"/>
      <c r="AL67" s="7"/>
      <c r="AM67" s="7"/>
      <c r="AN67" s="7"/>
      <c r="AO67" s="7"/>
      <c r="AP67" s="7"/>
      <c r="AQ67" s="7"/>
      <c r="AR67" s="7"/>
      <c r="AS67" s="7"/>
      <c r="AT67" s="7"/>
      <c r="AU67" s="7"/>
      <c r="AV67" s="7"/>
      <c r="AW67" s="7"/>
      <c r="AX67" s="7"/>
      <c r="AY67" s="7"/>
      <c r="AZ67" s="7"/>
      <c r="BA67" s="7"/>
      <c r="BB67" s="7"/>
      <c r="BC67" s="7"/>
      <c r="BD67" s="7"/>
      <c r="BE67" s="7"/>
      <c r="BF67" s="7"/>
      <c r="BG67" s="7"/>
      <c r="BH67" s="7"/>
      <c r="BI67" s="7"/>
      <c r="BJ67" s="7"/>
      <c r="BK67" s="51"/>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c r="DO67" s="2"/>
      <c r="DP67" s="2"/>
      <c r="DQ67" s="2"/>
      <c r="DR67" s="2"/>
      <c r="DS67" s="2"/>
      <c r="DT67" s="2"/>
      <c r="DU67" s="2"/>
      <c r="DV67" s="2"/>
      <c r="DW67" s="2"/>
      <c r="DX67" s="2"/>
      <c r="DY67" s="2"/>
      <c r="DZ67" s="2"/>
      <c r="EA67" s="2"/>
      <c r="EB67" s="2"/>
      <c r="EC67" s="2"/>
      <c r="ED67" s="2"/>
      <c r="EE67" s="2"/>
      <c r="EF67" s="2"/>
      <c r="EG67" s="2"/>
      <c r="EH67" s="2"/>
      <c r="EI67" s="2"/>
      <c r="EJ67" s="2"/>
      <c r="EK67" s="2"/>
      <c r="EL67" s="2"/>
      <c r="EM67" s="2"/>
      <c r="EN67" s="2"/>
      <c r="EO67" s="2"/>
      <c r="EP67" s="2"/>
      <c r="EQ67" s="2"/>
      <c r="ER67" s="2"/>
      <c r="ES67" s="2"/>
      <c r="ET67" s="2"/>
      <c r="EU67" s="2"/>
      <c r="EV67" s="2"/>
      <c r="EW67" s="2"/>
      <c r="EX67" s="2"/>
      <c r="EY67" s="2"/>
      <c r="EZ67" s="2"/>
      <c r="FA67" s="2"/>
      <c r="FB67" s="2"/>
      <c r="FC67" s="2"/>
      <c r="FD67" s="2"/>
      <c r="FE67" s="2"/>
      <c r="FF67" s="2"/>
      <c r="FG67" s="2"/>
      <c r="FH67" s="2"/>
      <c r="FI67" s="2"/>
      <c r="FJ67" s="2"/>
      <c r="FK67" s="2"/>
      <c r="FL67" s="2"/>
      <c r="FM67" s="2"/>
      <c r="FN67" s="2"/>
      <c r="FO67" s="2"/>
      <c r="FP67" s="2"/>
      <c r="FQ67" s="2"/>
      <c r="FR67" s="2"/>
      <c r="FS67" s="2"/>
      <c r="FT67" s="2"/>
      <c r="FU67" s="2"/>
      <c r="FV67" s="2"/>
      <c r="FW67" s="2"/>
      <c r="FX67" s="2"/>
      <c r="FY67" s="2"/>
      <c r="FZ67" s="2"/>
      <c r="GA67" s="2"/>
      <c r="GB67" s="2"/>
      <c r="GC67" s="2"/>
      <c r="GD67" s="2"/>
      <c r="GE67" s="2"/>
      <c r="GF67" s="2"/>
      <c r="GG67" s="2"/>
      <c r="GH67" s="2"/>
      <c r="GI67" s="2"/>
      <c r="GJ67" s="2"/>
      <c r="GK67" s="2"/>
      <c r="GL67" s="2"/>
      <c r="GM67" s="2"/>
      <c r="GN67" s="2"/>
      <c r="GO67" s="2"/>
      <c r="GP67" s="2"/>
      <c r="GQ67" s="2"/>
      <c r="GR67" s="2"/>
      <c r="GS67" s="2"/>
      <c r="GT67" s="2"/>
      <c r="GU67" s="2"/>
      <c r="GV67" s="2"/>
      <c r="GW67" s="2"/>
    </row>
    <row r="68" spans="1:205" s="5" customFormat="1" ht="15.6" x14ac:dyDescent="0.3">
      <c r="A68" s="60" t="s">
        <v>226</v>
      </c>
      <c r="B68" s="23" t="s">
        <v>227</v>
      </c>
      <c r="C68" s="37">
        <v>3</v>
      </c>
      <c r="D68" s="31" t="s">
        <v>129</v>
      </c>
      <c r="E68" s="30"/>
      <c r="F68" s="102">
        <v>45015</v>
      </c>
      <c r="G68" s="29">
        <v>21</v>
      </c>
      <c r="H68" s="102">
        <f t="shared" si="7"/>
        <v>45043</v>
      </c>
      <c r="I68" s="71">
        <v>0</v>
      </c>
      <c r="J68"/>
      <c r="K68" s="50"/>
      <c r="L68" s="4"/>
      <c r="M68" s="4"/>
      <c r="N68" s="4"/>
      <c r="O68" s="4"/>
      <c r="P68" s="4"/>
      <c r="Q68" s="4"/>
      <c r="R68" s="4"/>
      <c r="S68" s="4"/>
      <c r="T68" s="4"/>
      <c r="U68" s="4"/>
      <c r="V68" s="4"/>
      <c r="W68" s="4"/>
      <c r="X68" s="4"/>
      <c r="Y68" s="4"/>
      <c r="Z68" s="4"/>
      <c r="AA68" s="4"/>
      <c r="AB68" s="7"/>
      <c r="AC68" s="7"/>
      <c r="AD68" s="7"/>
      <c r="AE68" s="7"/>
      <c r="AF68" s="7"/>
      <c r="AG68" s="7"/>
      <c r="AH68" s="7"/>
      <c r="AI68" s="7"/>
      <c r="AJ68" s="7"/>
      <c r="AK68" s="7"/>
      <c r="AL68" s="7"/>
      <c r="AM68" s="7"/>
      <c r="AN68" s="7"/>
      <c r="AO68" s="7"/>
      <c r="AP68" s="7"/>
      <c r="AQ68" s="7"/>
      <c r="AR68" s="7"/>
      <c r="AS68" s="7"/>
      <c r="AT68" s="7"/>
      <c r="AU68" s="7"/>
      <c r="AV68" s="7"/>
      <c r="AW68" s="7"/>
      <c r="AX68" s="7"/>
      <c r="AY68" s="7"/>
      <c r="AZ68" s="7"/>
      <c r="BA68" s="7"/>
      <c r="BB68" s="7"/>
      <c r="BC68" s="7"/>
      <c r="BD68" s="7"/>
      <c r="BE68" s="7"/>
      <c r="BF68" s="7"/>
      <c r="BG68" s="7"/>
      <c r="BH68" s="7"/>
      <c r="BI68" s="7"/>
      <c r="BJ68" s="7"/>
      <c r="BK68" s="51"/>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2"/>
      <c r="DT68" s="2"/>
      <c r="DU68" s="2"/>
      <c r="DV68" s="2"/>
      <c r="DW68" s="2"/>
      <c r="DX68" s="2"/>
      <c r="DY68" s="2"/>
      <c r="DZ68" s="2"/>
      <c r="EA68" s="2"/>
      <c r="EB68" s="2"/>
      <c r="EC68" s="2"/>
      <c r="ED68" s="2"/>
      <c r="EE68" s="2"/>
      <c r="EF68" s="2"/>
      <c r="EG68" s="2"/>
      <c r="EH68" s="2"/>
      <c r="EI68" s="2"/>
      <c r="EJ68" s="2"/>
      <c r="EK68" s="2"/>
      <c r="EL68" s="2"/>
      <c r="EM68" s="2"/>
      <c r="EN68" s="2"/>
      <c r="EO68" s="2"/>
      <c r="EP68" s="2"/>
      <c r="EQ68" s="2"/>
      <c r="ER68" s="2"/>
      <c r="ES68" s="2"/>
      <c r="ET68" s="2"/>
      <c r="EU68" s="2"/>
      <c r="EV68" s="2"/>
      <c r="EW68" s="2"/>
      <c r="EX68" s="2"/>
      <c r="EY68" s="2"/>
      <c r="EZ68" s="2"/>
      <c r="FA68" s="2"/>
      <c r="FB68" s="2"/>
      <c r="FC68" s="2"/>
      <c r="FD68" s="2"/>
      <c r="FE68" s="2"/>
      <c r="FF68" s="2"/>
      <c r="FG68" s="2"/>
      <c r="FH68" s="2"/>
      <c r="FI68" s="2"/>
      <c r="FJ68" s="2"/>
      <c r="FK68" s="2"/>
      <c r="FL68" s="2"/>
      <c r="FM68" s="2"/>
      <c r="FN68" s="2"/>
      <c r="FO68" s="2"/>
      <c r="FP68" s="2"/>
      <c r="FQ68" s="2"/>
      <c r="FR68" s="2"/>
      <c r="FS68" s="2"/>
      <c r="FT68" s="2"/>
      <c r="FU68" s="2"/>
      <c r="FV68" s="2"/>
      <c r="FW68" s="2"/>
      <c r="FX68" s="2"/>
      <c r="FY68" s="2"/>
      <c r="FZ68" s="2"/>
      <c r="GA68" s="2"/>
      <c r="GB68" s="2"/>
      <c r="GC68" s="2"/>
      <c r="GD68" s="2"/>
      <c r="GE68" s="2"/>
      <c r="GF68" s="2"/>
      <c r="GG68" s="2"/>
      <c r="GH68" s="2"/>
      <c r="GI68" s="2"/>
      <c r="GJ68" s="2"/>
      <c r="GK68" s="2"/>
      <c r="GL68" s="2"/>
      <c r="GM68" s="2"/>
      <c r="GN68" s="2"/>
      <c r="GO68" s="2"/>
      <c r="GP68" s="2"/>
      <c r="GQ68" s="2"/>
      <c r="GR68" s="2"/>
      <c r="GS68" s="2"/>
      <c r="GT68" s="2"/>
      <c r="GU68" s="2"/>
      <c r="GV68" s="2"/>
      <c r="GW68" s="2"/>
    </row>
    <row r="69" spans="1:205" s="5" customFormat="1" ht="15.6" x14ac:dyDescent="0.3">
      <c r="A69" s="60" t="s">
        <v>228</v>
      </c>
      <c r="B69" s="23" t="s">
        <v>229</v>
      </c>
      <c r="C69" s="37">
        <v>3</v>
      </c>
      <c r="D69" s="31" t="s">
        <v>132</v>
      </c>
      <c r="E69" s="30"/>
      <c r="F69" s="102">
        <v>45015</v>
      </c>
      <c r="G69" s="29">
        <v>21</v>
      </c>
      <c r="H69" s="102">
        <f t="shared" si="7"/>
        <v>45043</v>
      </c>
      <c r="I69" s="71">
        <v>0</v>
      </c>
      <c r="J69"/>
      <c r="K69" s="50"/>
      <c r="L69" s="4"/>
      <c r="M69" s="4"/>
      <c r="N69" s="4"/>
      <c r="O69" s="4"/>
      <c r="P69" s="4"/>
      <c r="Q69" s="4"/>
      <c r="R69" s="4"/>
      <c r="S69" s="4"/>
      <c r="T69" s="4"/>
      <c r="U69" s="4"/>
      <c r="V69" s="4"/>
      <c r="W69" s="4"/>
      <c r="X69" s="4"/>
      <c r="Y69" s="4"/>
      <c r="Z69" s="4"/>
      <c r="AA69" s="4"/>
      <c r="AB69" s="7"/>
      <c r="AC69" s="7"/>
      <c r="AD69" s="7"/>
      <c r="AE69" s="7"/>
      <c r="AF69" s="7"/>
      <c r="AG69" s="7"/>
      <c r="AH69" s="7"/>
      <c r="AI69" s="7"/>
      <c r="AJ69" s="7"/>
      <c r="AK69" s="7"/>
      <c r="AL69" s="7"/>
      <c r="AM69" s="7"/>
      <c r="AN69" s="7"/>
      <c r="AO69" s="7"/>
      <c r="AP69" s="7"/>
      <c r="AQ69" s="7"/>
      <c r="AR69" s="7"/>
      <c r="AS69" s="7"/>
      <c r="AT69" s="7"/>
      <c r="AU69" s="7"/>
      <c r="AV69" s="7"/>
      <c r="AW69" s="7"/>
      <c r="AX69" s="7"/>
      <c r="AY69" s="7"/>
      <c r="AZ69" s="7"/>
      <c r="BA69" s="7"/>
      <c r="BB69" s="7"/>
      <c r="BC69" s="7"/>
      <c r="BD69" s="7"/>
      <c r="BE69" s="7"/>
      <c r="BF69" s="7"/>
      <c r="BG69" s="7"/>
      <c r="BH69" s="7"/>
      <c r="BI69" s="7"/>
      <c r="BJ69" s="7"/>
      <c r="BK69" s="51"/>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c r="DO69" s="2"/>
      <c r="DP69" s="2"/>
      <c r="DQ69" s="2"/>
      <c r="DR69" s="2"/>
      <c r="DS69" s="2"/>
      <c r="DT69" s="2"/>
      <c r="DU69" s="2"/>
      <c r="DV69" s="2"/>
      <c r="DW69" s="2"/>
      <c r="DX69" s="2"/>
      <c r="DY69" s="2"/>
      <c r="DZ69" s="2"/>
      <c r="EA69" s="2"/>
      <c r="EB69" s="2"/>
      <c r="EC69" s="2"/>
      <c r="ED69" s="2"/>
      <c r="EE69" s="2"/>
      <c r="EF69" s="2"/>
      <c r="EG69" s="2"/>
      <c r="EH69" s="2"/>
      <c r="EI69" s="2"/>
      <c r="EJ69" s="2"/>
      <c r="EK69" s="2"/>
      <c r="EL69" s="2"/>
      <c r="EM69" s="2"/>
      <c r="EN69" s="2"/>
      <c r="EO69" s="2"/>
      <c r="EP69" s="2"/>
      <c r="EQ69" s="2"/>
      <c r="ER69" s="2"/>
      <c r="ES69" s="2"/>
      <c r="ET69" s="2"/>
      <c r="EU69" s="2"/>
      <c r="EV69" s="2"/>
      <c r="EW69" s="2"/>
      <c r="EX69" s="2"/>
      <c r="EY69" s="2"/>
      <c r="EZ69" s="2"/>
      <c r="FA69" s="2"/>
      <c r="FB69" s="2"/>
      <c r="FC69" s="2"/>
      <c r="FD69" s="2"/>
      <c r="FE69" s="2"/>
      <c r="FF69" s="2"/>
      <c r="FG69" s="2"/>
      <c r="FH69" s="2"/>
      <c r="FI69" s="2"/>
      <c r="FJ69" s="2"/>
      <c r="FK69" s="2"/>
      <c r="FL69" s="2"/>
      <c r="FM69" s="2"/>
      <c r="FN69" s="2"/>
      <c r="FO69" s="2"/>
      <c r="FP69" s="2"/>
      <c r="FQ69" s="2"/>
      <c r="FR69" s="2"/>
      <c r="FS69" s="2"/>
      <c r="FT69" s="2"/>
      <c r="FU69" s="2"/>
      <c r="FV69" s="2"/>
      <c r="FW69" s="2"/>
      <c r="FX69" s="2"/>
      <c r="FY69" s="2"/>
      <c r="FZ69" s="2"/>
      <c r="GA69" s="2"/>
      <c r="GB69" s="2"/>
      <c r="GC69" s="2"/>
      <c r="GD69" s="2"/>
      <c r="GE69" s="2"/>
      <c r="GF69" s="2"/>
      <c r="GG69" s="2"/>
      <c r="GH69" s="2"/>
      <c r="GI69" s="2"/>
      <c r="GJ69" s="2"/>
      <c r="GK69" s="2"/>
      <c r="GL69" s="2"/>
      <c r="GM69" s="2"/>
      <c r="GN69" s="2"/>
      <c r="GO69" s="2"/>
      <c r="GP69" s="2"/>
      <c r="GQ69" s="2"/>
      <c r="GR69" s="2"/>
      <c r="GS69" s="2"/>
      <c r="GT69" s="2"/>
      <c r="GU69" s="2"/>
      <c r="GV69" s="2"/>
      <c r="GW69" s="2"/>
    </row>
    <row r="70" spans="1:205" s="5" customFormat="1" ht="15.6" x14ac:dyDescent="0.3">
      <c r="A70" s="60" t="s">
        <v>230</v>
      </c>
      <c r="B70" s="23" t="s">
        <v>231</v>
      </c>
      <c r="C70" s="37">
        <v>3</v>
      </c>
      <c r="D70" s="31" t="s">
        <v>134</v>
      </c>
      <c r="E70" s="30"/>
      <c r="F70" s="102">
        <v>45015</v>
      </c>
      <c r="G70" s="29">
        <v>5</v>
      </c>
      <c r="H70" s="102">
        <f t="shared" si="7"/>
        <v>45021</v>
      </c>
      <c r="I70" s="71">
        <v>0</v>
      </c>
      <c r="J70"/>
      <c r="K70" s="50"/>
      <c r="L70" s="4"/>
      <c r="M70" s="4"/>
      <c r="N70" s="4"/>
      <c r="O70" s="4"/>
      <c r="P70" s="4"/>
      <c r="Q70" s="4"/>
      <c r="R70" s="4"/>
      <c r="S70" s="4"/>
      <c r="T70" s="4"/>
      <c r="U70" s="4"/>
      <c r="V70" s="4"/>
      <c r="W70" s="4"/>
      <c r="X70" s="4"/>
      <c r="Y70" s="4"/>
      <c r="Z70" s="4"/>
      <c r="AA70" s="4"/>
      <c r="AB70" s="7"/>
      <c r="AC70" s="7"/>
      <c r="AD70" s="7"/>
      <c r="AE70" s="7"/>
      <c r="AF70" s="7"/>
      <c r="AG70" s="7"/>
      <c r="AH70" s="7"/>
      <c r="AI70" s="7"/>
      <c r="AJ70" s="7"/>
      <c r="AK70" s="7"/>
      <c r="AL70" s="7"/>
      <c r="AM70" s="7"/>
      <c r="AN70" s="7"/>
      <c r="AO70" s="7"/>
      <c r="AP70" s="7"/>
      <c r="AQ70" s="7"/>
      <c r="AR70" s="7"/>
      <c r="AS70" s="7"/>
      <c r="AT70" s="7"/>
      <c r="AU70" s="7"/>
      <c r="AV70" s="7"/>
      <c r="AW70" s="7"/>
      <c r="AX70" s="7"/>
      <c r="AY70" s="7"/>
      <c r="AZ70" s="7"/>
      <c r="BA70" s="7"/>
      <c r="BB70" s="7"/>
      <c r="BC70" s="7"/>
      <c r="BD70" s="7"/>
      <c r="BE70" s="7"/>
      <c r="BF70" s="7"/>
      <c r="BG70" s="7"/>
      <c r="BH70" s="7"/>
      <c r="BI70" s="7"/>
      <c r="BJ70" s="7"/>
      <c r="BK70" s="51"/>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2"/>
      <c r="DT70" s="2"/>
      <c r="DU70" s="2"/>
      <c r="DV70" s="2"/>
      <c r="DW70" s="2"/>
      <c r="DX70" s="2"/>
      <c r="DY70" s="2"/>
      <c r="DZ70" s="2"/>
      <c r="EA70" s="2"/>
      <c r="EB70" s="2"/>
      <c r="EC70" s="2"/>
      <c r="ED70" s="2"/>
      <c r="EE70" s="2"/>
      <c r="EF70" s="2"/>
      <c r="EG70" s="2"/>
      <c r="EH70" s="2"/>
      <c r="EI70" s="2"/>
      <c r="EJ70" s="2"/>
      <c r="EK70" s="2"/>
      <c r="EL70" s="2"/>
      <c r="EM70" s="2"/>
      <c r="EN70" s="2"/>
      <c r="EO70" s="2"/>
      <c r="EP70" s="2"/>
      <c r="EQ70" s="2"/>
      <c r="ER70" s="2"/>
      <c r="ES70" s="2"/>
      <c r="ET70" s="2"/>
      <c r="EU70" s="2"/>
      <c r="EV70" s="2"/>
      <c r="EW70" s="2"/>
      <c r="EX70" s="2"/>
      <c r="EY70" s="2"/>
      <c r="EZ70" s="2"/>
      <c r="FA70" s="2"/>
      <c r="FB70" s="2"/>
      <c r="FC70" s="2"/>
      <c r="FD70" s="2"/>
      <c r="FE70" s="2"/>
      <c r="FF70" s="2"/>
      <c r="FG70" s="2"/>
      <c r="FH70" s="2"/>
      <c r="FI70" s="2"/>
      <c r="FJ70" s="2"/>
      <c r="FK70" s="2"/>
      <c r="FL70" s="2"/>
      <c r="FM70" s="2"/>
      <c r="FN70" s="2"/>
      <c r="FO70" s="2"/>
      <c r="FP70" s="2"/>
      <c r="FQ70" s="2"/>
      <c r="FR70" s="2"/>
      <c r="FS70" s="2"/>
      <c r="FT70" s="2"/>
      <c r="FU70" s="2"/>
      <c r="FV70" s="2"/>
      <c r="FW70" s="2"/>
      <c r="FX70" s="2"/>
      <c r="FY70" s="2"/>
      <c r="FZ70" s="2"/>
      <c r="GA70" s="2"/>
      <c r="GB70" s="2"/>
      <c r="GC70" s="2"/>
      <c r="GD70" s="2"/>
      <c r="GE70" s="2"/>
      <c r="GF70" s="2"/>
      <c r="GG70" s="2"/>
      <c r="GH70" s="2"/>
      <c r="GI70" s="2"/>
      <c r="GJ70" s="2"/>
      <c r="GK70" s="2"/>
      <c r="GL70" s="2"/>
      <c r="GM70" s="2"/>
      <c r="GN70" s="2"/>
      <c r="GO70" s="2"/>
      <c r="GP70" s="2"/>
      <c r="GQ70" s="2"/>
      <c r="GR70" s="2"/>
      <c r="GS70" s="2"/>
      <c r="GT70" s="2"/>
      <c r="GU70" s="2"/>
      <c r="GV70" s="2"/>
      <c r="GW70" s="2"/>
    </row>
    <row r="71" spans="1:205" s="5" customFormat="1" ht="15.6" x14ac:dyDescent="0.3">
      <c r="A71" s="60" t="s">
        <v>232</v>
      </c>
      <c r="B71" s="23" t="s">
        <v>231</v>
      </c>
      <c r="C71" s="37">
        <v>3</v>
      </c>
      <c r="D71" s="31" t="s">
        <v>137</v>
      </c>
      <c r="E71" s="30"/>
      <c r="F71" s="102">
        <v>45015</v>
      </c>
      <c r="G71" s="29">
        <v>5</v>
      </c>
      <c r="H71" s="102">
        <f t="shared" si="7"/>
        <v>45021</v>
      </c>
      <c r="I71" s="71">
        <v>0</v>
      </c>
      <c r="J71"/>
      <c r="K71" s="50"/>
      <c r="L71" s="4"/>
      <c r="M71" s="4"/>
      <c r="N71" s="4"/>
      <c r="O71" s="4"/>
      <c r="P71" s="4"/>
      <c r="Q71" s="4"/>
      <c r="R71" s="4"/>
      <c r="S71" s="4"/>
      <c r="T71" s="4"/>
      <c r="U71" s="4"/>
      <c r="V71" s="4"/>
      <c r="W71" s="4"/>
      <c r="X71" s="4"/>
      <c r="Y71" s="4"/>
      <c r="Z71" s="4"/>
      <c r="AA71" s="4"/>
      <c r="AB71" s="7"/>
      <c r="AC71" s="7"/>
      <c r="AD71" s="7"/>
      <c r="AE71" s="7"/>
      <c r="AF71" s="7"/>
      <c r="AG71" s="7"/>
      <c r="AH71" s="7"/>
      <c r="AI71" s="7"/>
      <c r="AJ71" s="7"/>
      <c r="AK71" s="7"/>
      <c r="AL71" s="7"/>
      <c r="AM71" s="7"/>
      <c r="AN71" s="7"/>
      <c r="AO71" s="7"/>
      <c r="AP71" s="7"/>
      <c r="AQ71" s="7"/>
      <c r="AR71" s="7"/>
      <c r="AS71" s="7"/>
      <c r="AT71" s="7"/>
      <c r="AU71" s="7"/>
      <c r="AV71" s="7"/>
      <c r="AW71" s="7"/>
      <c r="AX71" s="7"/>
      <c r="AY71" s="7"/>
      <c r="AZ71" s="7"/>
      <c r="BA71" s="7"/>
      <c r="BB71" s="7"/>
      <c r="BC71" s="7"/>
      <c r="BD71" s="7"/>
      <c r="BE71" s="7"/>
      <c r="BF71" s="7"/>
      <c r="BG71" s="7"/>
      <c r="BH71" s="7"/>
      <c r="BI71" s="7"/>
      <c r="BJ71" s="7"/>
      <c r="BK71" s="51"/>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EE71" s="2"/>
      <c r="EF71" s="2"/>
      <c r="EG71" s="2"/>
      <c r="EH71" s="2"/>
      <c r="EI71" s="2"/>
      <c r="EJ71" s="2"/>
      <c r="EK71" s="2"/>
      <c r="EL71" s="2"/>
      <c r="EM71" s="2"/>
      <c r="EN71" s="2"/>
      <c r="EO71" s="2"/>
      <c r="EP71" s="2"/>
      <c r="EQ71" s="2"/>
      <c r="ER71" s="2"/>
      <c r="ES71" s="2"/>
      <c r="ET71" s="2"/>
      <c r="EU71" s="2"/>
      <c r="EV71" s="2"/>
      <c r="EW71" s="2"/>
      <c r="EX71" s="2"/>
      <c r="EY71" s="2"/>
      <c r="EZ71" s="2"/>
      <c r="FA71" s="2"/>
      <c r="FB71" s="2"/>
      <c r="FC71" s="2"/>
      <c r="FD71" s="2"/>
      <c r="FE71" s="2"/>
      <c r="FF71" s="2"/>
      <c r="FG71" s="2"/>
      <c r="FH71" s="2"/>
      <c r="FI71" s="2"/>
      <c r="FJ71" s="2"/>
      <c r="FK71" s="2"/>
      <c r="FL71" s="2"/>
      <c r="FM71" s="2"/>
      <c r="FN71" s="2"/>
      <c r="FO71" s="2"/>
      <c r="FP71" s="2"/>
      <c r="FQ71" s="2"/>
      <c r="FR71" s="2"/>
      <c r="FS71" s="2"/>
      <c r="FT71" s="2"/>
      <c r="FU71" s="2"/>
      <c r="FV71" s="2"/>
      <c r="FW71" s="2"/>
      <c r="FX71" s="2"/>
      <c r="FY71" s="2"/>
      <c r="FZ71" s="2"/>
      <c r="GA71" s="2"/>
      <c r="GB71" s="2"/>
      <c r="GC71" s="2"/>
      <c r="GD71" s="2"/>
      <c r="GE71" s="2"/>
      <c r="GF71" s="2"/>
      <c r="GG71" s="2"/>
      <c r="GH71" s="2"/>
      <c r="GI71" s="2"/>
      <c r="GJ71" s="2"/>
      <c r="GK71" s="2"/>
      <c r="GL71" s="2"/>
      <c r="GM71" s="2"/>
      <c r="GN71" s="2"/>
      <c r="GO71" s="2"/>
      <c r="GP71" s="2"/>
      <c r="GQ71" s="2"/>
      <c r="GR71" s="2"/>
      <c r="GS71" s="2"/>
      <c r="GT71" s="2"/>
      <c r="GU71" s="2"/>
      <c r="GV71" s="2"/>
      <c r="GW71" s="2"/>
    </row>
    <row r="72" spans="1:205" s="5" customFormat="1" ht="15.6" x14ac:dyDescent="0.3">
      <c r="A72" s="60" t="s">
        <v>233</v>
      </c>
      <c r="B72" s="23" t="s">
        <v>234</v>
      </c>
      <c r="C72" s="37">
        <v>3</v>
      </c>
      <c r="D72" s="31" t="s">
        <v>140</v>
      </c>
      <c r="E72" s="30"/>
      <c r="F72" s="102">
        <v>45015</v>
      </c>
      <c r="G72" s="29">
        <v>5</v>
      </c>
      <c r="H72" s="102">
        <f t="shared" si="7"/>
        <v>45021</v>
      </c>
      <c r="I72" s="71">
        <v>0</v>
      </c>
      <c r="J72"/>
      <c r="K72" s="50"/>
      <c r="L72" s="4"/>
      <c r="M72" s="4"/>
      <c r="N72" s="4"/>
      <c r="O72" s="4"/>
      <c r="P72" s="4"/>
      <c r="Q72" s="4"/>
      <c r="R72" s="4"/>
      <c r="S72" s="4"/>
      <c r="T72" s="4"/>
      <c r="U72" s="4"/>
      <c r="V72" s="4"/>
      <c r="W72" s="4"/>
      <c r="X72" s="4"/>
      <c r="Y72" s="4"/>
      <c r="Z72" s="4"/>
      <c r="AA72" s="4"/>
      <c r="AB72" s="7"/>
      <c r="AC72" s="7"/>
      <c r="AD72" s="7"/>
      <c r="AE72" s="7"/>
      <c r="AF72" s="7"/>
      <c r="AG72" s="7"/>
      <c r="AH72" s="7"/>
      <c r="AI72" s="7"/>
      <c r="AJ72" s="7"/>
      <c r="AK72" s="7"/>
      <c r="AL72" s="7"/>
      <c r="AM72" s="7"/>
      <c r="AN72" s="7"/>
      <c r="AO72" s="7"/>
      <c r="AP72" s="7"/>
      <c r="AQ72" s="7"/>
      <c r="AR72" s="7"/>
      <c r="AS72" s="7"/>
      <c r="AT72" s="7"/>
      <c r="AU72" s="7"/>
      <c r="AV72" s="7"/>
      <c r="AW72" s="7"/>
      <c r="AX72" s="7"/>
      <c r="AY72" s="7"/>
      <c r="AZ72" s="7"/>
      <c r="BA72" s="7"/>
      <c r="BB72" s="7"/>
      <c r="BC72" s="7"/>
      <c r="BD72" s="7"/>
      <c r="BE72" s="7"/>
      <c r="BF72" s="7"/>
      <c r="BG72" s="7"/>
      <c r="BH72" s="7"/>
      <c r="BI72" s="7"/>
      <c r="BJ72" s="7"/>
      <c r="BK72" s="51"/>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c r="DO72" s="2"/>
      <c r="DP72" s="2"/>
      <c r="DQ72" s="2"/>
      <c r="DR72" s="2"/>
      <c r="DS72" s="2"/>
      <c r="DT72" s="2"/>
      <c r="DU72" s="2"/>
      <c r="DV72" s="2"/>
      <c r="DW72" s="2"/>
      <c r="DX72" s="2"/>
      <c r="DY72" s="2"/>
      <c r="DZ72" s="2"/>
      <c r="EA72" s="2"/>
      <c r="EB72" s="2"/>
      <c r="EC72" s="2"/>
      <c r="ED72" s="2"/>
      <c r="EE72" s="2"/>
      <c r="EF72" s="2"/>
      <c r="EG72" s="2"/>
      <c r="EH72" s="2"/>
      <c r="EI72" s="2"/>
      <c r="EJ72" s="2"/>
      <c r="EK72" s="2"/>
      <c r="EL72" s="2"/>
      <c r="EM72" s="2"/>
      <c r="EN72" s="2"/>
      <c r="EO72" s="2"/>
      <c r="EP72" s="2"/>
      <c r="EQ72" s="2"/>
      <c r="ER72" s="2"/>
      <c r="ES72" s="2"/>
      <c r="ET72" s="2"/>
      <c r="EU72" s="2"/>
      <c r="EV72" s="2"/>
      <c r="EW72" s="2"/>
      <c r="EX72" s="2"/>
      <c r="EY72" s="2"/>
      <c r="EZ72" s="2"/>
      <c r="FA72" s="2"/>
      <c r="FB72" s="2"/>
      <c r="FC72" s="2"/>
      <c r="FD72" s="2"/>
      <c r="FE72" s="2"/>
      <c r="FF72" s="2"/>
      <c r="FG72" s="2"/>
      <c r="FH72" s="2"/>
      <c r="FI72" s="2"/>
      <c r="FJ72" s="2"/>
      <c r="FK72" s="2"/>
      <c r="FL72" s="2"/>
      <c r="FM72" s="2"/>
      <c r="FN72" s="2"/>
      <c r="FO72" s="2"/>
      <c r="FP72" s="2"/>
      <c r="FQ72" s="2"/>
      <c r="FR72" s="2"/>
      <c r="FS72" s="2"/>
      <c r="FT72" s="2"/>
      <c r="FU72" s="2"/>
      <c r="FV72" s="2"/>
      <c r="FW72" s="2"/>
      <c r="FX72" s="2"/>
      <c r="FY72" s="2"/>
      <c r="FZ72" s="2"/>
      <c r="GA72" s="2"/>
      <c r="GB72" s="2"/>
      <c r="GC72" s="2"/>
      <c r="GD72" s="2"/>
      <c r="GE72" s="2"/>
      <c r="GF72" s="2"/>
      <c r="GG72" s="2"/>
      <c r="GH72" s="2"/>
      <c r="GI72" s="2"/>
      <c r="GJ72" s="2"/>
      <c r="GK72" s="2"/>
      <c r="GL72" s="2"/>
      <c r="GM72" s="2"/>
      <c r="GN72" s="2"/>
      <c r="GO72" s="2"/>
      <c r="GP72" s="2"/>
      <c r="GQ72" s="2"/>
      <c r="GR72" s="2"/>
      <c r="GS72" s="2"/>
      <c r="GT72" s="2"/>
      <c r="GU72" s="2"/>
      <c r="GV72" s="2"/>
      <c r="GW72" s="2"/>
    </row>
    <row r="73" spans="1:205" s="5" customFormat="1" ht="15.6" x14ac:dyDescent="0.3">
      <c r="A73" s="60" t="s">
        <v>235</v>
      </c>
      <c r="B73" s="23" t="s">
        <v>236</v>
      </c>
      <c r="C73" s="37">
        <v>3</v>
      </c>
      <c r="D73" s="31" t="s">
        <v>96</v>
      </c>
      <c r="E73" s="30"/>
      <c r="F73" s="102">
        <v>45015</v>
      </c>
      <c r="G73" s="29">
        <v>21</v>
      </c>
      <c r="H73" s="102">
        <f t="shared" si="7"/>
        <v>45043</v>
      </c>
      <c r="I73" s="71">
        <v>0</v>
      </c>
      <c r="J73"/>
      <c r="K73" s="50"/>
      <c r="L73" s="4"/>
      <c r="M73" s="4"/>
      <c r="N73" s="4"/>
      <c r="O73" s="4"/>
      <c r="P73" s="4"/>
      <c r="Q73" s="4"/>
      <c r="R73" s="4"/>
      <c r="S73" s="4"/>
      <c r="T73" s="4"/>
      <c r="U73" s="4"/>
      <c r="V73" s="4"/>
      <c r="W73" s="4"/>
      <c r="X73" s="4"/>
      <c r="Y73" s="4"/>
      <c r="Z73" s="4"/>
      <c r="AA73" s="4"/>
      <c r="AB73" s="7"/>
      <c r="AC73" s="7"/>
      <c r="AD73" s="7"/>
      <c r="AE73" s="7"/>
      <c r="AF73" s="7"/>
      <c r="AG73" s="7"/>
      <c r="AH73" s="7"/>
      <c r="AI73" s="7"/>
      <c r="AJ73" s="7"/>
      <c r="AK73" s="7"/>
      <c r="AL73" s="7"/>
      <c r="AM73" s="7"/>
      <c r="AN73" s="7"/>
      <c r="AO73" s="7"/>
      <c r="AP73" s="7"/>
      <c r="AQ73" s="7"/>
      <c r="AR73" s="7"/>
      <c r="AS73" s="7"/>
      <c r="AT73" s="7"/>
      <c r="AU73" s="7"/>
      <c r="AV73" s="7"/>
      <c r="AW73" s="7"/>
      <c r="AX73" s="7"/>
      <c r="AY73" s="7"/>
      <c r="AZ73" s="7"/>
      <c r="BA73" s="7"/>
      <c r="BB73" s="7"/>
      <c r="BC73" s="7"/>
      <c r="BD73" s="7"/>
      <c r="BE73" s="7"/>
      <c r="BF73" s="7"/>
      <c r="BG73" s="7"/>
      <c r="BH73" s="7"/>
      <c r="BI73" s="7"/>
      <c r="BJ73" s="7"/>
      <c r="BK73" s="51"/>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EE73" s="2"/>
      <c r="EF73" s="2"/>
      <c r="EG73" s="2"/>
      <c r="EH73" s="2"/>
      <c r="EI73" s="2"/>
      <c r="EJ73" s="2"/>
      <c r="EK73" s="2"/>
      <c r="EL73" s="2"/>
      <c r="EM73" s="2"/>
      <c r="EN73" s="2"/>
      <c r="EO73" s="2"/>
      <c r="EP73" s="2"/>
      <c r="EQ73" s="2"/>
      <c r="ER73" s="2"/>
      <c r="ES73" s="2"/>
      <c r="ET73" s="2"/>
      <c r="EU73" s="2"/>
      <c r="EV73" s="2"/>
      <c r="EW73" s="2"/>
      <c r="EX73" s="2"/>
      <c r="EY73" s="2"/>
      <c r="EZ73" s="2"/>
      <c r="FA73" s="2"/>
      <c r="FB73" s="2"/>
      <c r="FC73" s="2"/>
      <c r="FD73" s="2"/>
      <c r="FE73" s="2"/>
      <c r="FF73" s="2"/>
      <c r="FG73" s="2"/>
      <c r="FH73" s="2"/>
      <c r="FI73" s="2"/>
      <c r="FJ73" s="2"/>
      <c r="FK73" s="2"/>
      <c r="FL73" s="2"/>
      <c r="FM73" s="2"/>
      <c r="FN73" s="2"/>
      <c r="FO73" s="2"/>
      <c r="FP73" s="2"/>
      <c r="FQ73" s="2"/>
      <c r="FR73" s="2"/>
      <c r="FS73" s="2"/>
      <c r="FT73" s="2"/>
      <c r="FU73" s="2"/>
      <c r="FV73" s="2"/>
      <c r="FW73" s="2"/>
      <c r="FX73" s="2"/>
      <c r="FY73" s="2"/>
      <c r="FZ73" s="2"/>
      <c r="GA73" s="2"/>
      <c r="GB73" s="2"/>
      <c r="GC73" s="2"/>
      <c r="GD73" s="2"/>
      <c r="GE73" s="2"/>
      <c r="GF73" s="2"/>
      <c r="GG73" s="2"/>
      <c r="GH73" s="2"/>
      <c r="GI73" s="2"/>
      <c r="GJ73" s="2"/>
      <c r="GK73" s="2"/>
      <c r="GL73" s="2"/>
      <c r="GM73" s="2"/>
      <c r="GN73" s="2"/>
      <c r="GO73" s="2"/>
      <c r="GP73" s="2"/>
      <c r="GQ73" s="2"/>
      <c r="GR73" s="2"/>
      <c r="GS73" s="2"/>
      <c r="GT73" s="2"/>
      <c r="GU73" s="2"/>
      <c r="GV73" s="2"/>
      <c r="GW73" s="2"/>
    </row>
    <row r="74" spans="1:205" s="5" customFormat="1" ht="15.6" x14ac:dyDescent="0.3">
      <c r="A74" s="60" t="s">
        <v>237</v>
      </c>
      <c r="B74" s="23" t="s">
        <v>238</v>
      </c>
      <c r="C74" s="37">
        <v>3</v>
      </c>
      <c r="D74" s="31" t="s">
        <v>99</v>
      </c>
      <c r="E74" s="30"/>
      <c r="F74" s="102">
        <v>45015</v>
      </c>
      <c r="G74" s="29">
        <v>21</v>
      </c>
      <c r="H74" s="102">
        <f t="shared" si="7"/>
        <v>45043</v>
      </c>
      <c r="I74" s="71">
        <v>0</v>
      </c>
      <c r="J74"/>
      <c r="K74" s="50"/>
      <c r="L74" s="4"/>
      <c r="M74" s="4"/>
      <c r="N74" s="4"/>
      <c r="O74" s="4"/>
      <c r="P74" s="4"/>
      <c r="Q74" s="4"/>
      <c r="R74" s="4"/>
      <c r="S74" s="4"/>
      <c r="T74" s="4"/>
      <c r="U74" s="4"/>
      <c r="V74" s="4"/>
      <c r="W74" s="4"/>
      <c r="X74" s="4"/>
      <c r="Y74" s="4"/>
      <c r="Z74" s="4"/>
      <c r="AA74" s="4"/>
      <c r="AB74" s="7"/>
      <c r="AC74" s="7"/>
      <c r="AD74" s="7"/>
      <c r="AE74" s="7"/>
      <c r="AF74" s="7"/>
      <c r="AG74" s="7"/>
      <c r="AH74" s="7"/>
      <c r="AI74" s="7"/>
      <c r="AJ74" s="7"/>
      <c r="AK74" s="7"/>
      <c r="AL74" s="7"/>
      <c r="AM74" s="7"/>
      <c r="AN74" s="7"/>
      <c r="AO74" s="7"/>
      <c r="AP74" s="7"/>
      <c r="AQ74" s="7"/>
      <c r="AR74" s="7"/>
      <c r="AS74" s="7"/>
      <c r="AT74" s="7"/>
      <c r="AU74" s="7"/>
      <c r="AV74" s="7"/>
      <c r="AW74" s="7"/>
      <c r="AX74" s="7"/>
      <c r="AY74" s="7"/>
      <c r="AZ74" s="7"/>
      <c r="BA74" s="7"/>
      <c r="BB74" s="7"/>
      <c r="BC74" s="7"/>
      <c r="BD74" s="7"/>
      <c r="BE74" s="7"/>
      <c r="BF74" s="7"/>
      <c r="BG74" s="7"/>
      <c r="BH74" s="7"/>
      <c r="BI74" s="7"/>
      <c r="BJ74" s="7"/>
      <c r="BK74" s="51"/>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c r="DO74" s="2"/>
      <c r="DP74" s="2"/>
      <c r="DQ74" s="2"/>
      <c r="DR74" s="2"/>
      <c r="DS74" s="2"/>
      <c r="DT74" s="2"/>
      <c r="DU74" s="2"/>
      <c r="DV74" s="2"/>
      <c r="DW74" s="2"/>
      <c r="DX74" s="2"/>
      <c r="DY74" s="2"/>
      <c r="DZ74" s="2"/>
      <c r="EA74" s="2"/>
      <c r="EB74" s="2"/>
      <c r="EC74" s="2"/>
      <c r="ED74" s="2"/>
      <c r="EE74" s="2"/>
      <c r="EF74" s="2"/>
      <c r="EG74" s="2"/>
      <c r="EH74" s="2"/>
      <c r="EI74" s="2"/>
      <c r="EJ74" s="2"/>
      <c r="EK74" s="2"/>
      <c r="EL74" s="2"/>
      <c r="EM74" s="2"/>
      <c r="EN74" s="2"/>
      <c r="EO74" s="2"/>
      <c r="EP74" s="2"/>
      <c r="EQ74" s="2"/>
      <c r="ER74" s="2"/>
      <c r="ES74" s="2"/>
      <c r="ET74" s="2"/>
      <c r="EU74" s="2"/>
      <c r="EV74" s="2"/>
      <c r="EW74" s="2"/>
      <c r="EX74" s="2"/>
      <c r="EY74" s="2"/>
      <c r="EZ74" s="2"/>
      <c r="FA74" s="2"/>
      <c r="FB74" s="2"/>
      <c r="FC74" s="2"/>
      <c r="FD74" s="2"/>
      <c r="FE74" s="2"/>
      <c r="FF74" s="2"/>
      <c r="FG74" s="2"/>
      <c r="FH74" s="2"/>
      <c r="FI74" s="2"/>
      <c r="FJ74" s="2"/>
      <c r="FK74" s="2"/>
      <c r="FL74" s="2"/>
      <c r="FM74" s="2"/>
      <c r="FN74" s="2"/>
      <c r="FO74" s="2"/>
      <c r="FP74" s="2"/>
      <c r="FQ74" s="2"/>
      <c r="FR74" s="2"/>
      <c r="FS74" s="2"/>
      <c r="FT74" s="2"/>
      <c r="FU74" s="2"/>
      <c r="FV74" s="2"/>
      <c r="FW74" s="2"/>
      <c r="FX74" s="2"/>
      <c r="FY74" s="2"/>
      <c r="FZ74" s="2"/>
      <c r="GA74" s="2"/>
      <c r="GB74" s="2"/>
      <c r="GC74" s="2"/>
      <c r="GD74" s="2"/>
      <c r="GE74" s="2"/>
      <c r="GF74" s="2"/>
      <c r="GG74" s="2"/>
      <c r="GH74" s="2"/>
      <c r="GI74" s="2"/>
      <c r="GJ74" s="2"/>
      <c r="GK74" s="2"/>
      <c r="GL74" s="2"/>
      <c r="GM74" s="2"/>
      <c r="GN74" s="2"/>
      <c r="GO74" s="2"/>
      <c r="GP74" s="2"/>
      <c r="GQ74" s="2"/>
      <c r="GR74" s="2"/>
      <c r="GS74" s="2"/>
      <c r="GT74" s="2"/>
      <c r="GU74" s="2"/>
      <c r="GV74" s="2"/>
      <c r="GW74" s="2"/>
    </row>
    <row r="75" spans="1:205" s="5" customFormat="1" ht="15.6" x14ac:dyDescent="0.3">
      <c r="A75" s="60" t="s">
        <v>239</v>
      </c>
      <c r="B75" s="23" t="s">
        <v>240</v>
      </c>
      <c r="C75" s="37">
        <v>3</v>
      </c>
      <c r="D75" s="31" t="s">
        <v>102</v>
      </c>
      <c r="E75" s="30"/>
      <c r="F75" s="102">
        <v>45015</v>
      </c>
      <c r="G75" s="29">
        <v>21</v>
      </c>
      <c r="H75" s="102">
        <f t="shared" si="7"/>
        <v>45043</v>
      </c>
      <c r="I75" s="71">
        <v>0</v>
      </c>
      <c r="J75"/>
      <c r="K75" s="50"/>
      <c r="L75" s="4"/>
      <c r="M75" s="4"/>
      <c r="N75" s="4"/>
      <c r="O75" s="4"/>
      <c r="P75" s="4"/>
      <c r="Q75" s="4"/>
      <c r="R75" s="4"/>
      <c r="S75" s="4"/>
      <c r="T75" s="4"/>
      <c r="U75" s="4"/>
      <c r="V75" s="4"/>
      <c r="W75" s="4"/>
      <c r="X75" s="4"/>
      <c r="Y75" s="4"/>
      <c r="Z75" s="4"/>
      <c r="AA75" s="4"/>
      <c r="AB75" s="7"/>
      <c r="AC75" s="7"/>
      <c r="AD75" s="7"/>
      <c r="AE75" s="7"/>
      <c r="AF75" s="7"/>
      <c r="AG75" s="7"/>
      <c r="AH75" s="7"/>
      <c r="AI75" s="7"/>
      <c r="AJ75" s="7"/>
      <c r="AK75" s="7"/>
      <c r="AL75" s="7"/>
      <c r="AM75" s="7"/>
      <c r="AN75" s="7"/>
      <c r="AO75" s="7"/>
      <c r="AP75" s="7"/>
      <c r="AQ75" s="7"/>
      <c r="AR75" s="7"/>
      <c r="AS75" s="7"/>
      <c r="AT75" s="7"/>
      <c r="AU75" s="7"/>
      <c r="AV75" s="7"/>
      <c r="AW75" s="7"/>
      <c r="AX75" s="7"/>
      <c r="AY75" s="7"/>
      <c r="AZ75" s="7"/>
      <c r="BA75" s="7"/>
      <c r="BB75" s="7"/>
      <c r="BC75" s="7"/>
      <c r="BD75" s="7"/>
      <c r="BE75" s="7"/>
      <c r="BF75" s="7"/>
      <c r="BG75" s="7"/>
      <c r="BH75" s="7"/>
      <c r="BI75" s="7"/>
      <c r="BJ75" s="7"/>
      <c r="BK75" s="51"/>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c r="DO75" s="2"/>
      <c r="DP75" s="2"/>
      <c r="DQ75" s="2"/>
      <c r="DR75" s="2"/>
      <c r="DS75" s="2"/>
      <c r="DT75" s="2"/>
      <c r="DU75" s="2"/>
      <c r="DV75" s="2"/>
      <c r="DW75" s="2"/>
      <c r="DX75" s="2"/>
      <c r="DY75" s="2"/>
      <c r="DZ75" s="2"/>
      <c r="EA75" s="2"/>
      <c r="EB75" s="2"/>
      <c r="EC75" s="2"/>
      <c r="ED75" s="2"/>
      <c r="EE75" s="2"/>
      <c r="EF75" s="2"/>
      <c r="EG75" s="2"/>
      <c r="EH75" s="2"/>
      <c r="EI75" s="2"/>
      <c r="EJ75" s="2"/>
      <c r="EK75" s="2"/>
      <c r="EL75" s="2"/>
      <c r="EM75" s="2"/>
      <c r="EN75" s="2"/>
      <c r="EO75" s="2"/>
      <c r="EP75" s="2"/>
      <c r="EQ75" s="2"/>
      <c r="ER75" s="2"/>
      <c r="ES75" s="2"/>
      <c r="ET75" s="2"/>
      <c r="EU75" s="2"/>
      <c r="EV75" s="2"/>
      <c r="EW75" s="2"/>
      <c r="EX75" s="2"/>
      <c r="EY75" s="2"/>
      <c r="EZ75" s="2"/>
      <c r="FA75" s="2"/>
      <c r="FB75" s="2"/>
      <c r="FC75" s="2"/>
      <c r="FD75" s="2"/>
      <c r="FE75" s="2"/>
      <c r="FF75" s="2"/>
      <c r="FG75" s="2"/>
      <c r="FH75" s="2"/>
      <c r="FI75" s="2"/>
      <c r="FJ75" s="2"/>
      <c r="FK75" s="2"/>
      <c r="FL75" s="2"/>
      <c r="FM75" s="2"/>
      <c r="FN75" s="2"/>
      <c r="FO75" s="2"/>
      <c r="FP75" s="2"/>
      <c r="FQ75" s="2"/>
      <c r="FR75" s="2"/>
      <c r="FS75" s="2"/>
      <c r="FT75" s="2"/>
      <c r="FU75" s="2"/>
      <c r="FV75" s="2"/>
      <c r="FW75" s="2"/>
      <c r="FX75" s="2"/>
      <c r="FY75" s="2"/>
      <c r="FZ75" s="2"/>
      <c r="GA75" s="2"/>
      <c r="GB75" s="2"/>
      <c r="GC75" s="2"/>
      <c r="GD75" s="2"/>
      <c r="GE75" s="2"/>
      <c r="GF75" s="2"/>
      <c r="GG75" s="2"/>
      <c r="GH75" s="2"/>
      <c r="GI75" s="2"/>
      <c r="GJ75" s="2"/>
      <c r="GK75" s="2"/>
      <c r="GL75" s="2"/>
      <c r="GM75" s="2"/>
      <c r="GN75" s="2"/>
      <c r="GO75" s="2"/>
      <c r="GP75" s="2"/>
      <c r="GQ75" s="2"/>
      <c r="GR75" s="2"/>
      <c r="GS75" s="2"/>
      <c r="GT75" s="2"/>
      <c r="GU75" s="2"/>
      <c r="GV75" s="2"/>
      <c r="GW75" s="2"/>
    </row>
    <row r="76" spans="1:205" s="5" customFormat="1" ht="15.6" x14ac:dyDescent="0.3">
      <c r="A76" s="60" t="s">
        <v>241</v>
      </c>
      <c r="B76" s="23" t="s">
        <v>242</v>
      </c>
      <c r="C76" s="37">
        <v>3</v>
      </c>
      <c r="D76" s="31" t="s">
        <v>105</v>
      </c>
      <c r="E76" s="30"/>
      <c r="F76" s="102">
        <v>45015</v>
      </c>
      <c r="G76" s="29">
        <v>21</v>
      </c>
      <c r="H76" s="102">
        <f t="shared" si="7"/>
        <v>45043</v>
      </c>
      <c r="I76" s="71">
        <v>0</v>
      </c>
      <c r="J76"/>
      <c r="K76" s="50"/>
      <c r="L76" s="4"/>
      <c r="M76" s="4"/>
      <c r="N76" s="4"/>
      <c r="O76" s="4"/>
      <c r="P76" s="4"/>
      <c r="Q76" s="4"/>
      <c r="R76" s="4"/>
      <c r="S76" s="4"/>
      <c r="T76" s="4"/>
      <c r="U76" s="4"/>
      <c r="V76" s="4"/>
      <c r="W76" s="4"/>
      <c r="X76" s="4"/>
      <c r="Y76" s="4"/>
      <c r="Z76" s="4"/>
      <c r="AA76" s="4"/>
      <c r="AB76" s="7"/>
      <c r="AC76" s="7"/>
      <c r="AD76" s="7"/>
      <c r="AE76" s="7"/>
      <c r="AF76" s="7"/>
      <c r="AG76" s="7"/>
      <c r="AH76" s="7"/>
      <c r="AI76" s="7"/>
      <c r="AJ76" s="7"/>
      <c r="AK76" s="7"/>
      <c r="AL76" s="7"/>
      <c r="AM76" s="7"/>
      <c r="AN76" s="7"/>
      <c r="AO76" s="7"/>
      <c r="AP76" s="7"/>
      <c r="AQ76" s="7"/>
      <c r="AR76" s="7"/>
      <c r="AS76" s="7"/>
      <c r="AT76" s="7"/>
      <c r="AU76" s="7"/>
      <c r="AV76" s="7"/>
      <c r="AW76" s="7"/>
      <c r="AX76" s="7"/>
      <c r="AY76" s="7"/>
      <c r="AZ76" s="7"/>
      <c r="BA76" s="7"/>
      <c r="BB76" s="7"/>
      <c r="BC76" s="7"/>
      <c r="BD76" s="7"/>
      <c r="BE76" s="7"/>
      <c r="BF76" s="7"/>
      <c r="BG76" s="7"/>
      <c r="BH76" s="7"/>
      <c r="BI76" s="7"/>
      <c r="BJ76" s="7"/>
      <c r="BK76" s="51"/>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2"/>
      <c r="DT76" s="2"/>
      <c r="DU76" s="2"/>
      <c r="DV76" s="2"/>
      <c r="DW76" s="2"/>
      <c r="DX76" s="2"/>
      <c r="DY76" s="2"/>
      <c r="DZ76" s="2"/>
      <c r="EA76" s="2"/>
      <c r="EB76" s="2"/>
      <c r="EC76" s="2"/>
      <c r="ED76" s="2"/>
      <c r="EE76" s="2"/>
      <c r="EF76" s="2"/>
      <c r="EG76" s="2"/>
      <c r="EH76" s="2"/>
      <c r="EI76" s="2"/>
      <c r="EJ76" s="2"/>
      <c r="EK76" s="2"/>
      <c r="EL76" s="2"/>
      <c r="EM76" s="2"/>
      <c r="EN76" s="2"/>
      <c r="EO76" s="2"/>
      <c r="EP76" s="2"/>
      <c r="EQ76" s="2"/>
      <c r="ER76" s="2"/>
      <c r="ES76" s="2"/>
      <c r="ET76" s="2"/>
      <c r="EU76" s="2"/>
      <c r="EV76" s="2"/>
      <c r="EW76" s="2"/>
      <c r="EX76" s="2"/>
      <c r="EY76" s="2"/>
      <c r="EZ76" s="2"/>
      <c r="FA76" s="2"/>
      <c r="FB76" s="2"/>
      <c r="FC76" s="2"/>
      <c r="FD76" s="2"/>
      <c r="FE76" s="2"/>
      <c r="FF76" s="2"/>
      <c r="FG76" s="2"/>
      <c r="FH76" s="2"/>
      <c r="FI76" s="2"/>
      <c r="FJ76" s="2"/>
      <c r="FK76" s="2"/>
      <c r="FL76" s="2"/>
      <c r="FM76" s="2"/>
      <c r="FN76" s="2"/>
      <c r="FO76" s="2"/>
      <c r="FP76" s="2"/>
      <c r="FQ76" s="2"/>
      <c r="FR76" s="2"/>
      <c r="FS76" s="2"/>
      <c r="FT76" s="2"/>
      <c r="FU76" s="2"/>
      <c r="FV76" s="2"/>
      <c r="FW76" s="2"/>
      <c r="FX76" s="2"/>
      <c r="FY76" s="2"/>
      <c r="FZ76" s="2"/>
      <c r="GA76" s="2"/>
      <c r="GB76" s="2"/>
      <c r="GC76" s="2"/>
      <c r="GD76" s="2"/>
      <c r="GE76" s="2"/>
      <c r="GF76" s="2"/>
      <c r="GG76" s="2"/>
      <c r="GH76" s="2"/>
      <c r="GI76" s="2"/>
      <c r="GJ76" s="2"/>
      <c r="GK76" s="2"/>
      <c r="GL76" s="2"/>
      <c r="GM76" s="2"/>
      <c r="GN76" s="2"/>
      <c r="GO76" s="2"/>
      <c r="GP76" s="2"/>
      <c r="GQ76" s="2"/>
      <c r="GR76" s="2"/>
      <c r="GS76" s="2"/>
      <c r="GT76" s="2"/>
      <c r="GU76" s="2"/>
      <c r="GV76" s="2"/>
      <c r="GW76" s="2"/>
    </row>
    <row r="77" spans="1:205" s="5" customFormat="1" ht="28.8" x14ac:dyDescent="0.3">
      <c r="A77" s="60" t="s">
        <v>243</v>
      </c>
      <c r="B77" s="23" t="s">
        <v>244</v>
      </c>
      <c r="C77" s="37">
        <v>3</v>
      </c>
      <c r="D77" s="31" t="s">
        <v>93</v>
      </c>
      <c r="E77" s="30"/>
      <c r="F77" s="102">
        <v>45015</v>
      </c>
      <c r="G77" s="29">
        <v>21</v>
      </c>
      <c r="H77" s="102">
        <f t="shared" si="7"/>
        <v>45043</v>
      </c>
      <c r="I77" s="71">
        <v>0</v>
      </c>
      <c r="J77"/>
      <c r="K77" s="50"/>
      <c r="L77" s="4"/>
      <c r="M77" s="4"/>
      <c r="N77" s="4"/>
      <c r="O77" s="4"/>
      <c r="P77" s="4"/>
      <c r="Q77" s="4"/>
      <c r="R77" s="4"/>
      <c r="S77" s="4"/>
      <c r="T77" s="4"/>
      <c r="U77" s="4"/>
      <c r="V77" s="4"/>
      <c r="W77" s="4"/>
      <c r="X77" s="4"/>
      <c r="Y77" s="4"/>
      <c r="Z77" s="4"/>
      <c r="AA77" s="4"/>
      <c r="AB77" s="7"/>
      <c r="AC77" s="7"/>
      <c r="AD77" s="7"/>
      <c r="AE77" s="7"/>
      <c r="AF77" s="7"/>
      <c r="AG77" s="7"/>
      <c r="AH77" s="7"/>
      <c r="AI77" s="7"/>
      <c r="AJ77" s="7"/>
      <c r="AK77" s="7"/>
      <c r="AL77" s="7"/>
      <c r="AM77" s="7"/>
      <c r="AN77" s="7"/>
      <c r="AO77" s="7"/>
      <c r="AP77" s="7"/>
      <c r="AQ77" s="7"/>
      <c r="AR77" s="7"/>
      <c r="AS77" s="7"/>
      <c r="AT77" s="7"/>
      <c r="AU77" s="7"/>
      <c r="AV77" s="7"/>
      <c r="AW77" s="7"/>
      <c r="AX77" s="7"/>
      <c r="AY77" s="7"/>
      <c r="AZ77" s="7"/>
      <c r="BA77" s="7"/>
      <c r="BB77" s="7"/>
      <c r="BC77" s="7"/>
      <c r="BD77" s="7"/>
      <c r="BE77" s="7"/>
      <c r="BF77" s="7"/>
      <c r="BG77" s="7"/>
      <c r="BH77" s="7"/>
      <c r="BI77" s="7"/>
      <c r="BJ77" s="7"/>
      <c r="BK77" s="51"/>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2"/>
      <c r="DT77" s="2"/>
      <c r="DU77" s="2"/>
      <c r="DV77" s="2"/>
      <c r="DW77" s="2"/>
      <c r="DX77" s="2"/>
      <c r="DY77" s="2"/>
      <c r="DZ77" s="2"/>
      <c r="EA77" s="2"/>
      <c r="EB77" s="2"/>
      <c r="EC77" s="2"/>
      <c r="ED77" s="2"/>
      <c r="EE77" s="2"/>
      <c r="EF77" s="2"/>
      <c r="EG77" s="2"/>
      <c r="EH77" s="2"/>
      <c r="EI77" s="2"/>
      <c r="EJ77" s="2"/>
      <c r="EK77" s="2"/>
      <c r="EL77" s="2"/>
      <c r="EM77" s="2"/>
      <c r="EN77" s="2"/>
      <c r="EO77" s="2"/>
      <c r="EP77" s="2"/>
      <c r="EQ77" s="2"/>
      <c r="ER77" s="2"/>
      <c r="ES77" s="2"/>
      <c r="ET77" s="2"/>
      <c r="EU77" s="2"/>
      <c r="EV77" s="2"/>
      <c r="EW77" s="2"/>
      <c r="EX77" s="2"/>
      <c r="EY77" s="2"/>
      <c r="EZ77" s="2"/>
      <c r="FA77" s="2"/>
      <c r="FB77" s="2"/>
      <c r="FC77" s="2"/>
      <c r="FD77" s="2"/>
      <c r="FE77" s="2"/>
      <c r="FF77" s="2"/>
      <c r="FG77" s="2"/>
      <c r="FH77" s="2"/>
      <c r="FI77" s="2"/>
      <c r="FJ77" s="2"/>
      <c r="FK77" s="2"/>
      <c r="FL77" s="2"/>
      <c r="FM77" s="2"/>
      <c r="FN77" s="2"/>
      <c r="FO77" s="2"/>
      <c r="FP77" s="2"/>
      <c r="FQ77" s="2"/>
      <c r="FR77" s="2"/>
      <c r="FS77" s="2"/>
      <c r="FT77" s="2"/>
      <c r="FU77" s="2"/>
      <c r="FV77" s="2"/>
      <c r="FW77" s="2"/>
      <c r="FX77" s="2"/>
      <c r="FY77" s="2"/>
      <c r="FZ77" s="2"/>
      <c r="GA77" s="2"/>
      <c r="GB77" s="2"/>
      <c r="GC77" s="2"/>
      <c r="GD77" s="2"/>
      <c r="GE77" s="2"/>
      <c r="GF77" s="2"/>
      <c r="GG77" s="2"/>
      <c r="GH77" s="2"/>
      <c r="GI77" s="2"/>
      <c r="GJ77" s="2"/>
      <c r="GK77" s="2"/>
      <c r="GL77" s="2"/>
      <c r="GM77" s="2"/>
      <c r="GN77" s="2"/>
      <c r="GO77" s="2"/>
      <c r="GP77" s="2"/>
      <c r="GQ77" s="2"/>
      <c r="GR77" s="2"/>
      <c r="GS77" s="2"/>
      <c r="GT77" s="2"/>
      <c r="GU77" s="2"/>
      <c r="GV77" s="2"/>
      <c r="GW77" s="2"/>
    </row>
    <row r="78" spans="1:205" s="5" customFormat="1" ht="15.6" x14ac:dyDescent="0.3">
      <c r="A78" s="60" t="s">
        <v>245</v>
      </c>
      <c r="B78" s="23" t="s">
        <v>246</v>
      </c>
      <c r="C78" s="37">
        <v>3</v>
      </c>
      <c r="D78" s="31" t="s">
        <v>143</v>
      </c>
      <c r="E78" s="30"/>
      <c r="F78" s="102">
        <v>45015</v>
      </c>
      <c r="G78" s="29">
        <v>10</v>
      </c>
      <c r="H78" s="102">
        <f t="shared" si="7"/>
        <v>45028</v>
      </c>
      <c r="I78" s="71">
        <v>0</v>
      </c>
      <c r="J78"/>
      <c r="K78" s="50"/>
      <c r="L78" s="4"/>
      <c r="M78" s="4"/>
      <c r="N78" s="4"/>
      <c r="O78" s="4"/>
      <c r="P78" s="4"/>
      <c r="Q78" s="4"/>
      <c r="R78" s="4"/>
      <c r="S78" s="4"/>
      <c r="T78" s="4"/>
      <c r="U78" s="4"/>
      <c r="V78" s="4"/>
      <c r="W78" s="4"/>
      <c r="X78" s="4"/>
      <c r="Y78" s="4"/>
      <c r="Z78" s="4"/>
      <c r="AA78" s="4"/>
      <c r="AB78" s="7"/>
      <c r="AC78" s="7"/>
      <c r="AD78" s="7"/>
      <c r="AE78" s="7"/>
      <c r="AF78" s="7"/>
      <c r="AG78" s="7"/>
      <c r="AH78" s="7"/>
      <c r="AI78" s="7"/>
      <c r="AJ78" s="7"/>
      <c r="AK78" s="7"/>
      <c r="AL78" s="7"/>
      <c r="AM78" s="7"/>
      <c r="AN78" s="7"/>
      <c r="AO78" s="7"/>
      <c r="AP78" s="7"/>
      <c r="AQ78" s="7"/>
      <c r="AR78" s="7"/>
      <c r="AS78" s="7"/>
      <c r="AT78" s="7"/>
      <c r="AU78" s="7"/>
      <c r="AV78" s="7"/>
      <c r="AW78" s="7"/>
      <c r="AX78" s="7"/>
      <c r="AY78" s="7"/>
      <c r="AZ78" s="7"/>
      <c r="BA78" s="7"/>
      <c r="BB78" s="7"/>
      <c r="BC78" s="7"/>
      <c r="BD78" s="7"/>
      <c r="BE78" s="7"/>
      <c r="BF78" s="7"/>
      <c r="BG78" s="7"/>
      <c r="BH78" s="7"/>
      <c r="BI78" s="7"/>
      <c r="BJ78" s="7"/>
      <c r="BK78" s="51"/>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c r="DO78" s="2"/>
      <c r="DP78" s="2"/>
      <c r="DQ78" s="2"/>
      <c r="DR78" s="2"/>
      <c r="DS78" s="2"/>
      <c r="DT78" s="2"/>
      <c r="DU78" s="2"/>
      <c r="DV78" s="2"/>
      <c r="DW78" s="2"/>
      <c r="DX78" s="2"/>
      <c r="DY78" s="2"/>
      <c r="DZ78" s="2"/>
      <c r="EA78" s="2"/>
      <c r="EB78" s="2"/>
      <c r="EC78" s="2"/>
      <c r="ED78" s="2"/>
      <c r="EE78" s="2"/>
      <c r="EF78" s="2"/>
      <c r="EG78" s="2"/>
      <c r="EH78" s="2"/>
      <c r="EI78" s="2"/>
      <c r="EJ78" s="2"/>
      <c r="EK78" s="2"/>
      <c r="EL78" s="2"/>
      <c r="EM78" s="2"/>
      <c r="EN78" s="2"/>
      <c r="EO78" s="2"/>
      <c r="EP78" s="2"/>
      <c r="EQ78" s="2"/>
      <c r="ER78" s="2"/>
      <c r="ES78" s="2"/>
      <c r="ET78" s="2"/>
      <c r="EU78" s="2"/>
      <c r="EV78" s="2"/>
      <c r="EW78" s="2"/>
      <c r="EX78" s="2"/>
      <c r="EY78" s="2"/>
      <c r="EZ78" s="2"/>
      <c r="FA78" s="2"/>
      <c r="FB78" s="2"/>
      <c r="FC78" s="2"/>
      <c r="FD78" s="2"/>
      <c r="FE78" s="2"/>
      <c r="FF78" s="2"/>
      <c r="FG78" s="2"/>
      <c r="FH78" s="2"/>
      <c r="FI78" s="2"/>
      <c r="FJ78" s="2"/>
      <c r="FK78" s="2"/>
      <c r="FL78" s="2"/>
      <c r="FM78" s="2"/>
      <c r="FN78" s="2"/>
      <c r="FO78" s="2"/>
      <c r="FP78" s="2"/>
      <c r="FQ78" s="2"/>
      <c r="FR78" s="2"/>
      <c r="FS78" s="2"/>
      <c r="FT78" s="2"/>
      <c r="FU78" s="2"/>
      <c r="FV78" s="2"/>
      <c r="FW78" s="2"/>
      <c r="FX78" s="2"/>
      <c r="FY78" s="2"/>
      <c r="FZ78" s="2"/>
      <c r="GA78" s="2"/>
      <c r="GB78" s="2"/>
      <c r="GC78" s="2"/>
      <c r="GD78" s="2"/>
      <c r="GE78" s="2"/>
      <c r="GF78" s="2"/>
      <c r="GG78" s="2"/>
      <c r="GH78" s="2"/>
      <c r="GI78" s="2"/>
      <c r="GJ78" s="2"/>
      <c r="GK78" s="2"/>
      <c r="GL78" s="2"/>
      <c r="GM78" s="2"/>
      <c r="GN78" s="2"/>
      <c r="GO78" s="2"/>
      <c r="GP78" s="2"/>
      <c r="GQ78" s="2"/>
      <c r="GR78" s="2"/>
      <c r="GS78" s="2"/>
      <c r="GT78" s="2"/>
      <c r="GU78" s="2"/>
      <c r="GV78" s="2"/>
      <c r="GW78" s="2"/>
    </row>
    <row r="79" spans="1:205" s="5" customFormat="1" ht="15.6" x14ac:dyDescent="0.3">
      <c r="A79" s="60" t="s">
        <v>247</v>
      </c>
      <c r="B79" s="23" t="s">
        <v>248</v>
      </c>
      <c r="C79" s="37">
        <v>3</v>
      </c>
      <c r="D79" s="31" t="s">
        <v>180</v>
      </c>
      <c r="E79" s="30" t="s">
        <v>249</v>
      </c>
      <c r="F79" s="102">
        <v>45015</v>
      </c>
      <c r="G79" s="29">
        <v>11</v>
      </c>
      <c r="H79" s="102">
        <f t="shared" si="7"/>
        <v>45029</v>
      </c>
      <c r="I79" s="71">
        <v>0</v>
      </c>
      <c r="J79"/>
      <c r="K79" s="50"/>
      <c r="L79" s="4"/>
      <c r="M79" s="4"/>
      <c r="N79" s="4"/>
      <c r="O79" s="4"/>
      <c r="P79" s="4"/>
      <c r="Q79" s="4"/>
      <c r="R79" s="4"/>
      <c r="S79" s="4"/>
      <c r="T79" s="4"/>
      <c r="U79" s="4"/>
      <c r="V79" s="4"/>
      <c r="W79" s="4"/>
      <c r="X79" s="4"/>
      <c r="Y79" s="4"/>
      <c r="Z79" s="4"/>
      <c r="AA79" s="4"/>
      <c r="AB79" s="7"/>
      <c r="AC79" s="7"/>
      <c r="AD79" s="7"/>
      <c r="AE79" s="7"/>
      <c r="AF79" s="7"/>
      <c r="AG79" s="7"/>
      <c r="AH79" s="7"/>
      <c r="AI79" s="7"/>
      <c r="AJ79" s="7"/>
      <c r="AK79" s="7"/>
      <c r="AL79" s="7"/>
      <c r="AM79" s="7"/>
      <c r="AN79" s="7"/>
      <c r="AO79" s="7"/>
      <c r="AP79" s="7"/>
      <c r="AQ79" s="7"/>
      <c r="AR79" s="7"/>
      <c r="AS79" s="7"/>
      <c r="AT79" s="7"/>
      <c r="AU79" s="7"/>
      <c r="AV79" s="7"/>
      <c r="AW79" s="7"/>
      <c r="AX79" s="7"/>
      <c r="AY79" s="7"/>
      <c r="AZ79" s="7"/>
      <c r="BA79" s="7"/>
      <c r="BB79" s="7"/>
      <c r="BC79" s="7"/>
      <c r="BD79" s="7"/>
      <c r="BE79" s="7"/>
      <c r="BF79" s="7"/>
      <c r="BG79" s="7"/>
      <c r="BH79" s="7"/>
      <c r="BI79" s="7"/>
      <c r="BJ79" s="7"/>
      <c r="BK79" s="51"/>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c r="DO79" s="2"/>
      <c r="DP79" s="2"/>
      <c r="DQ79" s="2"/>
      <c r="DR79" s="2"/>
      <c r="DS79" s="2"/>
      <c r="DT79" s="2"/>
      <c r="DU79" s="2"/>
      <c r="DV79" s="2"/>
      <c r="DW79" s="2"/>
      <c r="DX79" s="2"/>
      <c r="DY79" s="2"/>
      <c r="DZ79" s="2"/>
      <c r="EA79" s="2"/>
      <c r="EB79" s="2"/>
      <c r="EC79" s="2"/>
      <c r="ED79" s="2"/>
      <c r="EE79" s="2"/>
      <c r="EF79" s="2"/>
      <c r="EG79" s="2"/>
      <c r="EH79" s="2"/>
      <c r="EI79" s="2"/>
      <c r="EJ79" s="2"/>
      <c r="EK79" s="2"/>
      <c r="EL79" s="2"/>
      <c r="EM79" s="2"/>
      <c r="EN79" s="2"/>
      <c r="EO79" s="2"/>
      <c r="EP79" s="2"/>
      <c r="EQ79" s="2"/>
      <c r="ER79" s="2"/>
      <c r="ES79" s="2"/>
      <c r="ET79" s="2"/>
      <c r="EU79" s="2"/>
      <c r="EV79" s="2"/>
      <c r="EW79" s="2"/>
      <c r="EX79" s="2"/>
      <c r="EY79" s="2"/>
      <c r="EZ79" s="2"/>
      <c r="FA79" s="2"/>
      <c r="FB79" s="2"/>
      <c r="FC79" s="2"/>
      <c r="FD79" s="2"/>
      <c r="FE79" s="2"/>
      <c r="FF79" s="2"/>
      <c r="FG79" s="2"/>
      <c r="FH79" s="2"/>
      <c r="FI79" s="2"/>
      <c r="FJ79" s="2"/>
      <c r="FK79" s="2"/>
      <c r="FL79" s="2"/>
      <c r="FM79" s="2"/>
      <c r="FN79" s="2"/>
      <c r="FO79" s="2"/>
      <c r="FP79" s="2"/>
      <c r="FQ79" s="2"/>
      <c r="FR79" s="2"/>
      <c r="FS79" s="2"/>
      <c r="FT79" s="2"/>
      <c r="FU79" s="2"/>
      <c r="FV79" s="2"/>
      <c r="FW79" s="2"/>
      <c r="FX79" s="2"/>
      <c r="FY79" s="2"/>
      <c r="FZ79" s="2"/>
      <c r="GA79" s="2"/>
      <c r="GB79" s="2"/>
      <c r="GC79" s="2"/>
      <c r="GD79" s="2"/>
      <c r="GE79" s="2"/>
      <c r="GF79" s="2"/>
      <c r="GG79" s="2"/>
      <c r="GH79" s="2"/>
      <c r="GI79" s="2"/>
      <c r="GJ79" s="2"/>
      <c r="GK79" s="2"/>
      <c r="GL79" s="2"/>
      <c r="GM79" s="2"/>
      <c r="GN79" s="2"/>
      <c r="GO79" s="2"/>
      <c r="GP79" s="2"/>
      <c r="GQ79" s="2"/>
      <c r="GR79" s="2"/>
      <c r="GS79" s="2"/>
      <c r="GT79" s="2"/>
      <c r="GU79" s="2"/>
      <c r="GV79" s="2"/>
      <c r="GW79" s="2"/>
    </row>
    <row r="80" spans="1:205" s="5" customFormat="1" ht="15.6" x14ac:dyDescent="0.3">
      <c r="A80" s="60" t="s">
        <v>250</v>
      </c>
      <c r="B80" s="23" t="s">
        <v>251</v>
      </c>
      <c r="C80" s="37" t="s">
        <v>252</v>
      </c>
      <c r="D80" s="31" t="s">
        <v>96</v>
      </c>
      <c r="E80" s="30"/>
      <c r="F80" s="102">
        <v>45043</v>
      </c>
      <c r="G80" s="29">
        <v>20</v>
      </c>
      <c r="H80" s="102">
        <f t="shared" si="7"/>
        <v>45070</v>
      </c>
      <c r="I80" s="71">
        <v>0</v>
      </c>
      <c r="J80"/>
      <c r="K80" s="50"/>
      <c r="L80" s="4"/>
      <c r="M80" s="4"/>
      <c r="N80" s="4"/>
      <c r="O80" s="4"/>
      <c r="P80" s="4"/>
      <c r="Q80" s="4"/>
      <c r="R80" s="4"/>
      <c r="S80" s="4"/>
      <c r="T80" s="4"/>
      <c r="U80" s="4"/>
      <c r="V80" s="4"/>
      <c r="W80" s="4"/>
      <c r="X80" s="4"/>
      <c r="Y80" s="4"/>
      <c r="Z80" s="4"/>
      <c r="AA80" s="4"/>
      <c r="AB80" s="7"/>
      <c r="AC80" s="7"/>
      <c r="AD80" s="7"/>
      <c r="AE80" s="7"/>
      <c r="AF80" s="7"/>
      <c r="AG80" s="7"/>
      <c r="AH80" s="7"/>
      <c r="AI80" s="7"/>
      <c r="AJ80" s="7"/>
      <c r="AK80" s="7"/>
      <c r="AL80" s="7"/>
      <c r="AM80" s="7"/>
      <c r="AN80" s="7"/>
      <c r="AO80" s="7"/>
      <c r="AP80" s="7"/>
      <c r="AQ80" s="7"/>
      <c r="AR80" s="7"/>
      <c r="AS80" s="7"/>
      <c r="AT80" s="7"/>
      <c r="AU80" s="7"/>
      <c r="AV80" s="7"/>
      <c r="AW80" s="7"/>
      <c r="AX80" s="7"/>
      <c r="AY80" s="7"/>
      <c r="AZ80" s="7"/>
      <c r="BA80" s="7"/>
      <c r="BB80" s="7"/>
      <c r="BC80" s="7"/>
      <c r="BD80" s="7"/>
      <c r="BE80" s="7"/>
      <c r="BF80" s="7"/>
      <c r="BG80" s="7"/>
      <c r="BH80" s="7"/>
      <c r="BI80" s="7"/>
      <c r="BJ80" s="7"/>
      <c r="BK80" s="51"/>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c r="EI80" s="2"/>
      <c r="EJ80" s="2"/>
      <c r="EK80" s="2"/>
      <c r="EL80" s="2"/>
      <c r="EM80" s="2"/>
      <c r="EN80" s="2"/>
      <c r="EO80" s="2"/>
      <c r="EP80" s="2"/>
      <c r="EQ80" s="2"/>
      <c r="ER80" s="2"/>
      <c r="ES80" s="2"/>
      <c r="ET80" s="2"/>
      <c r="EU80" s="2"/>
      <c r="EV80" s="2"/>
      <c r="EW80" s="2"/>
      <c r="EX80" s="2"/>
      <c r="EY80" s="2"/>
      <c r="EZ80" s="2"/>
      <c r="FA80" s="2"/>
      <c r="FB80" s="2"/>
      <c r="FC80" s="2"/>
      <c r="FD80" s="2"/>
      <c r="FE80" s="2"/>
      <c r="FF80" s="2"/>
      <c r="FG80" s="2"/>
      <c r="FH80" s="2"/>
      <c r="FI80" s="2"/>
      <c r="FJ80" s="2"/>
      <c r="FK80" s="2"/>
      <c r="FL80" s="2"/>
      <c r="FM80" s="2"/>
      <c r="FN80" s="2"/>
      <c r="FO80" s="2"/>
      <c r="FP80" s="2"/>
      <c r="FQ80" s="2"/>
      <c r="FR80" s="2"/>
      <c r="FS80" s="2"/>
      <c r="FT80" s="2"/>
      <c r="FU80" s="2"/>
      <c r="FV80" s="2"/>
      <c r="FW80" s="2"/>
      <c r="FX80" s="2"/>
      <c r="FY80" s="2"/>
      <c r="FZ80" s="2"/>
      <c r="GA80" s="2"/>
      <c r="GB80" s="2"/>
      <c r="GC80" s="2"/>
      <c r="GD80" s="2"/>
      <c r="GE80" s="2"/>
      <c r="GF80" s="2"/>
      <c r="GG80" s="2"/>
      <c r="GH80" s="2"/>
      <c r="GI80" s="2"/>
      <c r="GJ80" s="2"/>
      <c r="GK80" s="2"/>
      <c r="GL80" s="2"/>
      <c r="GM80" s="2"/>
      <c r="GN80" s="2"/>
      <c r="GO80" s="2"/>
      <c r="GP80" s="2"/>
      <c r="GQ80" s="2"/>
      <c r="GR80" s="2"/>
      <c r="GS80" s="2"/>
      <c r="GT80" s="2"/>
      <c r="GU80" s="2"/>
      <c r="GV80" s="2"/>
      <c r="GW80" s="2"/>
    </row>
    <row r="81" spans="1:205" s="5" customFormat="1" ht="15.6" x14ac:dyDescent="0.3">
      <c r="A81" s="60" t="s">
        <v>253</v>
      </c>
      <c r="B81" s="23" t="s">
        <v>251</v>
      </c>
      <c r="C81" s="37" t="s">
        <v>252</v>
      </c>
      <c r="D81" s="31" t="s">
        <v>99</v>
      </c>
      <c r="E81" s="30"/>
      <c r="F81" s="102">
        <v>45043</v>
      </c>
      <c r="G81" s="29">
        <v>20</v>
      </c>
      <c r="H81" s="102">
        <f t="shared" si="7"/>
        <v>45070</v>
      </c>
      <c r="I81" s="71">
        <v>0</v>
      </c>
      <c r="J81"/>
      <c r="K81" s="50"/>
      <c r="L81" s="4"/>
      <c r="M81" s="4"/>
      <c r="N81" s="4"/>
      <c r="O81" s="4"/>
      <c r="P81" s="4"/>
      <c r="Q81" s="4"/>
      <c r="R81" s="4"/>
      <c r="S81" s="4"/>
      <c r="T81" s="4"/>
      <c r="U81" s="4"/>
      <c r="V81" s="4"/>
      <c r="W81" s="4"/>
      <c r="X81" s="4"/>
      <c r="Y81" s="4"/>
      <c r="Z81" s="4"/>
      <c r="AA81" s="4"/>
      <c r="AB81" s="7"/>
      <c r="AC81" s="7"/>
      <c r="AD81" s="7"/>
      <c r="AE81" s="7"/>
      <c r="AF81" s="7"/>
      <c r="AG81" s="7"/>
      <c r="AH81" s="7"/>
      <c r="AI81" s="7"/>
      <c r="AJ81" s="7"/>
      <c r="AK81" s="7"/>
      <c r="AL81" s="7"/>
      <c r="AM81" s="7"/>
      <c r="AN81" s="7"/>
      <c r="AO81" s="7"/>
      <c r="AP81" s="7"/>
      <c r="AQ81" s="7"/>
      <c r="AR81" s="7"/>
      <c r="AS81" s="7"/>
      <c r="AT81" s="7"/>
      <c r="AU81" s="7"/>
      <c r="AV81" s="7"/>
      <c r="AW81" s="7"/>
      <c r="AX81" s="7"/>
      <c r="AY81" s="7"/>
      <c r="AZ81" s="7"/>
      <c r="BA81" s="7"/>
      <c r="BB81" s="7"/>
      <c r="BC81" s="7"/>
      <c r="BD81" s="7"/>
      <c r="BE81" s="7"/>
      <c r="BF81" s="7"/>
      <c r="BG81" s="7"/>
      <c r="BH81" s="7"/>
      <c r="BI81" s="7"/>
      <c r="BJ81" s="7"/>
      <c r="BK81" s="51"/>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2"/>
      <c r="DT81" s="2"/>
      <c r="DU81" s="2"/>
      <c r="DV81" s="2"/>
      <c r="DW81" s="2"/>
      <c r="DX81" s="2"/>
      <c r="DY81" s="2"/>
      <c r="DZ81" s="2"/>
      <c r="EA81" s="2"/>
      <c r="EB81" s="2"/>
      <c r="EC81" s="2"/>
      <c r="ED81" s="2"/>
      <c r="EE81" s="2"/>
      <c r="EF81" s="2"/>
      <c r="EG81" s="2"/>
      <c r="EH81" s="2"/>
      <c r="EI81" s="2"/>
      <c r="EJ81" s="2"/>
      <c r="EK81" s="2"/>
      <c r="EL81" s="2"/>
      <c r="EM81" s="2"/>
      <c r="EN81" s="2"/>
      <c r="EO81" s="2"/>
      <c r="EP81" s="2"/>
      <c r="EQ81" s="2"/>
      <c r="ER81" s="2"/>
      <c r="ES81" s="2"/>
      <c r="ET81" s="2"/>
      <c r="EU81" s="2"/>
      <c r="EV81" s="2"/>
      <c r="EW81" s="2"/>
      <c r="EX81" s="2"/>
      <c r="EY81" s="2"/>
      <c r="EZ81" s="2"/>
      <c r="FA81" s="2"/>
      <c r="FB81" s="2"/>
      <c r="FC81" s="2"/>
      <c r="FD81" s="2"/>
      <c r="FE81" s="2"/>
      <c r="FF81" s="2"/>
      <c r="FG81" s="2"/>
      <c r="FH81" s="2"/>
      <c r="FI81" s="2"/>
      <c r="FJ81" s="2"/>
      <c r="FK81" s="2"/>
      <c r="FL81" s="2"/>
      <c r="FM81" s="2"/>
      <c r="FN81" s="2"/>
      <c r="FO81" s="2"/>
      <c r="FP81" s="2"/>
      <c r="FQ81" s="2"/>
      <c r="FR81" s="2"/>
      <c r="FS81" s="2"/>
      <c r="FT81" s="2"/>
      <c r="FU81" s="2"/>
      <c r="FV81" s="2"/>
      <c r="FW81" s="2"/>
      <c r="FX81" s="2"/>
      <c r="FY81" s="2"/>
      <c r="FZ81" s="2"/>
      <c r="GA81" s="2"/>
      <c r="GB81" s="2"/>
      <c r="GC81" s="2"/>
      <c r="GD81" s="2"/>
      <c r="GE81" s="2"/>
      <c r="GF81" s="2"/>
      <c r="GG81" s="2"/>
      <c r="GH81" s="2"/>
      <c r="GI81" s="2"/>
      <c r="GJ81" s="2"/>
      <c r="GK81" s="2"/>
      <c r="GL81" s="2"/>
      <c r="GM81" s="2"/>
      <c r="GN81" s="2"/>
      <c r="GO81" s="2"/>
      <c r="GP81" s="2"/>
      <c r="GQ81" s="2"/>
      <c r="GR81" s="2"/>
      <c r="GS81" s="2"/>
      <c r="GT81" s="2"/>
      <c r="GU81" s="2"/>
      <c r="GV81" s="2"/>
      <c r="GW81" s="2"/>
    </row>
    <row r="82" spans="1:205" s="5" customFormat="1" ht="15.6" x14ac:dyDescent="0.3">
      <c r="A82" s="60" t="s">
        <v>254</v>
      </c>
      <c r="B82" s="23" t="s">
        <v>251</v>
      </c>
      <c r="C82" s="37" t="s">
        <v>252</v>
      </c>
      <c r="D82" s="31" t="s">
        <v>102</v>
      </c>
      <c r="E82" s="30"/>
      <c r="F82" s="102">
        <v>45043</v>
      </c>
      <c r="G82" s="29">
        <v>20</v>
      </c>
      <c r="H82" s="102">
        <f t="shared" si="7"/>
        <v>45070</v>
      </c>
      <c r="I82" s="71">
        <v>0</v>
      </c>
      <c r="J82"/>
      <c r="K82" s="50"/>
      <c r="L82" s="4"/>
      <c r="M82" s="4"/>
      <c r="N82" s="4"/>
      <c r="O82" s="4"/>
      <c r="P82" s="4"/>
      <c r="Q82" s="4"/>
      <c r="R82" s="4"/>
      <c r="S82" s="4"/>
      <c r="T82" s="4"/>
      <c r="U82" s="4"/>
      <c r="V82" s="4"/>
      <c r="W82" s="4"/>
      <c r="X82" s="4"/>
      <c r="Y82" s="4"/>
      <c r="Z82" s="4"/>
      <c r="AA82" s="4"/>
      <c r="AB82" s="7"/>
      <c r="AC82" s="7"/>
      <c r="AD82" s="7"/>
      <c r="AE82" s="7"/>
      <c r="AF82" s="7"/>
      <c r="AG82" s="7"/>
      <c r="AH82" s="7"/>
      <c r="AI82" s="7"/>
      <c r="AJ82" s="7"/>
      <c r="AK82" s="7"/>
      <c r="AL82" s="7"/>
      <c r="AM82" s="7"/>
      <c r="AN82" s="7"/>
      <c r="AO82" s="7"/>
      <c r="AP82" s="7"/>
      <c r="AQ82" s="7"/>
      <c r="AR82" s="7"/>
      <c r="AS82" s="7"/>
      <c r="AT82" s="7"/>
      <c r="AU82" s="7"/>
      <c r="AV82" s="7"/>
      <c r="AW82" s="7"/>
      <c r="AX82" s="7"/>
      <c r="AY82" s="7"/>
      <c r="AZ82" s="7"/>
      <c r="BA82" s="7"/>
      <c r="BB82" s="7"/>
      <c r="BC82" s="7"/>
      <c r="BD82" s="7"/>
      <c r="BE82" s="7"/>
      <c r="BF82" s="7"/>
      <c r="BG82" s="7"/>
      <c r="BH82" s="7"/>
      <c r="BI82" s="7"/>
      <c r="BJ82" s="7"/>
      <c r="BK82" s="51"/>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c r="EI82" s="2"/>
      <c r="EJ82" s="2"/>
      <c r="EK82" s="2"/>
      <c r="EL82" s="2"/>
      <c r="EM82" s="2"/>
      <c r="EN82" s="2"/>
      <c r="EO82" s="2"/>
      <c r="EP82" s="2"/>
      <c r="EQ82" s="2"/>
      <c r="ER82" s="2"/>
      <c r="ES82" s="2"/>
      <c r="ET82" s="2"/>
      <c r="EU82" s="2"/>
      <c r="EV82" s="2"/>
      <c r="EW82" s="2"/>
      <c r="EX82" s="2"/>
      <c r="EY82" s="2"/>
      <c r="EZ82" s="2"/>
      <c r="FA82" s="2"/>
      <c r="FB82" s="2"/>
      <c r="FC82" s="2"/>
      <c r="FD82" s="2"/>
      <c r="FE82" s="2"/>
      <c r="FF82" s="2"/>
      <c r="FG82" s="2"/>
      <c r="FH82" s="2"/>
      <c r="FI82" s="2"/>
      <c r="FJ82" s="2"/>
      <c r="FK82" s="2"/>
      <c r="FL82" s="2"/>
      <c r="FM82" s="2"/>
      <c r="FN82" s="2"/>
      <c r="FO82" s="2"/>
      <c r="FP82" s="2"/>
      <c r="FQ82" s="2"/>
      <c r="FR82" s="2"/>
      <c r="FS82" s="2"/>
      <c r="FT82" s="2"/>
      <c r="FU82" s="2"/>
      <c r="FV82" s="2"/>
      <c r="FW82" s="2"/>
      <c r="FX82" s="2"/>
      <c r="FY82" s="2"/>
      <c r="FZ82" s="2"/>
      <c r="GA82" s="2"/>
      <c r="GB82" s="2"/>
      <c r="GC82" s="2"/>
      <c r="GD82" s="2"/>
      <c r="GE82" s="2"/>
      <c r="GF82" s="2"/>
      <c r="GG82" s="2"/>
      <c r="GH82" s="2"/>
      <c r="GI82" s="2"/>
      <c r="GJ82" s="2"/>
      <c r="GK82" s="2"/>
      <c r="GL82" s="2"/>
      <c r="GM82" s="2"/>
      <c r="GN82" s="2"/>
      <c r="GO82" s="2"/>
      <c r="GP82" s="2"/>
      <c r="GQ82" s="2"/>
      <c r="GR82" s="2"/>
      <c r="GS82" s="2"/>
      <c r="GT82" s="2"/>
      <c r="GU82" s="2"/>
      <c r="GV82" s="2"/>
      <c r="GW82" s="2"/>
    </row>
    <row r="83" spans="1:205" s="5" customFormat="1" ht="15.6" x14ac:dyDescent="0.3">
      <c r="A83" s="60" t="s">
        <v>255</v>
      </c>
      <c r="B83" s="23" t="s">
        <v>251</v>
      </c>
      <c r="C83" s="37" t="s">
        <v>252</v>
      </c>
      <c r="D83" s="31" t="s">
        <v>105</v>
      </c>
      <c r="E83" s="30"/>
      <c r="F83" s="102">
        <v>45043</v>
      </c>
      <c r="G83" s="29">
        <v>20</v>
      </c>
      <c r="H83" s="102">
        <f t="shared" si="7"/>
        <v>45070</v>
      </c>
      <c r="I83" s="71">
        <v>0</v>
      </c>
      <c r="J83"/>
      <c r="K83" s="50"/>
      <c r="L83" s="4"/>
      <c r="M83" s="4"/>
      <c r="N83" s="4"/>
      <c r="O83" s="4"/>
      <c r="P83" s="4"/>
      <c r="Q83" s="4"/>
      <c r="R83" s="4"/>
      <c r="S83" s="4"/>
      <c r="T83" s="4"/>
      <c r="U83" s="4"/>
      <c r="V83" s="4"/>
      <c r="W83" s="4"/>
      <c r="X83" s="4"/>
      <c r="Y83" s="4"/>
      <c r="Z83" s="4"/>
      <c r="AA83" s="4"/>
      <c r="AB83" s="7"/>
      <c r="AC83" s="7"/>
      <c r="AD83" s="7"/>
      <c r="AE83" s="7"/>
      <c r="AF83" s="7"/>
      <c r="AG83" s="7"/>
      <c r="AH83" s="7"/>
      <c r="AI83" s="7"/>
      <c r="AJ83" s="7"/>
      <c r="AK83" s="7"/>
      <c r="AL83" s="7"/>
      <c r="AM83" s="7"/>
      <c r="AN83" s="7"/>
      <c r="AO83" s="7"/>
      <c r="AP83" s="7"/>
      <c r="AQ83" s="7"/>
      <c r="AR83" s="7"/>
      <c r="AS83" s="7"/>
      <c r="AT83" s="7"/>
      <c r="AU83" s="7"/>
      <c r="AV83" s="7"/>
      <c r="AW83" s="7"/>
      <c r="AX83" s="7"/>
      <c r="AY83" s="7"/>
      <c r="AZ83" s="7"/>
      <c r="BA83" s="7"/>
      <c r="BB83" s="7"/>
      <c r="BC83" s="7"/>
      <c r="BD83" s="7"/>
      <c r="BE83" s="7"/>
      <c r="BF83" s="7"/>
      <c r="BG83" s="7"/>
      <c r="BH83" s="7"/>
      <c r="BI83" s="7"/>
      <c r="BJ83" s="7"/>
      <c r="BK83" s="51"/>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c r="DO83" s="2"/>
      <c r="DP83" s="2"/>
      <c r="DQ83" s="2"/>
      <c r="DR83" s="2"/>
      <c r="DS83" s="2"/>
      <c r="DT83" s="2"/>
      <c r="DU83" s="2"/>
      <c r="DV83" s="2"/>
      <c r="DW83" s="2"/>
      <c r="DX83" s="2"/>
      <c r="DY83" s="2"/>
      <c r="DZ83" s="2"/>
      <c r="EA83" s="2"/>
      <c r="EB83" s="2"/>
      <c r="EC83" s="2"/>
      <c r="ED83" s="2"/>
      <c r="EE83" s="2"/>
      <c r="EF83" s="2"/>
      <c r="EG83" s="2"/>
      <c r="EH83" s="2"/>
      <c r="EI83" s="2"/>
      <c r="EJ83" s="2"/>
      <c r="EK83" s="2"/>
      <c r="EL83" s="2"/>
      <c r="EM83" s="2"/>
      <c r="EN83" s="2"/>
      <c r="EO83" s="2"/>
      <c r="EP83" s="2"/>
      <c r="EQ83" s="2"/>
      <c r="ER83" s="2"/>
      <c r="ES83" s="2"/>
      <c r="ET83" s="2"/>
      <c r="EU83" s="2"/>
      <c r="EV83" s="2"/>
      <c r="EW83" s="2"/>
      <c r="EX83" s="2"/>
      <c r="EY83" s="2"/>
      <c r="EZ83" s="2"/>
      <c r="FA83" s="2"/>
      <c r="FB83" s="2"/>
      <c r="FC83" s="2"/>
      <c r="FD83" s="2"/>
      <c r="FE83" s="2"/>
      <c r="FF83" s="2"/>
      <c r="FG83" s="2"/>
      <c r="FH83" s="2"/>
      <c r="FI83" s="2"/>
      <c r="FJ83" s="2"/>
      <c r="FK83" s="2"/>
      <c r="FL83" s="2"/>
      <c r="FM83" s="2"/>
      <c r="FN83" s="2"/>
      <c r="FO83" s="2"/>
      <c r="FP83" s="2"/>
      <c r="FQ83" s="2"/>
      <c r="FR83" s="2"/>
      <c r="FS83" s="2"/>
      <c r="FT83" s="2"/>
      <c r="FU83" s="2"/>
      <c r="FV83" s="2"/>
      <c r="FW83" s="2"/>
      <c r="FX83" s="2"/>
      <c r="FY83" s="2"/>
      <c r="FZ83" s="2"/>
      <c r="GA83" s="2"/>
      <c r="GB83" s="2"/>
      <c r="GC83" s="2"/>
      <c r="GD83" s="2"/>
      <c r="GE83" s="2"/>
      <c r="GF83" s="2"/>
      <c r="GG83" s="2"/>
      <c r="GH83" s="2"/>
      <c r="GI83" s="2"/>
      <c r="GJ83" s="2"/>
      <c r="GK83" s="2"/>
      <c r="GL83" s="2"/>
      <c r="GM83" s="2"/>
      <c r="GN83" s="2"/>
      <c r="GO83" s="2"/>
      <c r="GP83" s="2"/>
      <c r="GQ83" s="2"/>
      <c r="GR83" s="2"/>
      <c r="GS83" s="2"/>
      <c r="GT83" s="2"/>
      <c r="GU83" s="2"/>
      <c r="GV83" s="2"/>
      <c r="GW83" s="2"/>
    </row>
    <row r="84" spans="1:205" s="5" customFormat="1" ht="15.6" x14ac:dyDescent="0.3">
      <c r="A84" s="60" t="s">
        <v>256</v>
      </c>
      <c r="B84" s="23" t="s">
        <v>251</v>
      </c>
      <c r="C84" s="37" t="s">
        <v>252</v>
      </c>
      <c r="D84" s="31" t="s">
        <v>93</v>
      </c>
      <c r="E84" s="30"/>
      <c r="F84" s="102">
        <v>45043</v>
      </c>
      <c r="G84" s="29">
        <v>20</v>
      </c>
      <c r="H84" s="102">
        <f t="shared" si="7"/>
        <v>45070</v>
      </c>
      <c r="I84" s="71">
        <v>0</v>
      </c>
      <c r="J84"/>
      <c r="K84" s="50"/>
      <c r="L84" s="4"/>
      <c r="M84" s="4"/>
      <c r="N84" s="4"/>
      <c r="O84" s="4"/>
      <c r="P84" s="4"/>
      <c r="Q84" s="4"/>
      <c r="R84" s="4"/>
      <c r="S84" s="4"/>
      <c r="T84" s="4"/>
      <c r="U84" s="4"/>
      <c r="V84" s="4"/>
      <c r="W84" s="4"/>
      <c r="X84" s="4"/>
      <c r="Y84" s="4"/>
      <c r="Z84" s="4"/>
      <c r="AA84" s="4"/>
      <c r="AB84" s="7"/>
      <c r="AC84" s="7"/>
      <c r="AD84" s="7"/>
      <c r="AE84" s="7"/>
      <c r="AF84" s="7"/>
      <c r="AG84" s="7"/>
      <c r="AH84" s="7"/>
      <c r="AI84" s="7"/>
      <c r="AJ84" s="7"/>
      <c r="AK84" s="7"/>
      <c r="AL84" s="7"/>
      <c r="AM84" s="7"/>
      <c r="AN84" s="7"/>
      <c r="AO84" s="7"/>
      <c r="AP84" s="7"/>
      <c r="AQ84" s="7"/>
      <c r="AR84" s="7"/>
      <c r="AS84" s="7"/>
      <c r="AT84" s="7"/>
      <c r="AU84" s="7"/>
      <c r="AV84" s="7"/>
      <c r="AW84" s="7"/>
      <c r="AX84" s="7"/>
      <c r="AY84" s="7"/>
      <c r="AZ84" s="7"/>
      <c r="BA84" s="7"/>
      <c r="BB84" s="7"/>
      <c r="BC84" s="7"/>
      <c r="BD84" s="7"/>
      <c r="BE84" s="7"/>
      <c r="BF84" s="7"/>
      <c r="BG84" s="7"/>
      <c r="BH84" s="7"/>
      <c r="BI84" s="7"/>
      <c r="BJ84" s="7"/>
      <c r="BK84" s="51"/>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c r="DO84" s="2"/>
      <c r="DP84" s="2"/>
      <c r="DQ84" s="2"/>
      <c r="DR84" s="2"/>
      <c r="DS84" s="2"/>
      <c r="DT84" s="2"/>
      <c r="DU84" s="2"/>
      <c r="DV84" s="2"/>
      <c r="DW84" s="2"/>
      <c r="DX84" s="2"/>
      <c r="DY84" s="2"/>
      <c r="DZ84" s="2"/>
      <c r="EA84" s="2"/>
      <c r="EB84" s="2"/>
      <c r="EC84" s="2"/>
      <c r="ED84" s="2"/>
      <c r="EE84" s="2"/>
      <c r="EF84" s="2"/>
      <c r="EG84" s="2"/>
      <c r="EH84" s="2"/>
      <c r="EI84" s="2"/>
      <c r="EJ84" s="2"/>
      <c r="EK84" s="2"/>
      <c r="EL84" s="2"/>
      <c r="EM84" s="2"/>
      <c r="EN84" s="2"/>
      <c r="EO84" s="2"/>
      <c r="EP84" s="2"/>
      <c r="EQ84" s="2"/>
      <c r="ER84" s="2"/>
      <c r="ES84" s="2"/>
      <c r="ET84" s="2"/>
      <c r="EU84" s="2"/>
      <c r="EV84" s="2"/>
      <c r="EW84" s="2"/>
      <c r="EX84" s="2"/>
      <c r="EY84" s="2"/>
      <c r="EZ84" s="2"/>
      <c r="FA84" s="2"/>
      <c r="FB84" s="2"/>
      <c r="FC84" s="2"/>
      <c r="FD84" s="2"/>
      <c r="FE84" s="2"/>
      <c r="FF84" s="2"/>
      <c r="FG84" s="2"/>
      <c r="FH84" s="2"/>
      <c r="FI84" s="2"/>
      <c r="FJ84" s="2"/>
      <c r="FK84" s="2"/>
      <c r="FL84" s="2"/>
      <c r="FM84" s="2"/>
      <c r="FN84" s="2"/>
      <c r="FO84" s="2"/>
      <c r="FP84" s="2"/>
      <c r="FQ84" s="2"/>
      <c r="FR84" s="2"/>
      <c r="FS84" s="2"/>
      <c r="FT84" s="2"/>
      <c r="FU84" s="2"/>
      <c r="FV84" s="2"/>
      <c r="FW84" s="2"/>
      <c r="FX84" s="2"/>
      <c r="FY84" s="2"/>
      <c r="FZ84" s="2"/>
      <c r="GA84" s="2"/>
      <c r="GB84" s="2"/>
      <c r="GC84" s="2"/>
      <c r="GD84" s="2"/>
      <c r="GE84" s="2"/>
      <c r="GF84" s="2"/>
      <c r="GG84" s="2"/>
      <c r="GH84" s="2"/>
      <c r="GI84" s="2"/>
      <c r="GJ84" s="2"/>
      <c r="GK84" s="2"/>
      <c r="GL84" s="2"/>
      <c r="GM84" s="2"/>
      <c r="GN84" s="2"/>
      <c r="GO84" s="2"/>
      <c r="GP84" s="2"/>
      <c r="GQ84" s="2"/>
      <c r="GR84" s="2"/>
      <c r="GS84" s="2"/>
      <c r="GT84" s="2"/>
      <c r="GU84" s="2"/>
      <c r="GV84" s="2"/>
      <c r="GW84" s="2"/>
    </row>
    <row r="85" spans="1:205" s="5" customFormat="1" ht="15.6" x14ac:dyDescent="0.3">
      <c r="A85" s="60" t="s">
        <v>257</v>
      </c>
      <c r="B85" s="23" t="s">
        <v>258</v>
      </c>
      <c r="C85" s="37" t="s">
        <v>259</v>
      </c>
      <c r="D85" s="31" t="s">
        <v>113</v>
      </c>
      <c r="E85" s="30"/>
      <c r="F85" s="102">
        <v>45070</v>
      </c>
      <c r="G85" s="29">
        <v>0</v>
      </c>
      <c r="H85" s="102">
        <f t="shared" si="7"/>
        <v>45069</v>
      </c>
      <c r="I85" s="71">
        <v>0</v>
      </c>
      <c r="J85"/>
      <c r="K85" s="50"/>
      <c r="L85" s="4"/>
      <c r="M85" s="4"/>
      <c r="N85" s="4"/>
      <c r="O85" s="4"/>
      <c r="P85" s="4"/>
      <c r="Q85" s="4"/>
      <c r="R85" s="4"/>
      <c r="S85" s="4"/>
      <c r="T85" s="4"/>
      <c r="U85" s="4"/>
      <c r="V85" s="4"/>
      <c r="W85" s="4"/>
      <c r="X85" s="4"/>
      <c r="Y85" s="4"/>
      <c r="Z85" s="4"/>
      <c r="AA85" s="4"/>
      <c r="AB85" s="7"/>
      <c r="AC85" s="7"/>
      <c r="AD85" s="7"/>
      <c r="AE85" s="7"/>
      <c r="AF85" s="7"/>
      <c r="AG85" s="7"/>
      <c r="AH85" s="7"/>
      <c r="AI85" s="7"/>
      <c r="AJ85" s="7"/>
      <c r="AK85" s="7"/>
      <c r="AL85" s="7"/>
      <c r="AM85" s="7"/>
      <c r="AN85" s="7"/>
      <c r="AO85" s="7"/>
      <c r="AP85" s="7"/>
      <c r="AQ85" s="7"/>
      <c r="AR85" s="7"/>
      <c r="AS85" s="7"/>
      <c r="AT85" s="7"/>
      <c r="AU85" s="7"/>
      <c r="AV85" s="7"/>
      <c r="AW85" s="7"/>
      <c r="AX85" s="7"/>
      <c r="AY85" s="7"/>
      <c r="AZ85" s="7"/>
      <c r="BA85" s="7"/>
      <c r="BB85" s="7"/>
      <c r="BC85" s="7"/>
      <c r="BD85" s="7"/>
      <c r="BE85" s="7"/>
      <c r="BF85" s="7"/>
      <c r="BG85" s="7"/>
      <c r="BH85" s="7"/>
      <c r="BI85" s="7"/>
      <c r="BJ85" s="7"/>
      <c r="BK85" s="51"/>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c r="DO85" s="2"/>
      <c r="DP85" s="2"/>
      <c r="DQ85" s="2"/>
      <c r="DR85" s="2"/>
      <c r="DS85" s="2"/>
      <c r="DT85" s="2"/>
      <c r="DU85" s="2"/>
      <c r="DV85" s="2"/>
      <c r="DW85" s="2"/>
      <c r="DX85" s="2"/>
      <c r="DY85" s="2"/>
      <c r="DZ85" s="2"/>
      <c r="EA85" s="2"/>
      <c r="EB85" s="2"/>
      <c r="EC85" s="2"/>
      <c r="ED85" s="2"/>
      <c r="EE85" s="2"/>
      <c r="EF85" s="2"/>
      <c r="EG85" s="2"/>
      <c r="EH85" s="2"/>
      <c r="EI85" s="2"/>
      <c r="EJ85" s="2"/>
      <c r="EK85" s="2"/>
      <c r="EL85" s="2"/>
      <c r="EM85" s="2"/>
      <c r="EN85" s="2"/>
      <c r="EO85" s="2"/>
      <c r="EP85" s="2"/>
      <c r="EQ85" s="2"/>
      <c r="ER85" s="2"/>
      <c r="ES85" s="2"/>
      <c r="ET85" s="2"/>
      <c r="EU85" s="2"/>
      <c r="EV85" s="2"/>
      <c r="EW85" s="2"/>
      <c r="EX85" s="2"/>
      <c r="EY85" s="2"/>
      <c r="EZ85" s="2"/>
      <c r="FA85" s="2"/>
      <c r="FB85" s="2"/>
      <c r="FC85" s="2"/>
      <c r="FD85" s="2"/>
      <c r="FE85" s="2"/>
      <c r="FF85" s="2"/>
      <c r="FG85" s="2"/>
      <c r="FH85" s="2"/>
      <c r="FI85" s="2"/>
      <c r="FJ85" s="2"/>
      <c r="FK85" s="2"/>
      <c r="FL85" s="2"/>
      <c r="FM85" s="2"/>
      <c r="FN85" s="2"/>
      <c r="FO85" s="2"/>
      <c r="FP85" s="2"/>
      <c r="FQ85" s="2"/>
      <c r="FR85" s="2"/>
      <c r="FS85" s="2"/>
      <c r="FT85" s="2"/>
      <c r="FU85" s="2"/>
      <c r="FV85" s="2"/>
      <c r="FW85" s="2"/>
      <c r="FX85" s="2"/>
      <c r="FY85" s="2"/>
      <c r="FZ85" s="2"/>
      <c r="GA85" s="2"/>
      <c r="GB85" s="2"/>
      <c r="GC85" s="2"/>
      <c r="GD85" s="2"/>
      <c r="GE85" s="2"/>
      <c r="GF85" s="2"/>
      <c r="GG85" s="2"/>
      <c r="GH85" s="2"/>
      <c r="GI85" s="2"/>
      <c r="GJ85" s="2"/>
      <c r="GK85" s="2"/>
      <c r="GL85" s="2"/>
      <c r="GM85" s="2"/>
      <c r="GN85" s="2"/>
      <c r="GO85" s="2"/>
      <c r="GP85" s="2"/>
      <c r="GQ85" s="2"/>
      <c r="GR85" s="2"/>
      <c r="GS85" s="2"/>
      <c r="GT85" s="2"/>
      <c r="GU85" s="2"/>
      <c r="GV85" s="2"/>
      <c r="GW85" s="2"/>
    </row>
    <row r="86" spans="1:205" s="5" customFormat="1" ht="15.6" x14ac:dyDescent="0.3">
      <c r="A86" s="60" t="s">
        <v>260</v>
      </c>
      <c r="B86" s="23" t="s">
        <v>258</v>
      </c>
      <c r="C86" s="37" t="s">
        <v>259</v>
      </c>
      <c r="D86" s="31" t="s">
        <v>116</v>
      </c>
      <c r="E86" s="30"/>
      <c r="F86" s="102">
        <v>45070</v>
      </c>
      <c r="G86" s="29">
        <v>0</v>
      </c>
      <c r="H86" s="102">
        <f t="shared" si="7"/>
        <v>45069</v>
      </c>
      <c r="I86" s="71">
        <v>0</v>
      </c>
      <c r="J86"/>
      <c r="K86" s="50"/>
      <c r="L86" s="4"/>
      <c r="M86" s="4"/>
      <c r="N86" s="4"/>
      <c r="O86" s="4"/>
      <c r="P86" s="4"/>
      <c r="Q86" s="4"/>
      <c r="R86" s="4"/>
      <c r="S86" s="4"/>
      <c r="T86" s="4"/>
      <c r="U86" s="4"/>
      <c r="V86" s="4"/>
      <c r="W86" s="4"/>
      <c r="X86" s="4"/>
      <c r="Y86" s="4"/>
      <c r="Z86" s="4"/>
      <c r="AA86" s="4"/>
      <c r="AB86" s="7"/>
      <c r="AC86" s="7"/>
      <c r="AD86" s="7"/>
      <c r="AE86" s="7"/>
      <c r="AF86" s="7"/>
      <c r="AG86" s="7"/>
      <c r="AH86" s="7"/>
      <c r="AI86" s="7"/>
      <c r="AJ86" s="7"/>
      <c r="AK86" s="7"/>
      <c r="AL86" s="7"/>
      <c r="AM86" s="7"/>
      <c r="AN86" s="7"/>
      <c r="AO86" s="7"/>
      <c r="AP86" s="7"/>
      <c r="AQ86" s="7"/>
      <c r="AR86" s="7"/>
      <c r="AS86" s="7"/>
      <c r="AT86" s="7"/>
      <c r="AU86" s="7"/>
      <c r="AV86" s="7"/>
      <c r="AW86" s="7"/>
      <c r="AX86" s="7"/>
      <c r="AY86" s="7"/>
      <c r="AZ86" s="7"/>
      <c r="BA86" s="7"/>
      <c r="BB86" s="7"/>
      <c r="BC86" s="7"/>
      <c r="BD86" s="7"/>
      <c r="BE86" s="7"/>
      <c r="BF86" s="7"/>
      <c r="BG86" s="7"/>
      <c r="BH86" s="7"/>
      <c r="BI86" s="7"/>
      <c r="BJ86" s="7"/>
      <c r="BK86" s="51"/>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2"/>
      <c r="DT86" s="2"/>
      <c r="DU86" s="2"/>
      <c r="DV86" s="2"/>
      <c r="DW86" s="2"/>
      <c r="DX86" s="2"/>
      <c r="DY86" s="2"/>
      <c r="DZ86" s="2"/>
      <c r="EA86" s="2"/>
      <c r="EB86" s="2"/>
      <c r="EC86" s="2"/>
      <c r="ED86" s="2"/>
      <c r="EE86" s="2"/>
      <c r="EF86" s="2"/>
      <c r="EG86" s="2"/>
      <c r="EH86" s="2"/>
      <c r="EI86" s="2"/>
      <c r="EJ86" s="2"/>
      <c r="EK86" s="2"/>
      <c r="EL86" s="2"/>
      <c r="EM86" s="2"/>
      <c r="EN86" s="2"/>
      <c r="EO86" s="2"/>
      <c r="EP86" s="2"/>
      <c r="EQ86" s="2"/>
      <c r="ER86" s="2"/>
      <c r="ES86" s="2"/>
      <c r="ET86" s="2"/>
      <c r="EU86" s="2"/>
      <c r="EV86" s="2"/>
      <c r="EW86" s="2"/>
      <c r="EX86" s="2"/>
      <c r="EY86" s="2"/>
      <c r="EZ86" s="2"/>
      <c r="FA86" s="2"/>
      <c r="FB86" s="2"/>
      <c r="FC86" s="2"/>
      <c r="FD86" s="2"/>
      <c r="FE86" s="2"/>
      <c r="FF86" s="2"/>
      <c r="FG86" s="2"/>
      <c r="FH86" s="2"/>
      <c r="FI86" s="2"/>
      <c r="FJ86" s="2"/>
      <c r="FK86" s="2"/>
      <c r="FL86" s="2"/>
      <c r="FM86" s="2"/>
      <c r="FN86" s="2"/>
      <c r="FO86" s="2"/>
      <c r="FP86" s="2"/>
      <c r="FQ86" s="2"/>
      <c r="FR86" s="2"/>
      <c r="FS86" s="2"/>
      <c r="FT86" s="2"/>
      <c r="FU86" s="2"/>
      <c r="FV86" s="2"/>
      <c r="FW86" s="2"/>
      <c r="FX86" s="2"/>
      <c r="FY86" s="2"/>
      <c r="FZ86" s="2"/>
      <c r="GA86" s="2"/>
      <c r="GB86" s="2"/>
      <c r="GC86" s="2"/>
      <c r="GD86" s="2"/>
      <c r="GE86" s="2"/>
      <c r="GF86" s="2"/>
      <c r="GG86" s="2"/>
      <c r="GH86" s="2"/>
      <c r="GI86" s="2"/>
      <c r="GJ86" s="2"/>
      <c r="GK86" s="2"/>
      <c r="GL86" s="2"/>
      <c r="GM86" s="2"/>
      <c r="GN86" s="2"/>
      <c r="GO86" s="2"/>
      <c r="GP86" s="2"/>
      <c r="GQ86" s="2"/>
      <c r="GR86" s="2"/>
      <c r="GS86" s="2"/>
      <c r="GT86" s="2"/>
      <c r="GU86" s="2"/>
      <c r="GV86" s="2"/>
      <c r="GW86" s="2"/>
    </row>
    <row r="87" spans="1:205" s="5" customFormat="1" ht="15.6" x14ac:dyDescent="0.3">
      <c r="A87" s="60" t="s">
        <v>261</v>
      </c>
      <c r="B87" s="23" t="s">
        <v>258</v>
      </c>
      <c r="C87" s="37" t="s">
        <v>259</v>
      </c>
      <c r="D87" s="31" t="s">
        <v>124</v>
      </c>
      <c r="E87" s="30"/>
      <c r="F87" s="102">
        <v>45070</v>
      </c>
      <c r="G87" s="29">
        <v>0</v>
      </c>
      <c r="H87" s="102">
        <f t="shared" si="7"/>
        <v>45069</v>
      </c>
      <c r="I87" s="71">
        <v>0</v>
      </c>
      <c r="J87"/>
      <c r="K87" s="50"/>
      <c r="L87" s="4"/>
      <c r="M87" s="4"/>
      <c r="N87" s="4"/>
      <c r="O87" s="4"/>
      <c r="P87" s="4"/>
      <c r="Q87" s="4"/>
      <c r="R87" s="4"/>
      <c r="S87" s="4"/>
      <c r="T87" s="4"/>
      <c r="U87" s="4"/>
      <c r="V87" s="4"/>
      <c r="W87" s="4"/>
      <c r="X87" s="4"/>
      <c r="Y87" s="4"/>
      <c r="Z87" s="4"/>
      <c r="AA87" s="4"/>
      <c r="AB87" s="7"/>
      <c r="AC87" s="7"/>
      <c r="AD87" s="7"/>
      <c r="AE87" s="7"/>
      <c r="AF87" s="7"/>
      <c r="AG87" s="7"/>
      <c r="AH87" s="7"/>
      <c r="AI87" s="7"/>
      <c r="AJ87" s="7"/>
      <c r="AK87" s="7"/>
      <c r="AL87" s="7"/>
      <c r="AM87" s="7"/>
      <c r="AN87" s="7"/>
      <c r="AO87" s="7"/>
      <c r="AP87" s="7"/>
      <c r="AQ87" s="7"/>
      <c r="AR87" s="7"/>
      <c r="AS87" s="7"/>
      <c r="AT87" s="7"/>
      <c r="AU87" s="7"/>
      <c r="AV87" s="7"/>
      <c r="AW87" s="7"/>
      <c r="AX87" s="7"/>
      <c r="AY87" s="7"/>
      <c r="AZ87" s="7"/>
      <c r="BA87" s="7"/>
      <c r="BB87" s="7"/>
      <c r="BC87" s="7"/>
      <c r="BD87" s="7"/>
      <c r="BE87" s="7"/>
      <c r="BF87" s="7"/>
      <c r="BG87" s="7"/>
      <c r="BH87" s="7"/>
      <c r="BI87" s="7"/>
      <c r="BJ87" s="7"/>
      <c r="BK87" s="51"/>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c r="DO87" s="2"/>
      <c r="DP87" s="2"/>
      <c r="DQ87" s="2"/>
      <c r="DR87" s="2"/>
      <c r="DS87" s="2"/>
      <c r="DT87" s="2"/>
      <c r="DU87" s="2"/>
      <c r="DV87" s="2"/>
      <c r="DW87" s="2"/>
      <c r="DX87" s="2"/>
      <c r="DY87" s="2"/>
      <c r="DZ87" s="2"/>
      <c r="EA87" s="2"/>
      <c r="EB87" s="2"/>
      <c r="EC87" s="2"/>
      <c r="ED87" s="2"/>
      <c r="EE87" s="2"/>
      <c r="EF87" s="2"/>
      <c r="EG87" s="2"/>
      <c r="EH87" s="2"/>
      <c r="EI87" s="2"/>
      <c r="EJ87" s="2"/>
      <c r="EK87" s="2"/>
      <c r="EL87" s="2"/>
      <c r="EM87" s="2"/>
      <c r="EN87" s="2"/>
      <c r="EO87" s="2"/>
      <c r="EP87" s="2"/>
      <c r="EQ87" s="2"/>
      <c r="ER87" s="2"/>
      <c r="ES87" s="2"/>
      <c r="ET87" s="2"/>
      <c r="EU87" s="2"/>
      <c r="EV87" s="2"/>
      <c r="EW87" s="2"/>
      <c r="EX87" s="2"/>
      <c r="EY87" s="2"/>
      <c r="EZ87" s="2"/>
      <c r="FA87" s="2"/>
      <c r="FB87" s="2"/>
      <c r="FC87" s="2"/>
      <c r="FD87" s="2"/>
      <c r="FE87" s="2"/>
      <c r="FF87" s="2"/>
      <c r="FG87" s="2"/>
      <c r="FH87" s="2"/>
      <c r="FI87" s="2"/>
      <c r="FJ87" s="2"/>
      <c r="FK87" s="2"/>
      <c r="FL87" s="2"/>
      <c r="FM87" s="2"/>
      <c r="FN87" s="2"/>
      <c r="FO87" s="2"/>
      <c r="FP87" s="2"/>
      <c r="FQ87" s="2"/>
      <c r="FR87" s="2"/>
      <c r="FS87" s="2"/>
      <c r="FT87" s="2"/>
      <c r="FU87" s="2"/>
      <c r="FV87" s="2"/>
      <c r="FW87" s="2"/>
      <c r="FX87" s="2"/>
      <c r="FY87" s="2"/>
      <c r="FZ87" s="2"/>
      <c r="GA87" s="2"/>
      <c r="GB87" s="2"/>
      <c r="GC87" s="2"/>
      <c r="GD87" s="2"/>
      <c r="GE87" s="2"/>
      <c r="GF87" s="2"/>
      <c r="GG87" s="2"/>
      <c r="GH87" s="2"/>
      <c r="GI87" s="2"/>
      <c r="GJ87" s="2"/>
      <c r="GK87" s="2"/>
      <c r="GL87" s="2"/>
      <c r="GM87" s="2"/>
      <c r="GN87" s="2"/>
      <c r="GO87" s="2"/>
      <c r="GP87" s="2"/>
      <c r="GQ87" s="2"/>
      <c r="GR87" s="2"/>
      <c r="GS87" s="2"/>
      <c r="GT87" s="2"/>
      <c r="GU87" s="2"/>
      <c r="GV87" s="2"/>
      <c r="GW87" s="2"/>
    </row>
    <row r="88" spans="1:205" s="5" customFormat="1" ht="15.6" x14ac:dyDescent="0.3">
      <c r="A88" s="60" t="s">
        <v>262</v>
      </c>
      <c r="B88" s="23" t="s">
        <v>258</v>
      </c>
      <c r="C88" s="37" t="s">
        <v>259</v>
      </c>
      <c r="D88" s="31" t="s">
        <v>127</v>
      </c>
      <c r="E88" s="30"/>
      <c r="F88" s="102">
        <v>45070</v>
      </c>
      <c r="G88" s="29">
        <v>0</v>
      </c>
      <c r="H88" s="102">
        <f t="shared" si="7"/>
        <v>45069</v>
      </c>
      <c r="I88" s="71">
        <v>0</v>
      </c>
      <c r="J88"/>
      <c r="K88" s="50"/>
      <c r="L88" s="4"/>
      <c r="M88" s="4"/>
      <c r="N88" s="4"/>
      <c r="O88" s="4"/>
      <c r="P88" s="4"/>
      <c r="Q88" s="4"/>
      <c r="R88" s="4"/>
      <c r="S88" s="4"/>
      <c r="T88" s="4"/>
      <c r="U88" s="4"/>
      <c r="V88" s="4"/>
      <c r="W88" s="4"/>
      <c r="X88" s="4"/>
      <c r="Y88" s="4"/>
      <c r="Z88" s="4"/>
      <c r="AA88" s="4"/>
      <c r="AB88" s="7"/>
      <c r="AC88" s="7"/>
      <c r="AD88" s="7"/>
      <c r="AE88" s="7"/>
      <c r="AF88" s="7"/>
      <c r="AG88" s="7"/>
      <c r="AH88" s="7"/>
      <c r="AI88" s="7"/>
      <c r="AJ88" s="7"/>
      <c r="AK88" s="7"/>
      <c r="AL88" s="7"/>
      <c r="AM88" s="7"/>
      <c r="AN88" s="7"/>
      <c r="AO88" s="7"/>
      <c r="AP88" s="7"/>
      <c r="AQ88" s="7"/>
      <c r="AR88" s="7"/>
      <c r="AS88" s="7"/>
      <c r="AT88" s="7"/>
      <c r="AU88" s="7"/>
      <c r="AV88" s="7"/>
      <c r="AW88" s="7"/>
      <c r="AX88" s="7"/>
      <c r="AY88" s="7"/>
      <c r="AZ88" s="7"/>
      <c r="BA88" s="7"/>
      <c r="BB88" s="7"/>
      <c r="BC88" s="7"/>
      <c r="BD88" s="7"/>
      <c r="BE88" s="7"/>
      <c r="BF88" s="7"/>
      <c r="BG88" s="7"/>
      <c r="BH88" s="7"/>
      <c r="BI88" s="7"/>
      <c r="BJ88" s="7"/>
      <c r="BK88" s="51"/>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c r="EI88" s="2"/>
      <c r="EJ88" s="2"/>
      <c r="EK88" s="2"/>
      <c r="EL88" s="2"/>
      <c r="EM88" s="2"/>
      <c r="EN88" s="2"/>
      <c r="EO88" s="2"/>
      <c r="EP88" s="2"/>
      <c r="EQ88" s="2"/>
      <c r="ER88" s="2"/>
      <c r="ES88" s="2"/>
      <c r="ET88" s="2"/>
      <c r="EU88" s="2"/>
      <c r="EV88" s="2"/>
      <c r="EW88" s="2"/>
      <c r="EX88" s="2"/>
      <c r="EY88" s="2"/>
      <c r="EZ88" s="2"/>
      <c r="FA88" s="2"/>
      <c r="FB88" s="2"/>
      <c r="FC88" s="2"/>
      <c r="FD88" s="2"/>
      <c r="FE88" s="2"/>
      <c r="FF88" s="2"/>
      <c r="FG88" s="2"/>
      <c r="FH88" s="2"/>
      <c r="FI88" s="2"/>
      <c r="FJ88" s="2"/>
      <c r="FK88" s="2"/>
      <c r="FL88" s="2"/>
      <c r="FM88" s="2"/>
      <c r="FN88" s="2"/>
      <c r="FO88" s="2"/>
      <c r="FP88" s="2"/>
      <c r="FQ88" s="2"/>
      <c r="FR88" s="2"/>
      <c r="FS88" s="2"/>
      <c r="FT88" s="2"/>
      <c r="FU88" s="2"/>
      <c r="FV88" s="2"/>
      <c r="FW88" s="2"/>
      <c r="FX88" s="2"/>
      <c r="FY88" s="2"/>
      <c r="FZ88" s="2"/>
      <c r="GA88" s="2"/>
      <c r="GB88" s="2"/>
      <c r="GC88" s="2"/>
      <c r="GD88" s="2"/>
      <c r="GE88" s="2"/>
      <c r="GF88" s="2"/>
      <c r="GG88" s="2"/>
      <c r="GH88" s="2"/>
      <c r="GI88" s="2"/>
      <c r="GJ88" s="2"/>
      <c r="GK88" s="2"/>
      <c r="GL88" s="2"/>
      <c r="GM88" s="2"/>
      <c r="GN88" s="2"/>
      <c r="GO88" s="2"/>
      <c r="GP88" s="2"/>
      <c r="GQ88" s="2"/>
      <c r="GR88" s="2"/>
      <c r="GS88" s="2"/>
      <c r="GT88" s="2"/>
      <c r="GU88" s="2"/>
      <c r="GV88" s="2"/>
      <c r="GW88" s="2"/>
    </row>
    <row r="89" spans="1:205" s="5" customFormat="1" ht="15.6" x14ac:dyDescent="0.3">
      <c r="A89" s="60" t="s">
        <v>263</v>
      </c>
      <c r="B89" s="23" t="s">
        <v>258</v>
      </c>
      <c r="C89" s="37" t="s">
        <v>259</v>
      </c>
      <c r="D89" s="31" t="s">
        <v>119</v>
      </c>
      <c r="E89" s="30"/>
      <c r="F89" s="102">
        <v>45070</v>
      </c>
      <c r="G89" s="29">
        <v>0</v>
      </c>
      <c r="H89" s="102">
        <f t="shared" si="7"/>
        <v>45069</v>
      </c>
      <c r="I89" s="71">
        <v>0</v>
      </c>
      <c r="J89"/>
      <c r="K89" s="50"/>
      <c r="L89" s="4"/>
      <c r="M89" s="4"/>
      <c r="N89" s="4"/>
      <c r="O89" s="4"/>
      <c r="P89" s="4"/>
      <c r="Q89" s="4"/>
      <c r="R89" s="4"/>
      <c r="S89" s="4"/>
      <c r="T89" s="4"/>
      <c r="U89" s="4"/>
      <c r="V89" s="4"/>
      <c r="W89" s="4"/>
      <c r="X89" s="4"/>
      <c r="Y89" s="4"/>
      <c r="Z89" s="4"/>
      <c r="AA89" s="4"/>
      <c r="AB89" s="7"/>
      <c r="AC89" s="7"/>
      <c r="AD89" s="7"/>
      <c r="AE89" s="7"/>
      <c r="AF89" s="7"/>
      <c r="AG89" s="7"/>
      <c r="AH89" s="7"/>
      <c r="AI89" s="7"/>
      <c r="AJ89" s="7"/>
      <c r="AK89" s="7"/>
      <c r="AL89" s="7"/>
      <c r="AM89" s="7"/>
      <c r="AN89" s="7"/>
      <c r="AO89" s="7"/>
      <c r="AP89" s="7"/>
      <c r="AQ89" s="7"/>
      <c r="AR89" s="7"/>
      <c r="AS89" s="7"/>
      <c r="AT89" s="7"/>
      <c r="AU89" s="7"/>
      <c r="AV89" s="7"/>
      <c r="AW89" s="7"/>
      <c r="AX89" s="7"/>
      <c r="AY89" s="7"/>
      <c r="AZ89" s="7"/>
      <c r="BA89" s="7"/>
      <c r="BB89" s="7"/>
      <c r="BC89" s="7"/>
      <c r="BD89" s="7"/>
      <c r="BE89" s="7"/>
      <c r="BF89" s="7"/>
      <c r="BG89" s="7"/>
      <c r="BH89" s="7"/>
      <c r="BI89" s="7"/>
      <c r="BJ89" s="7"/>
      <c r="BK89" s="51"/>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c r="EI89" s="2"/>
      <c r="EJ89" s="2"/>
      <c r="EK89" s="2"/>
      <c r="EL89" s="2"/>
      <c r="EM89" s="2"/>
      <c r="EN89" s="2"/>
      <c r="EO89" s="2"/>
      <c r="EP89" s="2"/>
      <c r="EQ89" s="2"/>
      <c r="ER89" s="2"/>
      <c r="ES89" s="2"/>
      <c r="ET89" s="2"/>
      <c r="EU89" s="2"/>
      <c r="EV89" s="2"/>
      <c r="EW89" s="2"/>
      <c r="EX89" s="2"/>
      <c r="EY89" s="2"/>
      <c r="EZ89" s="2"/>
      <c r="FA89" s="2"/>
      <c r="FB89" s="2"/>
      <c r="FC89" s="2"/>
      <c r="FD89" s="2"/>
      <c r="FE89" s="2"/>
      <c r="FF89" s="2"/>
      <c r="FG89" s="2"/>
      <c r="FH89" s="2"/>
      <c r="FI89" s="2"/>
      <c r="FJ89" s="2"/>
      <c r="FK89" s="2"/>
      <c r="FL89" s="2"/>
      <c r="FM89" s="2"/>
      <c r="FN89" s="2"/>
      <c r="FO89" s="2"/>
      <c r="FP89" s="2"/>
      <c r="FQ89" s="2"/>
      <c r="FR89" s="2"/>
      <c r="FS89" s="2"/>
      <c r="FT89" s="2"/>
      <c r="FU89" s="2"/>
      <c r="FV89" s="2"/>
      <c r="FW89" s="2"/>
      <c r="FX89" s="2"/>
      <c r="FY89" s="2"/>
      <c r="FZ89" s="2"/>
      <c r="GA89" s="2"/>
      <c r="GB89" s="2"/>
      <c r="GC89" s="2"/>
      <c r="GD89" s="2"/>
      <c r="GE89" s="2"/>
      <c r="GF89" s="2"/>
      <c r="GG89" s="2"/>
      <c r="GH89" s="2"/>
      <c r="GI89" s="2"/>
      <c r="GJ89" s="2"/>
      <c r="GK89" s="2"/>
      <c r="GL89" s="2"/>
      <c r="GM89" s="2"/>
      <c r="GN89" s="2"/>
      <c r="GO89" s="2"/>
      <c r="GP89" s="2"/>
      <c r="GQ89" s="2"/>
      <c r="GR89" s="2"/>
      <c r="GS89" s="2"/>
      <c r="GT89" s="2"/>
      <c r="GU89" s="2"/>
      <c r="GV89" s="2"/>
      <c r="GW89" s="2"/>
    </row>
    <row r="90" spans="1:205" s="5" customFormat="1" ht="15.6" x14ac:dyDescent="0.3">
      <c r="A90" s="60" t="s">
        <v>264</v>
      </c>
      <c r="B90" s="23" t="s">
        <v>258</v>
      </c>
      <c r="C90" s="37" t="s">
        <v>259</v>
      </c>
      <c r="D90" s="31" t="s">
        <v>122</v>
      </c>
      <c r="E90" s="30"/>
      <c r="F90" s="102">
        <v>45070</v>
      </c>
      <c r="G90" s="29">
        <v>0</v>
      </c>
      <c r="H90" s="102">
        <f t="shared" si="7"/>
        <v>45069</v>
      </c>
      <c r="I90" s="71">
        <v>0</v>
      </c>
      <c r="J90"/>
      <c r="K90" s="50"/>
      <c r="L90" s="4"/>
      <c r="M90" s="4"/>
      <c r="N90" s="4"/>
      <c r="O90" s="4"/>
      <c r="P90" s="4"/>
      <c r="Q90" s="4"/>
      <c r="R90" s="4"/>
      <c r="S90" s="4"/>
      <c r="T90" s="4"/>
      <c r="U90" s="4"/>
      <c r="V90" s="4"/>
      <c r="W90" s="4"/>
      <c r="X90" s="4"/>
      <c r="Y90" s="4"/>
      <c r="Z90" s="4"/>
      <c r="AA90" s="4"/>
      <c r="AB90" s="7"/>
      <c r="AC90" s="7"/>
      <c r="AD90" s="7"/>
      <c r="AE90" s="7"/>
      <c r="AF90" s="7"/>
      <c r="AG90" s="7"/>
      <c r="AH90" s="7"/>
      <c r="AI90" s="7"/>
      <c r="AJ90" s="7"/>
      <c r="AK90" s="7"/>
      <c r="AL90" s="7"/>
      <c r="AM90" s="7"/>
      <c r="AN90" s="7"/>
      <c r="AO90" s="7"/>
      <c r="AP90" s="7"/>
      <c r="AQ90" s="7"/>
      <c r="AR90" s="7"/>
      <c r="AS90" s="7"/>
      <c r="AT90" s="7"/>
      <c r="AU90" s="7"/>
      <c r="AV90" s="7"/>
      <c r="AW90" s="7"/>
      <c r="AX90" s="7"/>
      <c r="AY90" s="7"/>
      <c r="AZ90" s="7"/>
      <c r="BA90" s="7"/>
      <c r="BB90" s="7"/>
      <c r="BC90" s="7"/>
      <c r="BD90" s="7"/>
      <c r="BE90" s="7"/>
      <c r="BF90" s="7"/>
      <c r="BG90" s="7"/>
      <c r="BH90" s="7"/>
      <c r="BI90" s="7"/>
      <c r="BJ90" s="7"/>
      <c r="BK90" s="51"/>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c r="DO90" s="2"/>
      <c r="DP90" s="2"/>
      <c r="DQ90" s="2"/>
      <c r="DR90" s="2"/>
      <c r="DS90" s="2"/>
      <c r="DT90" s="2"/>
      <c r="DU90" s="2"/>
      <c r="DV90" s="2"/>
      <c r="DW90" s="2"/>
      <c r="DX90" s="2"/>
      <c r="DY90" s="2"/>
      <c r="DZ90" s="2"/>
      <c r="EA90" s="2"/>
      <c r="EB90" s="2"/>
      <c r="EC90" s="2"/>
      <c r="ED90" s="2"/>
      <c r="EE90" s="2"/>
      <c r="EF90" s="2"/>
      <c r="EG90" s="2"/>
      <c r="EH90" s="2"/>
      <c r="EI90" s="2"/>
      <c r="EJ90" s="2"/>
      <c r="EK90" s="2"/>
      <c r="EL90" s="2"/>
      <c r="EM90" s="2"/>
      <c r="EN90" s="2"/>
      <c r="EO90" s="2"/>
      <c r="EP90" s="2"/>
      <c r="EQ90" s="2"/>
      <c r="ER90" s="2"/>
      <c r="ES90" s="2"/>
      <c r="ET90" s="2"/>
      <c r="EU90" s="2"/>
      <c r="EV90" s="2"/>
      <c r="EW90" s="2"/>
      <c r="EX90" s="2"/>
      <c r="EY90" s="2"/>
      <c r="EZ90" s="2"/>
      <c r="FA90" s="2"/>
      <c r="FB90" s="2"/>
      <c r="FC90" s="2"/>
      <c r="FD90" s="2"/>
      <c r="FE90" s="2"/>
      <c r="FF90" s="2"/>
      <c r="FG90" s="2"/>
      <c r="FH90" s="2"/>
      <c r="FI90" s="2"/>
      <c r="FJ90" s="2"/>
      <c r="FK90" s="2"/>
      <c r="FL90" s="2"/>
      <c r="FM90" s="2"/>
      <c r="FN90" s="2"/>
      <c r="FO90" s="2"/>
      <c r="FP90" s="2"/>
      <c r="FQ90" s="2"/>
      <c r="FR90" s="2"/>
      <c r="FS90" s="2"/>
      <c r="FT90" s="2"/>
      <c r="FU90" s="2"/>
      <c r="FV90" s="2"/>
      <c r="FW90" s="2"/>
      <c r="FX90" s="2"/>
      <c r="FY90" s="2"/>
      <c r="FZ90" s="2"/>
      <c r="GA90" s="2"/>
      <c r="GB90" s="2"/>
      <c r="GC90" s="2"/>
      <c r="GD90" s="2"/>
      <c r="GE90" s="2"/>
      <c r="GF90" s="2"/>
      <c r="GG90" s="2"/>
      <c r="GH90" s="2"/>
      <c r="GI90" s="2"/>
      <c r="GJ90" s="2"/>
      <c r="GK90" s="2"/>
      <c r="GL90" s="2"/>
      <c r="GM90" s="2"/>
      <c r="GN90" s="2"/>
      <c r="GO90" s="2"/>
      <c r="GP90" s="2"/>
      <c r="GQ90" s="2"/>
      <c r="GR90" s="2"/>
      <c r="GS90" s="2"/>
      <c r="GT90" s="2"/>
      <c r="GU90" s="2"/>
      <c r="GV90" s="2"/>
      <c r="GW90" s="2"/>
    </row>
    <row r="91" spans="1:205" s="5" customFormat="1" ht="15.6" x14ac:dyDescent="0.3">
      <c r="A91" s="60" t="s">
        <v>265</v>
      </c>
      <c r="B91" s="23" t="s">
        <v>258</v>
      </c>
      <c r="C91" s="37" t="s">
        <v>259</v>
      </c>
      <c r="D91" s="31" t="s">
        <v>129</v>
      </c>
      <c r="E91" s="30"/>
      <c r="F91" s="102">
        <v>45070</v>
      </c>
      <c r="G91" s="29">
        <v>0</v>
      </c>
      <c r="H91" s="102">
        <f t="shared" si="7"/>
        <v>45069</v>
      </c>
      <c r="I91" s="71">
        <v>0</v>
      </c>
      <c r="J91"/>
      <c r="K91" s="50"/>
      <c r="L91" s="4"/>
      <c r="M91" s="4"/>
      <c r="N91" s="4"/>
      <c r="O91" s="4"/>
      <c r="P91" s="4"/>
      <c r="Q91" s="4"/>
      <c r="R91" s="4"/>
      <c r="S91" s="4"/>
      <c r="T91" s="4"/>
      <c r="U91" s="4"/>
      <c r="V91" s="4"/>
      <c r="W91" s="4"/>
      <c r="X91" s="4"/>
      <c r="Y91" s="4"/>
      <c r="Z91" s="4"/>
      <c r="AA91" s="4"/>
      <c r="AB91" s="7"/>
      <c r="AC91" s="7"/>
      <c r="AD91" s="7"/>
      <c r="AE91" s="7"/>
      <c r="AF91" s="7"/>
      <c r="AG91" s="7"/>
      <c r="AH91" s="7"/>
      <c r="AI91" s="7"/>
      <c r="AJ91" s="7"/>
      <c r="AK91" s="7"/>
      <c r="AL91" s="7"/>
      <c r="AM91" s="7"/>
      <c r="AN91" s="7"/>
      <c r="AO91" s="7"/>
      <c r="AP91" s="7"/>
      <c r="AQ91" s="7"/>
      <c r="AR91" s="7"/>
      <c r="AS91" s="7"/>
      <c r="AT91" s="7"/>
      <c r="AU91" s="7"/>
      <c r="AV91" s="7"/>
      <c r="AW91" s="7"/>
      <c r="AX91" s="7"/>
      <c r="AY91" s="7"/>
      <c r="AZ91" s="7"/>
      <c r="BA91" s="7"/>
      <c r="BB91" s="7"/>
      <c r="BC91" s="7"/>
      <c r="BD91" s="7"/>
      <c r="BE91" s="7"/>
      <c r="BF91" s="7"/>
      <c r="BG91" s="7"/>
      <c r="BH91" s="7"/>
      <c r="BI91" s="7"/>
      <c r="BJ91" s="7"/>
      <c r="BK91" s="51"/>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2"/>
      <c r="DT91" s="2"/>
      <c r="DU91" s="2"/>
      <c r="DV91" s="2"/>
      <c r="DW91" s="2"/>
      <c r="DX91" s="2"/>
      <c r="DY91" s="2"/>
      <c r="DZ91" s="2"/>
      <c r="EA91" s="2"/>
      <c r="EB91" s="2"/>
      <c r="EC91" s="2"/>
      <c r="ED91" s="2"/>
      <c r="EE91" s="2"/>
      <c r="EF91" s="2"/>
      <c r="EG91" s="2"/>
      <c r="EH91" s="2"/>
      <c r="EI91" s="2"/>
      <c r="EJ91" s="2"/>
      <c r="EK91" s="2"/>
      <c r="EL91" s="2"/>
      <c r="EM91" s="2"/>
      <c r="EN91" s="2"/>
      <c r="EO91" s="2"/>
      <c r="EP91" s="2"/>
      <c r="EQ91" s="2"/>
      <c r="ER91" s="2"/>
      <c r="ES91" s="2"/>
      <c r="ET91" s="2"/>
      <c r="EU91" s="2"/>
      <c r="EV91" s="2"/>
      <c r="EW91" s="2"/>
      <c r="EX91" s="2"/>
      <c r="EY91" s="2"/>
      <c r="EZ91" s="2"/>
      <c r="FA91" s="2"/>
      <c r="FB91" s="2"/>
      <c r="FC91" s="2"/>
      <c r="FD91" s="2"/>
      <c r="FE91" s="2"/>
      <c r="FF91" s="2"/>
      <c r="FG91" s="2"/>
      <c r="FH91" s="2"/>
      <c r="FI91" s="2"/>
      <c r="FJ91" s="2"/>
      <c r="FK91" s="2"/>
      <c r="FL91" s="2"/>
      <c r="FM91" s="2"/>
      <c r="FN91" s="2"/>
      <c r="FO91" s="2"/>
      <c r="FP91" s="2"/>
      <c r="FQ91" s="2"/>
      <c r="FR91" s="2"/>
      <c r="FS91" s="2"/>
      <c r="FT91" s="2"/>
      <c r="FU91" s="2"/>
      <c r="FV91" s="2"/>
      <c r="FW91" s="2"/>
      <c r="FX91" s="2"/>
      <c r="FY91" s="2"/>
      <c r="FZ91" s="2"/>
      <c r="GA91" s="2"/>
      <c r="GB91" s="2"/>
      <c r="GC91" s="2"/>
      <c r="GD91" s="2"/>
      <c r="GE91" s="2"/>
      <c r="GF91" s="2"/>
      <c r="GG91" s="2"/>
      <c r="GH91" s="2"/>
      <c r="GI91" s="2"/>
      <c r="GJ91" s="2"/>
      <c r="GK91" s="2"/>
      <c r="GL91" s="2"/>
      <c r="GM91" s="2"/>
      <c r="GN91" s="2"/>
      <c r="GO91" s="2"/>
      <c r="GP91" s="2"/>
      <c r="GQ91" s="2"/>
      <c r="GR91" s="2"/>
      <c r="GS91" s="2"/>
      <c r="GT91" s="2"/>
      <c r="GU91" s="2"/>
      <c r="GV91" s="2"/>
      <c r="GW91" s="2"/>
    </row>
    <row r="92" spans="1:205" s="5" customFormat="1" ht="15.6" x14ac:dyDescent="0.3">
      <c r="A92" s="60" t="s">
        <v>266</v>
      </c>
      <c r="B92" s="23" t="s">
        <v>258</v>
      </c>
      <c r="C92" s="37" t="s">
        <v>259</v>
      </c>
      <c r="D92" s="31" t="s">
        <v>132</v>
      </c>
      <c r="E92" s="30"/>
      <c r="F92" s="102">
        <v>45070</v>
      </c>
      <c r="G92" s="29">
        <v>0</v>
      </c>
      <c r="H92" s="102">
        <f t="shared" si="7"/>
        <v>45069</v>
      </c>
      <c r="I92" s="71">
        <v>0</v>
      </c>
      <c r="J92"/>
      <c r="K92" s="50"/>
      <c r="L92" s="4"/>
      <c r="M92" s="4"/>
      <c r="N92" s="4"/>
      <c r="O92" s="4"/>
      <c r="P92" s="4"/>
      <c r="Q92" s="4"/>
      <c r="R92" s="4"/>
      <c r="S92" s="4"/>
      <c r="T92" s="4"/>
      <c r="U92" s="4"/>
      <c r="V92" s="4"/>
      <c r="W92" s="4"/>
      <c r="X92" s="4"/>
      <c r="Y92" s="4"/>
      <c r="Z92" s="4"/>
      <c r="AA92" s="4"/>
      <c r="AB92" s="7"/>
      <c r="AC92" s="7"/>
      <c r="AD92" s="7"/>
      <c r="AE92" s="7"/>
      <c r="AF92" s="7"/>
      <c r="AG92" s="7"/>
      <c r="AH92" s="7"/>
      <c r="AI92" s="7"/>
      <c r="AJ92" s="7"/>
      <c r="AK92" s="7"/>
      <c r="AL92" s="7"/>
      <c r="AM92" s="7"/>
      <c r="AN92" s="7"/>
      <c r="AO92" s="7"/>
      <c r="AP92" s="7"/>
      <c r="AQ92" s="7"/>
      <c r="AR92" s="7"/>
      <c r="AS92" s="7"/>
      <c r="AT92" s="7"/>
      <c r="AU92" s="7"/>
      <c r="AV92" s="7"/>
      <c r="AW92" s="7"/>
      <c r="AX92" s="7"/>
      <c r="AY92" s="7"/>
      <c r="AZ92" s="7"/>
      <c r="BA92" s="7"/>
      <c r="BB92" s="7"/>
      <c r="BC92" s="7"/>
      <c r="BD92" s="7"/>
      <c r="BE92" s="7"/>
      <c r="BF92" s="7"/>
      <c r="BG92" s="7"/>
      <c r="BH92" s="7"/>
      <c r="BI92" s="7"/>
      <c r="BJ92" s="7"/>
      <c r="BK92" s="51"/>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2"/>
      <c r="FD92" s="2"/>
      <c r="FE92" s="2"/>
      <c r="FF92" s="2"/>
      <c r="FG92" s="2"/>
      <c r="FH92" s="2"/>
      <c r="FI92" s="2"/>
      <c r="FJ92" s="2"/>
      <c r="FK92" s="2"/>
      <c r="FL92" s="2"/>
      <c r="FM92" s="2"/>
      <c r="FN92" s="2"/>
      <c r="FO92" s="2"/>
      <c r="FP92" s="2"/>
      <c r="FQ92" s="2"/>
      <c r="FR92" s="2"/>
      <c r="FS92" s="2"/>
      <c r="FT92" s="2"/>
      <c r="FU92" s="2"/>
      <c r="FV92" s="2"/>
      <c r="FW92" s="2"/>
      <c r="FX92" s="2"/>
      <c r="FY92" s="2"/>
      <c r="FZ92" s="2"/>
      <c r="GA92" s="2"/>
      <c r="GB92" s="2"/>
      <c r="GC92" s="2"/>
      <c r="GD92" s="2"/>
      <c r="GE92" s="2"/>
      <c r="GF92" s="2"/>
      <c r="GG92" s="2"/>
      <c r="GH92" s="2"/>
      <c r="GI92" s="2"/>
      <c r="GJ92" s="2"/>
      <c r="GK92" s="2"/>
      <c r="GL92" s="2"/>
      <c r="GM92" s="2"/>
      <c r="GN92" s="2"/>
      <c r="GO92" s="2"/>
      <c r="GP92" s="2"/>
      <c r="GQ92" s="2"/>
      <c r="GR92" s="2"/>
      <c r="GS92" s="2"/>
      <c r="GT92" s="2"/>
      <c r="GU92" s="2"/>
      <c r="GV92" s="2"/>
      <c r="GW92" s="2"/>
    </row>
    <row r="93" spans="1:205" s="5" customFormat="1" ht="15.6" x14ac:dyDescent="0.3">
      <c r="A93" s="60" t="s">
        <v>267</v>
      </c>
      <c r="B93" s="23" t="s">
        <v>258</v>
      </c>
      <c r="C93" s="37" t="s">
        <v>259</v>
      </c>
      <c r="D93" s="31" t="s">
        <v>134</v>
      </c>
      <c r="E93" s="30"/>
      <c r="F93" s="102">
        <v>45070</v>
      </c>
      <c r="G93" s="29">
        <v>0</v>
      </c>
      <c r="H93" s="102">
        <f t="shared" si="7"/>
        <v>45069</v>
      </c>
      <c r="I93" s="71">
        <v>0</v>
      </c>
      <c r="J93"/>
      <c r="K93" s="50"/>
      <c r="L93" s="4"/>
      <c r="M93" s="4"/>
      <c r="N93" s="4"/>
      <c r="O93" s="4"/>
      <c r="P93" s="4"/>
      <c r="Q93" s="4"/>
      <c r="R93" s="4"/>
      <c r="S93" s="4"/>
      <c r="T93" s="4"/>
      <c r="U93" s="4"/>
      <c r="V93" s="4"/>
      <c r="W93" s="4"/>
      <c r="X93" s="4"/>
      <c r="Y93" s="4"/>
      <c r="Z93" s="4"/>
      <c r="AA93" s="4"/>
      <c r="AB93" s="7"/>
      <c r="AC93" s="7"/>
      <c r="AD93" s="7"/>
      <c r="AE93" s="7"/>
      <c r="AF93" s="7"/>
      <c r="AG93" s="7"/>
      <c r="AH93" s="7"/>
      <c r="AI93" s="7"/>
      <c r="AJ93" s="7"/>
      <c r="AK93" s="7"/>
      <c r="AL93" s="7"/>
      <c r="AM93" s="7"/>
      <c r="AN93" s="7"/>
      <c r="AO93" s="7"/>
      <c r="AP93" s="7"/>
      <c r="AQ93" s="7"/>
      <c r="AR93" s="7"/>
      <c r="AS93" s="7"/>
      <c r="AT93" s="7"/>
      <c r="AU93" s="7"/>
      <c r="AV93" s="7"/>
      <c r="AW93" s="7"/>
      <c r="AX93" s="7"/>
      <c r="AY93" s="7"/>
      <c r="AZ93" s="7"/>
      <c r="BA93" s="7"/>
      <c r="BB93" s="7"/>
      <c r="BC93" s="7"/>
      <c r="BD93" s="7"/>
      <c r="BE93" s="7"/>
      <c r="BF93" s="7"/>
      <c r="BG93" s="7"/>
      <c r="BH93" s="7"/>
      <c r="BI93" s="7"/>
      <c r="BJ93" s="7"/>
      <c r="BK93" s="51"/>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c r="DO93" s="2"/>
      <c r="DP93" s="2"/>
      <c r="DQ93" s="2"/>
      <c r="DR93" s="2"/>
      <c r="DS93" s="2"/>
      <c r="DT93" s="2"/>
      <c r="DU93" s="2"/>
      <c r="DV93" s="2"/>
      <c r="DW93" s="2"/>
      <c r="DX93" s="2"/>
      <c r="DY93" s="2"/>
      <c r="DZ93" s="2"/>
      <c r="EA93" s="2"/>
      <c r="EB93" s="2"/>
      <c r="EC93" s="2"/>
      <c r="ED93" s="2"/>
      <c r="EE93" s="2"/>
      <c r="EF93" s="2"/>
      <c r="EG93" s="2"/>
      <c r="EH93" s="2"/>
      <c r="EI93" s="2"/>
      <c r="EJ93" s="2"/>
      <c r="EK93" s="2"/>
      <c r="EL93" s="2"/>
      <c r="EM93" s="2"/>
      <c r="EN93" s="2"/>
      <c r="EO93" s="2"/>
      <c r="EP93" s="2"/>
      <c r="EQ93" s="2"/>
      <c r="ER93" s="2"/>
      <c r="ES93" s="2"/>
      <c r="ET93" s="2"/>
      <c r="EU93" s="2"/>
      <c r="EV93" s="2"/>
      <c r="EW93" s="2"/>
      <c r="EX93" s="2"/>
      <c r="EY93" s="2"/>
      <c r="EZ93" s="2"/>
      <c r="FA93" s="2"/>
      <c r="FB93" s="2"/>
      <c r="FC93" s="2"/>
      <c r="FD93" s="2"/>
      <c r="FE93" s="2"/>
      <c r="FF93" s="2"/>
      <c r="FG93" s="2"/>
      <c r="FH93" s="2"/>
      <c r="FI93" s="2"/>
      <c r="FJ93" s="2"/>
      <c r="FK93" s="2"/>
      <c r="FL93" s="2"/>
      <c r="FM93" s="2"/>
      <c r="FN93" s="2"/>
      <c r="FO93" s="2"/>
      <c r="FP93" s="2"/>
      <c r="FQ93" s="2"/>
      <c r="FR93" s="2"/>
      <c r="FS93" s="2"/>
      <c r="FT93" s="2"/>
      <c r="FU93" s="2"/>
      <c r="FV93" s="2"/>
      <c r="FW93" s="2"/>
      <c r="FX93" s="2"/>
      <c r="FY93" s="2"/>
      <c r="FZ93" s="2"/>
      <c r="GA93" s="2"/>
      <c r="GB93" s="2"/>
      <c r="GC93" s="2"/>
      <c r="GD93" s="2"/>
      <c r="GE93" s="2"/>
      <c r="GF93" s="2"/>
      <c r="GG93" s="2"/>
      <c r="GH93" s="2"/>
      <c r="GI93" s="2"/>
      <c r="GJ93" s="2"/>
      <c r="GK93" s="2"/>
      <c r="GL93" s="2"/>
      <c r="GM93" s="2"/>
      <c r="GN93" s="2"/>
      <c r="GO93" s="2"/>
      <c r="GP93" s="2"/>
      <c r="GQ93" s="2"/>
      <c r="GR93" s="2"/>
      <c r="GS93" s="2"/>
      <c r="GT93" s="2"/>
      <c r="GU93" s="2"/>
      <c r="GV93" s="2"/>
      <c r="GW93" s="2"/>
    </row>
    <row r="94" spans="1:205" s="5" customFormat="1" ht="15.6" x14ac:dyDescent="0.3">
      <c r="A94" s="60" t="s">
        <v>268</v>
      </c>
      <c r="B94" s="23" t="s">
        <v>258</v>
      </c>
      <c r="C94" s="37" t="s">
        <v>259</v>
      </c>
      <c r="D94" s="31" t="s">
        <v>137</v>
      </c>
      <c r="E94" s="30"/>
      <c r="F94" s="102">
        <v>45070</v>
      </c>
      <c r="G94" s="29">
        <v>0</v>
      </c>
      <c r="H94" s="102">
        <f t="shared" si="7"/>
        <v>45069</v>
      </c>
      <c r="I94" s="71">
        <v>0</v>
      </c>
      <c r="J94"/>
      <c r="K94" s="50"/>
      <c r="L94" s="4"/>
      <c r="M94" s="4"/>
      <c r="N94" s="4"/>
      <c r="O94" s="4"/>
      <c r="P94" s="4"/>
      <c r="Q94" s="4"/>
      <c r="R94" s="4"/>
      <c r="S94" s="4"/>
      <c r="T94" s="4"/>
      <c r="U94" s="4"/>
      <c r="V94" s="4"/>
      <c r="W94" s="4"/>
      <c r="X94" s="4"/>
      <c r="Y94" s="4"/>
      <c r="Z94" s="4"/>
      <c r="AA94" s="4"/>
      <c r="AB94" s="7"/>
      <c r="AC94" s="7"/>
      <c r="AD94" s="7"/>
      <c r="AE94" s="7"/>
      <c r="AF94" s="7"/>
      <c r="AG94" s="7"/>
      <c r="AH94" s="7"/>
      <c r="AI94" s="7"/>
      <c r="AJ94" s="7"/>
      <c r="AK94" s="7"/>
      <c r="AL94" s="7"/>
      <c r="AM94" s="7"/>
      <c r="AN94" s="7"/>
      <c r="AO94" s="7"/>
      <c r="AP94" s="7"/>
      <c r="AQ94" s="7"/>
      <c r="AR94" s="7"/>
      <c r="AS94" s="7"/>
      <c r="AT94" s="7"/>
      <c r="AU94" s="7"/>
      <c r="AV94" s="7"/>
      <c r="AW94" s="7"/>
      <c r="AX94" s="7"/>
      <c r="AY94" s="7"/>
      <c r="AZ94" s="7"/>
      <c r="BA94" s="7"/>
      <c r="BB94" s="7"/>
      <c r="BC94" s="7"/>
      <c r="BD94" s="7"/>
      <c r="BE94" s="7"/>
      <c r="BF94" s="7"/>
      <c r="BG94" s="7"/>
      <c r="BH94" s="7"/>
      <c r="BI94" s="7"/>
      <c r="BJ94" s="7"/>
      <c r="BK94" s="51"/>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c r="DO94" s="2"/>
      <c r="DP94" s="2"/>
      <c r="DQ94" s="2"/>
      <c r="DR94" s="2"/>
      <c r="DS94" s="2"/>
      <c r="DT94" s="2"/>
      <c r="DU94" s="2"/>
      <c r="DV94" s="2"/>
      <c r="DW94" s="2"/>
      <c r="DX94" s="2"/>
      <c r="DY94" s="2"/>
      <c r="DZ94" s="2"/>
      <c r="EA94" s="2"/>
      <c r="EB94" s="2"/>
      <c r="EC94" s="2"/>
      <c r="ED94" s="2"/>
      <c r="EE94" s="2"/>
      <c r="EF94" s="2"/>
      <c r="EG94" s="2"/>
      <c r="EH94" s="2"/>
      <c r="EI94" s="2"/>
      <c r="EJ94" s="2"/>
      <c r="EK94" s="2"/>
      <c r="EL94" s="2"/>
      <c r="EM94" s="2"/>
      <c r="EN94" s="2"/>
      <c r="EO94" s="2"/>
      <c r="EP94" s="2"/>
      <c r="EQ94" s="2"/>
      <c r="ER94" s="2"/>
      <c r="ES94" s="2"/>
      <c r="ET94" s="2"/>
      <c r="EU94" s="2"/>
      <c r="EV94" s="2"/>
      <c r="EW94" s="2"/>
      <c r="EX94" s="2"/>
      <c r="EY94" s="2"/>
      <c r="EZ94" s="2"/>
      <c r="FA94" s="2"/>
      <c r="FB94" s="2"/>
      <c r="FC94" s="2"/>
      <c r="FD94" s="2"/>
      <c r="FE94" s="2"/>
      <c r="FF94" s="2"/>
      <c r="FG94" s="2"/>
      <c r="FH94" s="2"/>
      <c r="FI94" s="2"/>
      <c r="FJ94" s="2"/>
      <c r="FK94" s="2"/>
      <c r="FL94" s="2"/>
      <c r="FM94" s="2"/>
      <c r="FN94" s="2"/>
      <c r="FO94" s="2"/>
      <c r="FP94" s="2"/>
      <c r="FQ94" s="2"/>
      <c r="FR94" s="2"/>
      <c r="FS94" s="2"/>
      <c r="FT94" s="2"/>
      <c r="FU94" s="2"/>
      <c r="FV94" s="2"/>
      <c r="FW94" s="2"/>
      <c r="FX94" s="2"/>
      <c r="FY94" s="2"/>
      <c r="FZ94" s="2"/>
      <c r="GA94" s="2"/>
      <c r="GB94" s="2"/>
      <c r="GC94" s="2"/>
      <c r="GD94" s="2"/>
      <c r="GE94" s="2"/>
      <c r="GF94" s="2"/>
      <c r="GG94" s="2"/>
      <c r="GH94" s="2"/>
      <c r="GI94" s="2"/>
      <c r="GJ94" s="2"/>
      <c r="GK94" s="2"/>
      <c r="GL94" s="2"/>
      <c r="GM94" s="2"/>
      <c r="GN94" s="2"/>
      <c r="GO94" s="2"/>
      <c r="GP94" s="2"/>
      <c r="GQ94" s="2"/>
      <c r="GR94" s="2"/>
      <c r="GS94" s="2"/>
      <c r="GT94" s="2"/>
      <c r="GU94" s="2"/>
      <c r="GV94" s="2"/>
      <c r="GW94" s="2"/>
    </row>
    <row r="95" spans="1:205" s="5" customFormat="1" ht="15.6" x14ac:dyDescent="0.3">
      <c r="A95" s="60" t="s">
        <v>269</v>
      </c>
      <c r="B95" s="23" t="s">
        <v>258</v>
      </c>
      <c r="C95" s="37" t="s">
        <v>259</v>
      </c>
      <c r="D95" s="31" t="s">
        <v>140</v>
      </c>
      <c r="E95" s="30"/>
      <c r="F95" s="102">
        <v>45070</v>
      </c>
      <c r="G95" s="29">
        <v>0</v>
      </c>
      <c r="H95" s="102">
        <f t="shared" si="7"/>
        <v>45069</v>
      </c>
      <c r="I95" s="71">
        <v>0</v>
      </c>
      <c r="J95"/>
      <c r="K95" s="50"/>
      <c r="L95" s="4"/>
      <c r="M95" s="4"/>
      <c r="N95" s="4"/>
      <c r="O95" s="4"/>
      <c r="P95" s="4"/>
      <c r="Q95" s="4"/>
      <c r="R95" s="4"/>
      <c r="S95" s="4"/>
      <c r="T95" s="4"/>
      <c r="U95" s="4"/>
      <c r="V95" s="4"/>
      <c r="W95" s="4"/>
      <c r="X95" s="4"/>
      <c r="Y95" s="4"/>
      <c r="Z95" s="4"/>
      <c r="AA95" s="4"/>
      <c r="AB95" s="7"/>
      <c r="AC95" s="7"/>
      <c r="AD95" s="7"/>
      <c r="AE95" s="7"/>
      <c r="AF95" s="7"/>
      <c r="AG95" s="7"/>
      <c r="AH95" s="7"/>
      <c r="AI95" s="7"/>
      <c r="AJ95" s="7"/>
      <c r="AK95" s="7"/>
      <c r="AL95" s="7"/>
      <c r="AM95" s="7"/>
      <c r="AN95" s="7"/>
      <c r="AO95" s="7"/>
      <c r="AP95" s="7"/>
      <c r="AQ95" s="7"/>
      <c r="AR95" s="7"/>
      <c r="AS95" s="7"/>
      <c r="AT95" s="7"/>
      <c r="AU95" s="7"/>
      <c r="AV95" s="7"/>
      <c r="AW95" s="7"/>
      <c r="AX95" s="7"/>
      <c r="AY95" s="7"/>
      <c r="AZ95" s="7"/>
      <c r="BA95" s="7"/>
      <c r="BB95" s="7"/>
      <c r="BC95" s="7"/>
      <c r="BD95" s="7"/>
      <c r="BE95" s="7"/>
      <c r="BF95" s="7"/>
      <c r="BG95" s="7"/>
      <c r="BH95" s="7"/>
      <c r="BI95" s="7"/>
      <c r="BJ95" s="7"/>
      <c r="BK95" s="51"/>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c r="DO95" s="2"/>
      <c r="DP95" s="2"/>
      <c r="DQ95" s="2"/>
      <c r="DR95" s="2"/>
      <c r="DS95" s="2"/>
      <c r="DT95" s="2"/>
      <c r="DU95" s="2"/>
      <c r="DV95" s="2"/>
      <c r="DW95" s="2"/>
      <c r="DX95" s="2"/>
      <c r="DY95" s="2"/>
      <c r="DZ95" s="2"/>
      <c r="EA95" s="2"/>
      <c r="EB95" s="2"/>
      <c r="EC95" s="2"/>
      <c r="ED95" s="2"/>
      <c r="EE95" s="2"/>
      <c r="EF95" s="2"/>
      <c r="EG95" s="2"/>
      <c r="EH95" s="2"/>
      <c r="EI95" s="2"/>
      <c r="EJ95" s="2"/>
      <c r="EK95" s="2"/>
      <c r="EL95" s="2"/>
      <c r="EM95" s="2"/>
      <c r="EN95" s="2"/>
      <c r="EO95" s="2"/>
      <c r="EP95" s="2"/>
      <c r="EQ95" s="2"/>
      <c r="ER95" s="2"/>
      <c r="ES95" s="2"/>
      <c r="ET95" s="2"/>
      <c r="EU95" s="2"/>
      <c r="EV95" s="2"/>
      <c r="EW95" s="2"/>
      <c r="EX95" s="2"/>
      <c r="EY95" s="2"/>
      <c r="EZ95" s="2"/>
      <c r="FA95" s="2"/>
      <c r="FB95" s="2"/>
      <c r="FC95" s="2"/>
      <c r="FD95" s="2"/>
      <c r="FE95" s="2"/>
      <c r="FF95" s="2"/>
      <c r="FG95" s="2"/>
      <c r="FH95" s="2"/>
      <c r="FI95" s="2"/>
      <c r="FJ95" s="2"/>
      <c r="FK95" s="2"/>
      <c r="FL95" s="2"/>
      <c r="FM95" s="2"/>
      <c r="FN95" s="2"/>
      <c r="FO95" s="2"/>
      <c r="FP95" s="2"/>
      <c r="FQ95" s="2"/>
      <c r="FR95" s="2"/>
      <c r="FS95" s="2"/>
      <c r="FT95" s="2"/>
      <c r="FU95" s="2"/>
      <c r="FV95" s="2"/>
      <c r="FW95" s="2"/>
      <c r="FX95" s="2"/>
      <c r="FY95" s="2"/>
      <c r="FZ95" s="2"/>
      <c r="GA95" s="2"/>
      <c r="GB95" s="2"/>
      <c r="GC95" s="2"/>
      <c r="GD95" s="2"/>
      <c r="GE95" s="2"/>
      <c r="GF95" s="2"/>
      <c r="GG95" s="2"/>
      <c r="GH95" s="2"/>
      <c r="GI95" s="2"/>
      <c r="GJ95" s="2"/>
      <c r="GK95" s="2"/>
      <c r="GL95" s="2"/>
      <c r="GM95" s="2"/>
      <c r="GN95" s="2"/>
      <c r="GO95" s="2"/>
      <c r="GP95" s="2"/>
      <c r="GQ95" s="2"/>
      <c r="GR95" s="2"/>
      <c r="GS95" s="2"/>
      <c r="GT95" s="2"/>
      <c r="GU95" s="2"/>
      <c r="GV95" s="2"/>
      <c r="GW95" s="2"/>
    </row>
    <row r="96" spans="1:205" s="5" customFormat="1" ht="15.6" x14ac:dyDescent="0.3">
      <c r="A96" s="60" t="s">
        <v>270</v>
      </c>
      <c r="B96" s="23" t="s">
        <v>258</v>
      </c>
      <c r="C96" s="37" t="s">
        <v>259</v>
      </c>
      <c r="D96" s="31" t="s">
        <v>96</v>
      </c>
      <c r="E96" s="30"/>
      <c r="F96" s="102">
        <v>45070</v>
      </c>
      <c r="G96" s="29">
        <v>0</v>
      </c>
      <c r="H96" s="102">
        <f t="shared" si="7"/>
        <v>45069</v>
      </c>
      <c r="I96" s="71">
        <v>0</v>
      </c>
      <c r="J96"/>
      <c r="K96" s="50"/>
      <c r="L96" s="4"/>
      <c r="M96" s="4"/>
      <c r="N96" s="4"/>
      <c r="O96" s="4"/>
      <c r="P96" s="4"/>
      <c r="Q96" s="4"/>
      <c r="R96" s="4"/>
      <c r="S96" s="4"/>
      <c r="T96" s="4"/>
      <c r="U96" s="4"/>
      <c r="V96" s="4"/>
      <c r="W96" s="4"/>
      <c r="X96" s="4"/>
      <c r="Y96" s="4"/>
      <c r="Z96" s="4"/>
      <c r="AA96" s="4"/>
      <c r="AB96" s="7"/>
      <c r="AC96" s="7"/>
      <c r="AD96" s="7"/>
      <c r="AE96" s="7"/>
      <c r="AF96" s="7"/>
      <c r="AG96" s="7"/>
      <c r="AH96" s="7"/>
      <c r="AI96" s="7"/>
      <c r="AJ96" s="7"/>
      <c r="AK96" s="7"/>
      <c r="AL96" s="7"/>
      <c r="AM96" s="7"/>
      <c r="AN96" s="7"/>
      <c r="AO96" s="7"/>
      <c r="AP96" s="7"/>
      <c r="AQ96" s="7"/>
      <c r="AR96" s="7"/>
      <c r="AS96" s="7"/>
      <c r="AT96" s="7"/>
      <c r="AU96" s="7"/>
      <c r="AV96" s="7"/>
      <c r="AW96" s="7"/>
      <c r="AX96" s="7"/>
      <c r="AY96" s="7"/>
      <c r="AZ96" s="7"/>
      <c r="BA96" s="7"/>
      <c r="BB96" s="7"/>
      <c r="BC96" s="7"/>
      <c r="BD96" s="7"/>
      <c r="BE96" s="7"/>
      <c r="BF96" s="7"/>
      <c r="BG96" s="7"/>
      <c r="BH96" s="7"/>
      <c r="BI96" s="7"/>
      <c r="BJ96" s="7"/>
      <c r="BK96" s="51"/>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c r="DO96" s="2"/>
      <c r="DP96" s="2"/>
      <c r="DQ96" s="2"/>
      <c r="DR96" s="2"/>
      <c r="DS96" s="2"/>
      <c r="DT96" s="2"/>
      <c r="DU96" s="2"/>
      <c r="DV96" s="2"/>
      <c r="DW96" s="2"/>
      <c r="DX96" s="2"/>
      <c r="DY96" s="2"/>
      <c r="DZ96" s="2"/>
      <c r="EA96" s="2"/>
      <c r="EB96" s="2"/>
      <c r="EC96" s="2"/>
      <c r="ED96" s="2"/>
      <c r="EE96" s="2"/>
      <c r="EF96" s="2"/>
      <c r="EG96" s="2"/>
      <c r="EH96" s="2"/>
      <c r="EI96" s="2"/>
      <c r="EJ96" s="2"/>
      <c r="EK96" s="2"/>
      <c r="EL96" s="2"/>
      <c r="EM96" s="2"/>
      <c r="EN96" s="2"/>
      <c r="EO96" s="2"/>
      <c r="EP96" s="2"/>
      <c r="EQ96" s="2"/>
      <c r="ER96" s="2"/>
      <c r="ES96" s="2"/>
      <c r="ET96" s="2"/>
      <c r="EU96" s="2"/>
      <c r="EV96" s="2"/>
      <c r="EW96" s="2"/>
      <c r="EX96" s="2"/>
      <c r="EY96" s="2"/>
      <c r="EZ96" s="2"/>
      <c r="FA96" s="2"/>
      <c r="FB96" s="2"/>
      <c r="FC96" s="2"/>
      <c r="FD96" s="2"/>
      <c r="FE96" s="2"/>
      <c r="FF96" s="2"/>
      <c r="FG96" s="2"/>
      <c r="FH96" s="2"/>
      <c r="FI96" s="2"/>
      <c r="FJ96" s="2"/>
      <c r="FK96" s="2"/>
      <c r="FL96" s="2"/>
      <c r="FM96" s="2"/>
      <c r="FN96" s="2"/>
      <c r="FO96" s="2"/>
      <c r="FP96" s="2"/>
      <c r="FQ96" s="2"/>
      <c r="FR96" s="2"/>
      <c r="FS96" s="2"/>
      <c r="FT96" s="2"/>
      <c r="FU96" s="2"/>
      <c r="FV96" s="2"/>
      <c r="FW96" s="2"/>
      <c r="FX96" s="2"/>
      <c r="FY96" s="2"/>
      <c r="FZ96" s="2"/>
      <c r="GA96" s="2"/>
      <c r="GB96" s="2"/>
      <c r="GC96" s="2"/>
      <c r="GD96" s="2"/>
      <c r="GE96" s="2"/>
      <c r="GF96" s="2"/>
      <c r="GG96" s="2"/>
      <c r="GH96" s="2"/>
      <c r="GI96" s="2"/>
      <c r="GJ96" s="2"/>
      <c r="GK96" s="2"/>
      <c r="GL96" s="2"/>
      <c r="GM96" s="2"/>
      <c r="GN96" s="2"/>
      <c r="GO96" s="2"/>
      <c r="GP96" s="2"/>
      <c r="GQ96" s="2"/>
      <c r="GR96" s="2"/>
      <c r="GS96" s="2"/>
      <c r="GT96" s="2"/>
      <c r="GU96" s="2"/>
      <c r="GV96" s="2"/>
      <c r="GW96" s="2"/>
    </row>
    <row r="97" spans="1:205" s="5" customFormat="1" ht="15.6" x14ac:dyDescent="0.3">
      <c r="A97" s="60" t="s">
        <v>271</v>
      </c>
      <c r="B97" s="23" t="s">
        <v>258</v>
      </c>
      <c r="C97" s="37" t="s">
        <v>259</v>
      </c>
      <c r="D97" s="31" t="s">
        <v>99</v>
      </c>
      <c r="E97" s="30"/>
      <c r="F97" s="102">
        <v>45070</v>
      </c>
      <c r="G97" s="29">
        <v>0</v>
      </c>
      <c r="H97" s="102">
        <f t="shared" si="7"/>
        <v>45069</v>
      </c>
      <c r="I97" s="71">
        <v>0</v>
      </c>
      <c r="J97"/>
      <c r="K97" s="50"/>
      <c r="L97" s="4"/>
      <c r="M97" s="4"/>
      <c r="N97" s="4"/>
      <c r="O97" s="4"/>
      <c r="P97" s="4"/>
      <c r="Q97" s="4"/>
      <c r="R97" s="4"/>
      <c r="S97" s="4"/>
      <c r="T97" s="4"/>
      <c r="U97" s="4"/>
      <c r="V97" s="4"/>
      <c r="W97" s="4"/>
      <c r="X97" s="4"/>
      <c r="Y97" s="4"/>
      <c r="Z97" s="4"/>
      <c r="AA97" s="4"/>
      <c r="AB97" s="7"/>
      <c r="AC97" s="7"/>
      <c r="AD97" s="7"/>
      <c r="AE97" s="7"/>
      <c r="AF97" s="7"/>
      <c r="AG97" s="7"/>
      <c r="AH97" s="7"/>
      <c r="AI97" s="7"/>
      <c r="AJ97" s="7"/>
      <c r="AK97" s="7"/>
      <c r="AL97" s="7"/>
      <c r="AM97" s="7"/>
      <c r="AN97" s="7"/>
      <c r="AO97" s="7"/>
      <c r="AP97" s="7"/>
      <c r="AQ97" s="7"/>
      <c r="AR97" s="7"/>
      <c r="AS97" s="7"/>
      <c r="AT97" s="7"/>
      <c r="AU97" s="7"/>
      <c r="AV97" s="7"/>
      <c r="AW97" s="7"/>
      <c r="AX97" s="7"/>
      <c r="AY97" s="7"/>
      <c r="AZ97" s="7"/>
      <c r="BA97" s="7"/>
      <c r="BB97" s="7"/>
      <c r="BC97" s="7"/>
      <c r="BD97" s="7"/>
      <c r="BE97" s="7"/>
      <c r="BF97" s="7"/>
      <c r="BG97" s="7"/>
      <c r="BH97" s="7"/>
      <c r="BI97" s="7"/>
      <c r="BJ97" s="7"/>
      <c r="BK97" s="51"/>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c r="DO97" s="2"/>
      <c r="DP97" s="2"/>
      <c r="DQ97" s="2"/>
      <c r="DR97" s="2"/>
      <c r="DS97" s="2"/>
      <c r="DT97" s="2"/>
      <c r="DU97" s="2"/>
      <c r="DV97" s="2"/>
      <c r="DW97" s="2"/>
      <c r="DX97" s="2"/>
      <c r="DY97" s="2"/>
      <c r="DZ97" s="2"/>
      <c r="EA97" s="2"/>
      <c r="EB97" s="2"/>
      <c r="EC97" s="2"/>
      <c r="ED97" s="2"/>
      <c r="EE97" s="2"/>
      <c r="EF97" s="2"/>
      <c r="EG97" s="2"/>
      <c r="EH97" s="2"/>
      <c r="EI97" s="2"/>
      <c r="EJ97" s="2"/>
      <c r="EK97" s="2"/>
      <c r="EL97" s="2"/>
      <c r="EM97" s="2"/>
      <c r="EN97" s="2"/>
      <c r="EO97" s="2"/>
      <c r="EP97" s="2"/>
      <c r="EQ97" s="2"/>
      <c r="ER97" s="2"/>
      <c r="ES97" s="2"/>
      <c r="ET97" s="2"/>
      <c r="EU97" s="2"/>
      <c r="EV97" s="2"/>
      <c r="EW97" s="2"/>
      <c r="EX97" s="2"/>
      <c r="EY97" s="2"/>
      <c r="EZ97" s="2"/>
      <c r="FA97" s="2"/>
      <c r="FB97" s="2"/>
      <c r="FC97" s="2"/>
      <c r="FD97" s="2"/>
      <c r="FE97" s="2"/>
      <c r="FF97" s="2"/>
      <c r="FG97" s="2"/>
      <c r="FH97" s="2"/>
      <c r="FI97" s="2"/>
      <c r="FJ97" s="2"/>
      <c r="FK97" s="2"/>
      <c r="FL97" s="2"/>
      <c r="FM97" s="2"/>
      <c r="FN97" s="2"/>
      <c r="FO97" s="2"/>
      <c r="FP97" s="2"/>
      <c r="FQ97" s="2"/>
      <c r="FR97" s="2"/>
      <c r="FS97" s="2"/>
      <c r="FT97" s="2"/>
      <c r="FU97" s="2"/>
      <c r="FV97" s="2"/>
      <c r="FW97" s="2"/>
      <c r="FX97" s="2"/>
      <c r="FY97" s="2"/>
      <c r="FZ97" s="2"/>
      <c r="GA97" s="2"/>
      <c r="GB97" s="2"/>
      <c r="GC97" s="2"/>
      <c r="GD97" s="2"/>
      <c r="GE97" s="2"/>
      <c r="GF97" s="2"/>
      <c r="GG97" s="2"/>
      <c r="GH97" s="2"/>
      <c r="GI97" s="2"/>
      <c r="GJ97" s="2"/>
      <c r="GK97" s="2"/>
      <c r="GL97" s="2"/>
      <c r="GM97" s="2"/>
      <c r="GN97" s="2"/>
      <c r="GO97" s="2"/>
      <c r="GP97" s="2"/>
      <c r="GQ97" s="2"/>
      <c r="GR97" s="2"/>
      <c r="GS97" s="2"/>
      <c r="GT97" s="2"/>
      <c r="GU97" s="2"/>
      <c r="GV97" s="2"/>
      <c r="GW97" s="2"/>
    </row>
    <row r="98" spans="1:205" s="5" customFormat="1" ht="15.6" x14ac:dyDescent="0.3">
      <c r="A98" s="60" t="s">
        <v>272</v>
      </c>
      <c r="B98" s="23" t="s">
        <v>258</v>
      </c>
      <c r="C98" s="37" t="s">
        <v>259</v>
      </c>
      <c r="D98" s="31" t="s">
        <v>102</v>
      </c>
      <c r="E98" s="30"/>
      <c r="F98" s="102">
        <v>45070</v>
      </c>
      <c r="G98" s="29">
        <v>0</v>
      </c>
      <c r="H98" s="102">
        <f t="shared" si="7"/>
        <v>45069</v>
      </c>
      <c r="I98" s="71">
        <v>0</v>
      </c>
      <c r="J98"/>
      <c r="K98" s="50"/>
      <c r="L98" s="4"/>
      <c r="M98" s="4"/>
      <c r="N98" s="4"/>
      <c r="O98" s="4"/>
      <c r="P98" s="4"/>
      <c r="Q98" s="4"/>
      <c r="R98" s="4"/>
      <c r="S98" s="4"/>
      <c r="T98" s="4"/>
      <c r="U98" s="4"/>
      <c r="V98" s="4"/>
      <c r="W98" s="4"/>
      <c r="X98" s="4"/>
      <c r="Y98" s="4"/>
      <c r="Z98" s="4"/>
      <c r="AA98" s="4"/>
      <c r="AB98" s="7"/>
      <c r="AC98" s="7"/>
      <c r="AD98" s="7"/>
      <c r="AE98" s="7"/>
      <c r="AF98" s="7"/>
      <c r="AG98" s="7"/>
      <c r="AH98" s="7"/>
      <c r="AI98" s="7"/>
      <c r="AJ98" s="7"/>
      <c r="AK98" s="7"/>
      <c r="AL98" s="7"/>
      <c r="AM98" s="7"/>
      <c r="AN98" s="7"/>
      <c r="AO98" s="7"/>
      <c r="AP98" s="7"/>
      <c r="AQ98" s="7"/>
      <c r="AR98" s="7"/>
      <c r="AS98" s="7"/>
      <c r="AT98" s="7"/>
      <c r="AU98" s="7"/>
      <c r="AV98" s="7"/>
      <c r="AW98" s="7"/>
      <c r="AX98" s="7"/>
      <c r="AY98" s="7"/>
      <c r="AZ98" s="7"/>
      <c r="BA98" s="7"/>
      <c r="BB98" s="7"/>
      <c r="BC98" s="7"/>
      <c r="BD98" s="7"/>
      <c r="BE98" s="7"/>
      <c r="BF98" s="7"/>
      <c r="BG98" s="7"/>
      <c r="BH98" s="7"/>
      <c r="BI98" s="7"/>
      <c r="BJ98" s="7"/>
      <c r="BK98" s="51"/>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c r="DO98" s="2"/>
      <c r="DP98" s="2"/>
      <c r="DQ98" s="2"/>
      <c r="DR98" s="2"/>
      <c r="DS98" s="2"/>
      <c r="DT98" s="2"/>
      <c r="DU98" s="2"/>
      <c r="DV98" s="2"/>
      <c r="DW98" s="2"/>
      <c r="DX98" s="2"/>
      <c r="DY98" s="2"/>
      <c r="DZ98" s="2"/>
      <c r="EA98" s="2"/>
      <c r="EB98" s="2"/>
      <c r="EC98" s="2"/>
      <c r="ED98" s="2"/>
      <c r="EE98" s="2"/>
      <c r="EF98" s="2"/>
      <c r="EG98" s="2"/>
      <c r="EH98" s="2"/>
      <c r="EI98" s="2"/>
      <c r="EJ98" s="2"/>
      <c r="EK98" s="2"/>
      <c r="EL98" s="2"/>
      <c r="EM98" s="2"/>
      <c r="EN98" s="2"/>
      <c r="EO98" s="2"/>
      <c r="EP98" s="2"/>
      <c r="EQ98" s="2"/>
      <c r="ER98" s="2"/>
      <c r="ES98" s="2"/>
      <c r="ET98" s="2"/>
      <c r="EU98" s="2"/>
      <c r="EV98" s="2"/>
      <c r="EW98" s="2"/>
      <c r="EX98" s="2"/>
      <c r="EY98" s="2"/>
      <c r="EZ98" s="2"/>
      <c r="FA98" s="2"/>
      <c r="FB98" s="2"/>
      <c r="FC98" s="2"/>
      <c r="FD98" s="2"/>
      <c r="FE98" s="2"/>
      <c r="FF98" s="2"/>
      <c r="FG98" s="2"/>
      <c r="FH98" s="2"/>
      <c r="FI98" s="2"/>
      <c r="FJ98" s="2"/>
      <c r="FK98" s="2"/>
      <c r="FL98" s="2"/>
      <c r="FM98" s="2"/>
      <c r="FN98" s="2"/>
      <c r="FO98" s="2"/>
      <c r="FP98" s="2"/>
      <c r="FQ98" s="2"/>
      <c r="FR98" s="2"/>
      <c r="FS98" s="2"/>
      <c r="FT98" s="2"/>
      <c r="FU98" s="2"/>
      <c r="FV98" s="2"/>
      <c r="FW98" s="2"/>
      <c r="FX98" s="2"/>
      <c r="FY98" s="2"/>
      <c r="FZ98" s="2"/>
      <c r="GA98" s="2"/>
      <c r="GB98" s="2"/>
      <c r="GC98" s="2"/>
      <c r="GD98" s="2"/>
      <c r="GE98" s="2"/>
      <c r="GF98" s="2"/>
      <c r="GG98" s="2"/>
      <c r="GH98" s="2"/>
      <c r="GI98" s="2"/>
      <c r="GJ98" s="2"/>
      <c r="GK98" s="2"/>
      <c r="GL98" s="2"/>
      <c r="GM98" s="2"/>
      <c r="GN98" s="2"/>
      <c r="GO98" s="2"/>
      <c r="GP98" s="2"/>
      <c r="GQ98" s="2"/>
      <c r="GR98" s="2"/>
      <c r="GS98" s="2"/>
      <c r="GT98" s="2"/>
      <c r="GU98" s="2"/>
      <c r="GV98" s="2"/>
      <c r="GW98" s="2"/>
    </row>
    <row r="99" spans="1:205" s="5" customFormat="1" ht="15.6" x14ac:dyDescent="0.3">
      <c r="A99" s="60" t="s">
        <v>273</v>
      </c>
      <c r="B99" s="23" t="s">
        <v>258</v>
      </c>
      <c r="C99" s="37" t="s">
        <v>259</v>
      </c>
      <c r="D99" s="31" t="s">
        <v>105</v>
      </c>
      <c r="E99" s="30"/>
      <c r="F99" s="102">
        <v>45070</v>
      </c>
      <c r="G99" s="29">
        <v>0</v>
      </c>
      <c r="H99" s="102">
        <f t="shared" si="7"/>
        <v>45069</v>
      </c>
      <c r="I99" s="71">
        <v>0</v>
      </c>
      <c r="J99"/>
      <c r="K99" s="50"/>
      <c r="L99" s="4"/>
      <c r="M99" s="4"/>
      <c r="N99" s="4"/>
      <c r="O99" s="4"/>
      <c r="P99" s="4"/>
      <c r="Q99" s="4"/>
      <c r="R99" s="4"/>
      <c r="S99" s="4"/>
      <c r="T99" s="4"/>
      <c r="U99" s="4"/>
      <c r="V99" s="4"/>
      <c r="W99" s="4"/>
      <c r="X99" s="4"/>
      <c r="Y99" s="4"/>
      <c r="Z99" s="4"/>
      <c r="AA99" s="4"/>
      <c r="AB99" s="7"/>
      <c r="AC99" s="7"/>
      <c r="AD99" s="7"/>
      <c r="AE99" s="7"/>
      <c r="AF99" s="7"/>
      <c r="AG99" s="7"/>
      <c r="AH99" s="7"/>
      <c r="AI99" s="7"/>
      <c r="AJ99" s="7"/>
      <c r="AK99" s="7"/>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51"/>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2"/>
      <c r="DT99" s="2"/>
      <c r="DU99" s="2"/>
      <c r="DV99" s="2"/>
      <c r="DW99" s="2"/>
      <c r="DX99" s="2"/>
      <c r="DY99" s="2"/>
      <c r="DZ99" s="2"/>
      <c r="EA99" s="2"/>
      <c r="EB99" s="2"/>
      <c r="EC99" s="2"/>
      <c r="ED99" s="2"/>
      <c r="EE99" s="2"/>
      <c r="EF99" s="2"/>
      <c r="EG99" s="2"/>
      <c r="EH99" s="2"/>
      <c r="EI99" s="2"/>
      <c r="EJ99" s="2"/>
      <c r="EK99" s="2"/>
      <c r="EL99" s="2"/>
      <c r="EM99" s="2"/>
      <c r="EN99" s="2"/>
      <c r="EO99" s="2"/>
      <c r="EP99" s="2"/>
      <c r="EQ99" s="2"/>
      <c r="ER99" s="2"/>
      <c r="ES99" s="2"/>
      <c r="ET99" s="2"/>
      <c r="EU99" s="2"/>
      <c r="EV99" s="2"/>
      <c r="EW99" s="2"/>
      <c r="EX99" s="2"/>
      <c r="EY99" s="2"/>
      <c r="EZ99" s="2"/>
      <c r="FA99" s="2"/>
      <c r="FB99" s="2"/>
      <c r="FC99" s="2"/>
      <c r="FD99" s="2"/>
      <c r="FE99" s="2"/>
      <c r="FF99" s="2"/>
      <c r="FG99" s="2"/>
      <c r="FH99" s="2"/>
      <c r="FI99" s="2"/>
      <c r="FJ99" s="2"/>
      <c r="FK99" s="2"/>
      <c r="FL99" s="2"/>
      <c r="FM99" s="2"/>
      <c r="FN99" s="2"/>
      <c r="FO99" s="2"/>
      <c r="FP99" s="2"/>
      <c r="FQ99" s="2"/>
      <c r="FR99" s="2"/>
      <c r="FS99" s="2"/>
      <c r="FT99" s="2"/>
      <c r="FU99" s="2"/>
      <c r="FV99" s="2"/>
      <c r="FW99" s="2"/>
      <c r="FX99" s="2"/>
      <c r="FY99" s="2"/>
      <c r="FZ99" s="2"/>
      <c r="GA99" s="2"/>
      <c r="GB99" s="2"/>
      <c r="GC99" s="2"/>
      <c r="GD99" s="2"/>
      <c r="GE99" s="2"/>
      <c r="GF99" s="2"/>
      <c r="GG99" s="2"/>
      <c r="GH99" s="2"/>
      <c r="GI99" s="2"/>
      <c r="GJ99" s="2"/>
      <c r="GK99" s="2"/>
      <c r="GL99" s="2"/>
      <c r="GM99" s="2"/>
      <c r="GN99" s="2"/>
      <c r="GO99" s="2"/>
      <c r="GP99" s="2"/>
      <c r="GQ99" s="2"/>
      <c r="GR99" s="2"/>
      <c r="GS99" s="2"/>
      <c r="GT99" s="2"/>
      <c r="GU99" s="2"/>
      <c r="GV99" s="2"/>
      <c r="GW99" s="2"/>
    </row>
    <row r="100" spans="1:205" s="5" customFormat="1" ht="15.6" x14ac:dyDescent="0.3">
      <c r="A100" s="60" t="s">
        <v>274</v>
      </c>
      <c r="B100" s="23" t="s">
        <v>258</v>
      </c>
      <c r="C100" s="37" t="s">
        <v>259</v>
      </c>
      <c r="D100" s="31" t="s">
        <v>93</v>
      </c>
      <c r="E100" s="30"/>
      <c r="F100" s="102">
        <v>45070</v>
      </c>
      <c r="G100" s="29">
        <v>0</v>
      </c>
      <c r="H100" s="102">
        <f t="shared" si="7"/>
        <v>45069</v>
      </c>
      <c r="I100" s="71">
        <v>0</v>
      </c>
      <c r="J100"/>
      <c r="K100" s="50"/>
      <c r="L100" s="4"/>
      <c r="M100" s="4"/>
      <c r="N100" s="4"/>
      <c r="O100" s="4"/>
      <c r="P100" s="4"/>
      <c r="Q100" s="4"/>
      <c r="R100" s="4"/>
      <c r="S100" s="4"/>
      <c r="T100" s="4"/>
      <c r="U100" s="4"/>
      <c r="V100" s="4"/>
      <c r="W100" s="4"/>
      <c r="X100" s="4"/>
      <c r="Y100" s="4"/>
      <c r="Z100" s="4"/>
      <c r="AA100" s="4"/>
      <c r="AB100" s="7"/>
      <c r="AC100" s="7"/>
      <c r="AD100" s="7"/>
      <c r="AE100" s="7"/>
      <c r="AF100" s="7"/>
      <c r="AG100" s="7"/>
      <c r="AH100" s="7"/>
      <c r="AI100" s="7"/>
      <c r="AJ100" s="7"/>
      <c r="AK100" s="7"/>
      <c r="AL100" s="7"/>
      <c r="AM100" s="7"/>
      <c r="AN100" s="7"/>
      <c r="AO100" s="7"/>
      <c r="AP100" s="7"/>
      <c r="AQ100" s="7"/>
      <c r="AR100" s="7"/>
      <c r="AS100" s="7"/>
      <c r="AT100" s="7"/>
      <c r="AU100" s="7"/>
      <c r="AV100" s="7"/>
      <c r="AW100" s="7"/>
      <c r="AX100" s="7"/>
      <c r="AY100" s="7"/>
      <c r="AZ100" s="7"/>
      <c r="BA100" s="7"/>
      <c r="BB100" s="7"/>
      <c r="BC100" s="7"/>
      <c r="BD100" s="7"/>
      <c r="BE100" s="7"/>
      <c r="BF100" s="7"/>
      <c r="BG100" s="7"/>
      <c r="BH100" s="7"/>
      <c r="BI100" s="7"/>
      <c r="BJ100" s="7"/>
      <c r="BK100" s="51"/>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2"/>
      <c r="DT100" s="2"/>
      <c r="DU100" s="2"/>
      <c r="DV100" s="2"/>
      <c r="DW100" s="2"/>
      <c r="DX100" s="2"/>
      <c r="DY100" s="2"/>
      <c r="DZ100" s="2"/>
      <c r="EA100" s="2"/>
      <c r="EB100" s="2"/>
      <c r="EC100" s="2"/>
      <c r="ED100" s="2"/>
      <c r="EE100" s="2"/>
      <c r="EF100" s="2"/>
      <c r="EG100" s="2"/>
      <c r="EH100" s="2"/>
      <c r="EI100" s="2"/>
      <c r="EJ100" s="2"/>
      <c r="EK100" s="2"/>
      <c r="EL100" s="2"/>
      <c r="EM100" s="2"/>
      <c r="EN100" s="2"/>
      <c r="EO100" s="2"/>
      <c r="EP100" s="2"/>
      <c r="EQ100" s="2"/>
      <c r="ER100" s="2"/>
      <c r="ES100" s="2"/>
      <c r="ET100" s="2"/>
      <c r="EU100" s="2"/>
      <c r="EV100" s="2"/>
      <c r="EW100" s="2"/>
      <c r="EX100" s="2"/>
      <c r="EY100" s="2"/>
      <c r="EZ100" s="2"/>
      <c r="FA100" s="2"/>
      <c r="FB100" s="2"/>
      <c r="FC100" s="2"/>
      <c r="FD100" s="2"/>
      <c r="FE100" s="2"/>
      <c r="FF100" s="2"/>
      <c r="FG100" s="2"/>
      <c r="FH100" s="2"/>
      <c r="FI100" s="2"/>
      <c r="FJ100" s="2"/>
      <c r="FK100" s="2"/>
      <c r="FL100" s="2"/>
      <c r="FM100" s="2"/>
      <c r="FN100" s="2"/>
      <c r="FO100" s="2"/>
      <c r="FP100" s="2"/>
      <c r="FQ100" s="2"/>
      <c r="FR100" s="2"/>
      <c r="FS100" s="2"/>
      <c r="FT100" s="2"/>
      <c r="FU100" s="2"/>
      <c r="FV100" s="2"/>
      <c r="FW100" s="2"/>
      <c r="FX100" s="2"/>
      <c r="FY100" s="2"/>
      <c r="FZ100" s="2"/>
      <c r="GA100" s="2"/>
      <c r="GB100" s="2"/>
      <c r="GC100" s="2"/>
      <c r="GD100" s="2"/>
      <c r="GE100" s="2"/>
      <c r="GF100" s="2"/>
      <c r="GG100" s="2"/>
      <c r="GH100" s="2"/>
      <c r="GI100" s="2"/>
      <c r="GJ100" s="2"/>
      <c r="GK100" s="2"/>
      <c r="GL100" s="2"/>
      <c r="GM100" s="2"/>
      <c r="GN100" s="2"/>
      <c r="GO100" s="2"/>
      <c r="GP100" s="2"/>
      <c r="GQ100" s="2"/>
      <c r="GR100" s="2"/>
      <c r="GS100" s="2"/>
      <c r="GT100" s="2"/>
      <c r="GU100" s="2"/>
      <c r="GV100" s="2"/>
      <c r="GW100" s="2"/>
    </row>
    <row r="101" spans="1:205" s="5" customFormat="1" ht="15.6" x14ac:dyDescent="0.3">
      <c r="A101" s="60" t="s">
        <v>275</v>
      </c>
      <c r="B101" s="23" t="s">
        <v>276</v>
      </c>
      <c r="C101" s="37" t="s">
        <v>277</v>
      </c>
      <c r="D101" s="31" t="s">
        <v>113</v>
      </c>
      <c r="E101" s="30"/>
      <c r="F101" s="102">
        <v>44965</v>
      </c>
      <c r="G101" s="29">
        <v>0</v>
      </c>
      <c r="H101" s="102">
        <f t="shared" si="7"/>
        <v>44964</v>
      </c>
      <c r="I101" s="71">
        <v>0</v>
      </c>
      <c r="J101"/>
      <c r="K101" s="50"/>
      <c r="L101" s="4"/>
      <c r="M101" s="4"/>
      <c r="N101" s="4"/>
      <c r="O101" s="4"/>
      <c r="P101" s="4"/>
      <c r="Q101" s="4"/>
      <c r="R101" s="4"/>
      <c r="S101" s="4"/>
      <c r="T101" s="4"/>
      <c r="U101" s="4"/>
      <c r="V101" s="4"/>
      <c r="W101" s="4"/>
      <c r="X101" s="4"/>
      <c r="Y101" s="4"/>
      <c r="Z101" s="4"/>
      <c r="AA101" s="4"/>
      <c r="AB101" s="7"/>
      <c r="AC101" s="7"/>
      <c r="AD101" s="7"/>
      <c r="AE101" s="7"/>
      <c r="AF101" s="7"/>
      <c r="AG101" s="7"/>
      <c r="AH101" s="7"/>
      <c r="AI101" s="7"/>
      <c r="AJ101" s="7"/>
      <c r="AK101" s="7"/>
      <c r="AL101" s="7"/>
      <c r="AM101" s="7"/>
      <c r="AN101" s="7"/>
      <c r="AO101" s="7"/>
      <c r="AP101" s="7"/>
      <c r="AQ101" s="7"/>
      <c r="AR101" s="7"/>
      <c r="AS101" s="7"/>
      <c r="AT101" s="7"/>
      <c r="AU101" s="7"/>
      <c r="AV101" s="7"/>
      <c r="AW101" s="7"/>
      <c r="AX101" s="7"/>
      <c r="AY101" s="7"/>
      <c r="AZ101" s="7"/>
      <c r="BA101" s="7"/>
      <c r="BB101" s="7"/>
      <c r="BC101" s="7"/>
      <c r="BD101" s="7"/>
      <c r="BE101" s="7"/>
      <c r="BF101" s="7"/>
      <c r="BG101" s="7"/>
      <c r="BH101" s="7"/>
      <c r="BI101" s="7"/>
      <c r="BJ101" s="7"/>
      <c r="BK101" s="51"/>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c r="DO101" s="2"/>
      <c r="DP101" s="2"/>
      <c r="DQ101" s="2"/>
      <c r="DR101" s="2"/>
      <c r="DS101" s="2"/>
      <c r="DT101" s="2"/>
      <c r="DU101" s="2"/>
      <c r="DV101" s="2"/>
      <c r="DW101" s="2"/>
      <c r="DX101" s="2"/>
      <c r="DY101" s="2"/>
      <c r="DZ101" s="2"/>
      <c r="EA101" s="2"/>
      <c r="EB101" s="2"/>
      <c r="EC101" s="2"/>
      <c r="ED101" s="2"/>
      <c r="EE101" s="2"/>
      <c r="EF101" s="2"/>
      <c r="EG101" s="2"/>
      <c r="EH101" s="2"/>
      <c r="EI101" s="2"/>
      <c r="EJ101" s="2"/>
      <c r="EK101" s="2"/>
      <c r="EL101" s="2"/>
      <c r="EM101" s="2"/>
      <c r="EN101" s="2"/>
      <c r="EO101" s="2"/>
      <c r="EP101" s="2"/>
      <c r="EQ101" s="2"/>
      <c r="ER101" s="2"/>
      <c r="ES101" s="2"/>
      <c r="ET101" s="2"/>
      <c r="EU101" s="2"/>
      <c r="EV101" s="2"/>
      <c r="EW101" s="2"/>
      <c r="EX101" s="2"/>
      <c r="EY101" s="2"/>
      <c r="EZ101" s="2"/>
      <c r="FA101" s="2"/>
      <c r="FB101" s="2"/>
      <c r="FC101" s="2"/>
      <c r="FD101" s="2"/>
      <c r="FE101" s="2"/>
      <c r="FF101" s="2"/>
      <c r="FG101" s="2"/>
      <c r="FH101" s="2"/>
      <c r="FI101" s="2"/>
      <c r="FJ101" s="2"/>
      <c r="FK101" s="2"/>
      <c r="FL101" s="2"/>
      <c r="FM101" s="2"/>
      <c r="FN101" s="2"/>
      <c r="FO101" s="2"/>
      <c r="FP101" s="2"/>
      <c r="FQ101" s="2"/>
      <c r="FR101" s="2"/>
      <c r="FS101" s="2"/>
      <c r="FT101" s="2"/>
      <c r="FU101" s="2"/>
      <c r="FV101" s="2"/>
      <c r="FW101" s="2"/>
      <c r="FX101" s="2"/>
      <c r="FY101" s="2"/>
      <c r="FZ101" s="2"/>
      <c r="GA101" s="2"/>
      <c r="GB101" s="2"/>
      <c r="GC101" s="2"/>
      <c r="GD101" s="2"/>
      <c r="GE101" s="2"/>
      <c r="GF101" s="2"/>
      <c r="GG101" s="2"/>
      <c r="GH101" s="2"/>
      <c r="GI101" s="2"/>
      <c r="GJ101" s="2"/>
      <c r="GK101" s="2"/>
      <c r="GL101" s="2"/>
      <c r="GM101" s="2"/>
      <c r="GN101" s="2"/>
      <c r="GO101" s="2"/>
      <c r="GP101" s="2"/>
      <c r="GQ101" s="2"/>
      <c r="GR101" s="2"/>
      <c r="GS101" s="2"/>
      <c r="GT101" s="2"/>
      <c r="GU101" s="2"/>
      <c r="GV101" s="2"/>
      <c r="GW101" s="2"/>
    </row>
    <row r="102" spans="1:205" s="5" customFormat="1" ht="15.6" x14ac:dyDescent="0.3">
      <c r="A102" s="60" t="s">
        <v>278</v>
      </c>
      <c r="B102" s="23" t="s">
        <v>276</v>
      </c>
      <c r="C102" s="37" t="s">
        <v>277</v>
      </c>
      <c r="D102" s="31" t="s">
        <v>116</v>
      </c>
      <c r="E102" s="30"/>
      <c r="F102" s="102">
        <v>44965</v>
      </c>
      <c r="G102" s="29">
        <v>0</v>
      </c>
      <c r="H102" s="102">
        <f t="shared" si="7"/>
        <v>44964</v>
      </c>
      <c r="I102" s="71">
        <v>0</v>
      </c>
      <c r="J102"/>
      <c r="K102" s="50"/>
      <c r="L102" s="4"/>
      <c r="M102" s="4"/>
      <c r="N102" s="4"/>
      <c r="O102" s="4"/>
      <c r="P102" s="4"/>
      <c r="Q102" s="4"/>
      <c r="R102" s="4"/>
      <c r="S102" s="4"/>
      <c r="T102" s="4"/>
      <c r="U102" s="4"/>
      <c r="V102" s="4"/>
      <c r="W102" s="4"/>
      <c r="X102" s="4"/>
      <c r="Y102" s="4"/>
      <c r="Z102" s="4"/>
      <c r="AA102" s="4"/>
      <c r="AB102" s="7"/>
      <c r="AC102" s="7"/>
      <c r="AD102" s="7"/>
      <c r="AE102" s="7"/>
      <c r="AF102" s="7"/>
      <c r="AG102" s="7"/>
      <c r="AH102" s="7"/>
      <c r="AI102" s="7"/>
      <c r="AJ102" s="7"/>
      <c r="AK102" s="7"/>
      <c r="AL102" s="7"/>
      <c r="AM102" s="7"/>
      <c r="AN102" s="7"/>
      <c r="AO102" s="7"/>
      <c r="AP102" s="7"/>
      <c r="AQ102" s="7"/>
      <c r="AR102" s="7"/>
      <c r="AS102" s="7"/>
      <c r="AT102" s="7"/>
      <c r="AU102" s="7"/>
      <c r="AV102" s="7"/>
      <c r="AW102" s="7"/>
      <c r="AX102" s="7"/>
      <c r="AY102" s="7"/>
      <c r="AZ102" s="7"/>
      <c r="BA102" s="7"/>
      <c r="BB102" s="7"/>
      <c r="BC102" s="7"/>
      <c r="BD102" s="7"/>
      <c r="BE102" s="7"/>
      <c r="BF102" s="7"/>
      <c r="BG102" s="7"/>
      <c r="BH102" s="7"/>
      <c r="BI102" s="7"/>
      <c r="BJ102" s="7"/>
      <c r="BK102" s="51"/>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c r="DO102" s="2"/>
      <c r="DP102" s="2"/>
      <c r="DQ102" s="2"/>
      <c r="DR102" s="2"/>
      <c r="DS102" s="2"/>
      <c r="DT102" s="2"/>
      <c r="DU102" s="2"/>
      <c r="DV102" s="2"/>
      <c r="DW102" s="2"/>
      <c r="DX102" s="2"/>
      <c r="DY102" s="2"/>
      <c r="DZ102" s="2"/>
      <c r="EA102" s="2"/>
      <c r="EB102" s="2"/>
      <c r="EC102" s="2"/>
      <c r="ED102" s="2"/>
      <c r="EE102" s="2"/>
      <c r="EF102" s="2"/>
      <c r="EG102" s="2"/>
      <c r="EH102" s="2"/>
      <c r="EI102" s="2"/>
      <c r="EJ102" s="2"/>
      <c r="EK102" s="2"/>
      <c r="EL102" s="2"/>
      <c r="EM102" s="2"/>
      <c r="EN102" s="2"/>
      <c r="EO102" s="2"/>
      <c r="EP102" s="2"/>
      <c r="EQ102" s="2"/>
      <c r="ER102" s="2"/>
      <c r="ES102" s="2"/>
      <c r="ET102" s="2"/>
      <c r="EU102" s="2"/>
      <c r="EV102" s="2"/>
      <c r="EW102" s="2"/>
      <c r="EX102" s="2"/>
      <c r="EY102" s="2"/>
      <c r="EZ102" s="2"/>
      <c r="FA102" s="2"/>
      <c r="FB102" s="2"/>
      <c r="FC102" s="2"/>
      <c r="FD102" s="2"/>
      <c r="FE102" s="2"/>
      <c r="FF102" s="2"/>
      <c r="FG102" s="2"/>
      <c r="FH102" s="2"/>
      <c r="FI102" s="2"/>
      <c r="FJ102" s="2"/>
      <c r="FK102" s="2"/>
      <c r="FL102" s="2"/>
      <c r="FM102" s="2"/>
      <c r="FN102" s="2"/>
      <c r="FO102" s="2"/>
      <c r="FP102" s="2"/>
      <c r="FQ102" s="2"/>
      <c r="FR102" s="2"/>
      <c r="FS102" s="2"/>
      <c r="FT102" s="2"/>
      <c r="FU102" s="2"/>
      <c r="FV102" s="2"/>
      <c r="FW102" s="2"/>
      <c r="FX102" s="2"/>
      <c r="FY102" s="2"/>
      <c r="FZ102" s="2"/>
      <c r="GA102" s="2"/>
      <c r="GB102" s="2"/>
      <c r="GC102" s="2"/>
      <c r="GD102" s="2"/>
      <c r="GE102" s="2"/>
      <c r="GF102" s="2"/>
      <c r="GG102" s="2"/>
      <c r="GH102" s="2"/>
      <c r="GI102" s="2"/>
      <c r="GJ102" s="2"/>
      <c r="GK102" s="2"/>
      <c r="GL102" s="2"/>
      <c r="GM102" s="2"/>
      <c r="GN102" s="2"/>
      <c r="GO102" s="2"/>
      <c r="GP102" s="2"/>
      <c r="GQ102" s="2"/>
      <c r="GR102" s="2"/>
      <c r="GS102" s="2"/>
      <c r="GT102" s="2"/>
      <c r="GU102" s="2"/>
      <c r="GV102" s="2"/>
      <c r="GW102" s="2"/>
    </row>
    <row r="103" spans="1:205" s="5" customFormat="1" ht="15.6" x14ac:dyDescent="0.3">
      <c r="A103" s="60" t="s">
        <v>279</v>
      </c>
      <c r="B103" s="23" t="s">
        <v>276</v>
      </c>
      <c r="C103" s="37" t="s">
        <v>277</v>
      </c>
      <c r="D103" s="31" t="s">
        <v>124</v>
      </c>
      <c r="E103" s="30"/>
      <c r="F103" s="102">
        <v>44965</v>
      </c>
      <c r="G103" s="29">
        <v>0</v>
      </c>
      <c r="H103" s="102">
        <f t="shared" si="7"/>
        <v>44964</v>
      </c>
      <c r="I103" s="71">
        <v>0</v>
      </c>
      <c r="J103"/>
      <c r="K103" s="50"/>
      <c r="L103" s="4"/>
      <c r="M103" s="4"/>
      <c r="N103" s="4"/>
      <c r="O103" s="4"/>
      <c r="P103" s="4"/>
      <c r="Q103" s="4"/>
      <c r="R103" s="4"/>
      <c r="S103" s="4"/>
      <c r="T103" s="4"/>
      <c r="U103" s="4"/>
      <c r="V103" s="4"/>
      <c r="W103" s="4"/>
      <c r="X103" s="4"/>
      <c r="Y103" s="4"/>
      <c r="Z103" s="4"/>
      <c r="AA103" s="4"/>
      <c r="AB103" s="7"/>
      <c r="AC103" s="7"/>
      <c r="AD103" s="7"/>
      <c r="AE103" s="7"/>
      <c r="AF103" s="7"/>
      <c r="AG103" s="7"/>
      <c r="AH103" s="7"/>
      <c r="AI103" s="7"/>
      <c r="AJ103" s="7"/>
      <c r="AK103" s="7"/>
      <c r="AL103" s="7"/>
      <c r="AM103" s="7"/>
      <c r="AN103" s="7"/>
      <c r="AO103" s="7"/>
      <c r="AP103" s="7"/>
      <c r="AQ103" s="7"/>
      <c r="AR103" s="7"/>
      <c r="AS103" s="7"/>
      <c r="AT103" s="7"/>
      <c r="AU103" s="7"/>
      <c r="AV103" s="7"/>
      <c r="AW103" s="7"/>
      <c r="AX103" s="7"/>
      <c r="AY103" s="7"/>
      <c r="AZ103" s="7"/>
      <c r="BA103" s="7"/>
      <c r="BB103" s="7"/>
      <c r="BC103" s="7"/>
      <c r="BD103" s="7"/>
      <c r="BE103" s="7"/>
      <c r="BF103" s="7"/>
      <c r="BG103" s="7"/>
      <c r="BH103" s="7"/>
      <c r="BI103" s="7"/>
      <c r="BJ103" s="7"/>
      <c r="BK103" s="51"/>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c r="DO103" s="2"/>
      <c r="DP103" s="2"/>
      <c r="DQ103" s="2"/>
      <c r="DR103" s="2"/>
      <c r="DS103" s="2"/>
      <c r="DT103" s="2"/>
      <c r="DU103" s="2"/>
      <c r="DV103" s="2"/>
      <c r="DW103" s="2"/>
      <c r="DX103" s="2"/>
      <c r="DY103" s="2"/>
      <c r="DZ103" s="2"/>
      <c r="EA103" s="2"/>
      <c r="EB103" s="2"/>
      <c r="EC103" s="2"/>
      <c r="ED103" s="2"/>
      <c r="EE103" s="2"/>
      <c r="EF103" s="2"/>
      <c r="EG103" s="2"/>
      <c r="EH103" s="2"/>
      <c r="EI103" s="2"/>
      <c r="EJ103" s="2"/>
      <c r="EK103" s="2"/>
      <c r="EL103" s="2"/>
      <c r="EM103" s="2"/>
      <c r="EN103" s="2"/>
      <c r="EO103" s="2"/>
      <c r="EP103" s="2"/>
      <c r="EQ103" s="2"/>
      <c r="ER103" s="2"/>
      <c r="ES103" s="2"/>
      <c r="ET103" s="2"/>
      <c r="EU103" s="2"/>
      <c r="EV103" s="2"/>
      <c r="EW103" s="2"/>
      <c r="EX103" s="2"/>
      <c r="EY103" s="2"/>
      <c r="EZ103" s="2"/>
      <c r="FA103" s="2"/>
      <c r="FB103" s="2"/>
      <c r="FC103" s="2"/>
      <c r="FD103" s="2"/>
      <c r="FE103" s="2"/>
      <c r="FF103" s="2"/>
      <c r="FG103" s="2"/>
      <c r="FH103" s="2"/>
      <c r="FI103" s="2"/>
      <c r="FJ103" s="2"/>
      <c r="FK103" s="2"/>
      <c r="FL103" s="2"/>
      <c r="FM103" s="2"/>
      <c r="FN103" s="2"/>
      <c r="FO103" s="2"/>
      <c r="FP103" s="2"/>
      <c r="FQ103" s="2"/>
      <c r="FR103" s="2"/>
      <c r="FS103" s="2"/>
      <c r="FT103" s="2"/>
      <c r="FU103" s="2"/>
      <c r="FV103" s="2"/>
      <c r="FW103" s="2"/>
      <c r="FX103" s="2"/>
      <c r="FY103" s="2"/>
      <c r="FZ103" s="2"/>
      <c r="GA103" s="2"/>
      <c r="GB103" s="2"/>
      <c r="GC103" s="2"/>
      <c r="GD103" s="2"/>
      <c r="GE103" s="2"/>
      <c r="GF103" s="2"/>
      <c r="GG103" s="2"/>
      <c r="GH103" s="2"/>
      <c r="GI103" s="2"/>
      <c r="GJ103" s="2"/>
      <c r="GK103" s="2"/>
      <c r="GL103" s="2"/>
      <c r="GM103" s="2"/>
      <c r="GN103" s="2"/>
      <c r="GO103" s="2"/>
      <c r="GP103" s="2"/>
      <c r="GQ103" s="2"/>
      <c r="GR103" s="2"/>
      <c r="GS103" s="2"/>
      <c r="GT103" s="2"/>
      <c r="GU103" s="2"/>
      <c r="GV103" s="2"/>
      <c r="GW103" s="2"/>
    </row>
    <row r="104" spans="1:205" s="5" customFormat="1" ht="15.6" x14ac:dyDescent="0.3">
      <c r="A104" s="60" t="s">
        <v>280</v>
      </c>
      <c r="B104" s="23" t="s">
        <v>276</v>
      </c>
      <c r="C104" s="37" t="s">
        <v>277</v>
      </c>
      <c r="D104" s="31" t="s">
        <v>127</v>
      </c>
      <c r="E104" s="30"/>
      <c r="F104" s="102">
        <v>44965</v>
      </c>
      <c r="G104" s="29">
        <v>0</v>
      </c>
      <c r="H104" s="102">
        <f t="shared" si="7"/>
        <v>44964</v>
      </c>
      <c r="I104" s="71">
        <v>0</v>
      </c>
      <c r="J104"/>
      <c r="K104" s="50"/>
      <c r="L104" s="4"/>
      <c r="M104" s="4"/>
      <c r="N104" s="4"/>
      <c r="O104" s="4"/>
      <c r="P104" s="4"/>
      <c r="Q104" s="4"/>
      <c r="R104" s="4"/>
      <c r="S104" s="4"/>
      <c r="T104" s="4"/>
      <c r="U104" s="4"/>
      <c r="V104" s="4"/>
      <c r="W104" s="4"/>
      <c r="X104" s="4"/>
      <c r="Y104" s="4"/>
      <c r="Z104" s="4"/>
      <c r="AA104" s="4"/>
      <c r="AB104" s="7"/>
      <c r="AC104" s="7"/>
      <c r="AD104" s="7"/>
      <c r="AE104" s="7"/>
      <c r="AF104" s="7"/>
      <c r="AG104" s="7"/>
      <c r="AH104" s="7"/>
      <c r="AI104" s="7"/>
      <c r="AJ104" s="7"/>
      <c r="AK104" s="7"/>
      <c r="AL104" s="7"/>
      <c r="AM104" s="7"/>
      <c r="AN104" s="7"/>
      <c r="AO104" s="7"/>
      <c r="AP104" s="7"/>
      <c r="AQ104" s="7"/>
      <c r="AR104" s="7"/>
      <c r="AS104" s="7"/>
      <c r="AT104" s="7"/>
      <c r="AU104" s="7"/>
      <c r="AV104" s="7"/>
      <c r="AW104" s="7"/>
      <c r="AX104" s="7"/>
      <c r="AY104" s="7"/>
      <c r="AZ104" s="7"/>
      <c r="BA104" s="7"/>
      <c r="BB104" s="7"/>
      <c r="BC104" s="7"/>
      <c r="BD104" s="7"/>
      <c r="BE104" s="7"/>
      <c r="BF104" s="7"/>
      <c r="BG104" s="7"/>
      <c r="BH104" s="7"/>
      <c r="BI104" s="7"/>
      <c r="BJ104" s="7"/>
      <c r="BK104" s="51"/>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c r="DO104" s="2"/>
      <c r="DP104" s="2"/>
      <c r="DQ104" s="2"/>
      <c r="DR104" s="2"/>
      <c r="DS104" s="2"/>
      <c r="DT104" s="2"/>
      <c r="DU104" s="2"/>
      <c r="DV104" s="2"/>
      <c r="DW104" s="2"/>
      <c r="DX104" s="2"/>
      <c r="DY104" s="2"/>
      <c r="DZ104" s="2"/>
      <c r="EA104" s="2"/>
      <c r="EB104" s="2"/>
      <c r="EC104" s="2"/>
      <c r="ED104" s="2"/>
      <c r="EE104" s="2"/>
      <c r="EF104" s="2"/>
      <c r="EG104" s="2"/>
      <c r="EH104" s="2"/>
      <c r="EI104" s="2"/>
      <c r="EJ104" s="2"/>
      <c r="EK104" s="2"/>
      <c r="EL104" s="2"/>
      <c r="EM104" s="2"/>
      <c r="EN104" s="2"/>
      <c r="EO104" s="2"/>
      <c r="EP104" s="2"/>
      <c r="EQ104" s="2"/>
      <c r="ER104" s="2"/>
      <c r="ES104" s="2"/>
      <c r="ET104" s="2"/>
      <c r="EU104" s="2"/>
      <c r="EV104" s="2"/>
      <c r="EW104" s="2"/>
      <c r="EX104" s="2"/>
      <c r="EY104" s="2"/>
      <c r="EZ104" s="2"/>
      <c r="FA104" s="2"/>
      <c r="FB104" s="2"/>
      <c r="FC104" s="2"/>
      <c r="FD104" s="2"/>
      <c r="FE104" s="2"/>
      <c r="FF104" s="2"/>
      <c r="FG104" s="2"/>
      <c r="FH104" s="2"/>
      <c r="FI104" s="2"/>
      <c r="FJ104" s="2"/>
      <c r="FK104" s="2"/>
      <c r="FL104" s="2"/>
      <c r="FM104" s="2"/>
      <c r="FN104" s="2"/>
      <c r="FO104" s="2"/>
      <c r="FP104" s="2"/>
      <c r="FQ104" s="2"/>
      <c r="FR104" s="2"/>
      <c r="FS104" s="2"/>
      <c r="FT104" s="2"/>
      <c r="FU104" s="2"/>
      <c r="FV104" s="2"/>
      <c r="FW104" s="2"/>
      <c r="FX104" s="2"/>
      <c r="FY104" s="2"/>
      <c r="FZ104" s="2"/>
      <c r="GA104" s="2"/>
      <c r="GB104" s="2"/>
      <c r="GC104" s="2"/>
      <c r="GD104" s="2"/>
      <c r="GE104" s="2"/>
      <c r="GF104" s="2"/>
      <c r="GG104" s="2"/>
      <c r="GH104" s="2"/>
      <c r="GI104" s="2"/>
      <c r="GJ104" s="2"/>
      <c r="GK104" s="2"/>
      <c r="GL104" s="2"/>
      <c r="GM104" s="2"/>
      <c r="GN104" s="2"/>
      <c r="GO104" s="2"/>
      <c r="GP104" s="2"/>
      <c r="GQ104" s="2"/>
      <c r="GR104" s="2"/>
      <c r="GS104" s="2"/>
      <c r="GT104" s="2"/>
      <c r="GU104" s="2"/>
      <c r="GV104" s="2"/>
      <c r="GW104" s="2"/>
    </row>
    <row r="105" spans="1:205" s="5" customFormat="1" ht="15.6" x14ac:dyDescent="0.3">
      <c r="A105" s="60" t="s">
        <v>281</v>
      </c>
      <c r="B105" s="23" t="s">
        <v>276</v>
      </c>
      <c r="C105" s="37" t="s">
        <v>277</v>
      </c>
      <c r="D105" s="31" t="s">
        <v>119</v>
      </c>
      <c r="E105" s="30"/>
      <c r="F105" s="102">
        <v>44965</v>
      </c>
      <c r="G105" s="29">
        <v>0</v>
      </c>
      <c r="H105" s="102">
        <f t="shared" si="7"/>
        <v>44964</v>
      </c>
      <c r="I105" s="71">
        <v>0</v>
      </c>
      <c r="J105"/>
      <c r="K105" s="50"/>
      <c r="L105" s="4"/>
      <c r="M105" s="4"/>
      <c r="N105" s="4"/>
      <c r="O105" s="4"/>
      <c r="P105" s="4"/>
      <c r="Q105" s="4"/>
      <c r="R105" s="4"/>
      <c r="S105" s="4"/>
      <c r="T105" s="4"/>
      <c r="U105" s="4"/>
      <c r="V105" s="4"/>
      <c r="W105" s="4"/>
      <c r="X105" s="4"/>
      <c r="Y105" s="4"/>
      <c r="Z105" s="4"/>
      <c r="AA105" s="4"/>
      <c r="AB105" s="7"/>
      <c r="AC105" s="7"/>
      <c r="AD105" s="7"/>
      <c r="AE105" s="7"/>
      <c r="AF105" s="7"/>
      <c r="AG105" s="7"/>
      <c r="AH105" s="7"/>
      <c r="AI105" s="7"/>
      <c r="AJ105" s="7"/>
      <c r="AK105" s="7"/>
      <c r="AL105" s="7"/>
      <c r="AM105" s="7"/>
      <c r="AN105" s="7"/>
      <c r="AO105" s="7"/>
      <c r="AP105" s="7"/>
      <c r="AQ105" s="7"/>
      <c r="AR105" s="7"/>
      <c r="AS105" s="7"/>
      <c r="AT105" s="7"/>
      <c r="AU105" s="7"/>
      <c r="AV105" s="7"/>
      <c r="AW105" s="7"/>
      <c r="AX105" s="7"/>
      <c r="AY105" s="7"/>
      <c r="AZ105" s="7"/>
      <c r="BA105" s="7"/>
      <c r="BB105" s="7"/>
      <c r="BC105" s="7"/>
      <c r="BD105" s="7"/>
      <c r="BE105" s="7"/>
      <c r="BF105" s="7"/>
      <c r="BG105" s="7"/>
      <c r="BH105" s="7"/>
      <c r="BI105" s="7"/>
      <c r="BJ105" s="7"/>
      <c r="BK105" s="51"/>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c r="DO105" s="2"/>
      <c r="DP105" s="2"/>
      <c r="DQ105" s="2"/>
      <c r="DR105" s="2"/>
      <c r="DS105" s="2"/>
      <c r="DT105" s="2"/>
      <c r="DU105" s="2"/>
      <c r="DV105" s="2"/>
      <c r="DW105" s="2"/>
      <c r="DX105" s="2"/>
      <c r="DY105" s="2"/>
      <c r="DZ105" s="2"/>
      <c r="EA105" s="2"/>
      <c r="EB105" s="2"/>
      <c r="EC105" s="2"/>
      <c r="ED105" s="2"/>
      <c r="EE105" s="2"/>
      <c r="EF105" s="2"/>
      <c r="EG105" s="2"/>
      <c r="EH105" s="2"/>
      <c r="EI105" s="2"/>
      <c r="EJ105" s="2"/>
      <c r="EK105" s="2"/>
      <c r="EL105" s="2"/>
      <c r="EM105" s="2"/>
      <c r="EN105" s="2"/>
      <c r="EO105" s="2"/>
      <c r="EP105" s="2"/>
      <c r="EQ105" s="2"/>
      <c r="ER105" s="2"/>
      <c r="ES105" s="2"/>
      <c r="ET105" s="2"/>
      <c r="EU105" s="2"/>
      <c r="EV105" s="2"/>
      <c r="EW105" s="2"/>
      <c r="EX105" s="2"/>
      <c r="EY105" s="2"/>
      <c r="EZ105" s="2"/>
      <c r="FA105" s="2"/>
      <c r="FB105" s="2"/>
      <c r="FC105" s="2"/>
      <c r="FD105" s="2"/>
      <c r="FE105" s="2"/>
      <c r="FF105" s="2"/>
      <c r="FG105" s="2"/>
      <c r="FH105" s="2"/>
      <c r="FI105" s="2"/>
      <c r="FJ105" s="2"/>
      <c r="FK105" s="2"/>
      <c r="FL105" s="2"/>
      <c r="FM105" s="2"/>
      <c r="FN105" s="2"/>
      <c r="FO105" s="2"/>
      <c r="FP105" s="2"/>
      <c r="FQ105" s="2"/>
      <c r="FR105" s="2"/>
      <c r="FS105" s="2"/>
      <c r="FT105" s="2"/>
      <c r="FU105" s="2"/>
      <c r="FV105" s="2"/>
      <c r="FW105" s="2"/>
      <c r="FX105" s="2"/>
      <c r="FY105" s="2"/>
      <c r="FZ105" s="2"/>
      <c r="GA105" s="2"/>
      <c r="GB105" s="2"/>
      <c r="GC105" s="2"/>
      <c r="GD105" s="2"/>
      <c r="GE105" s="2"/>
      <c r="GF105" s="2"/>
      <c r="GG105" s="2"/>
      <c r="GH105" s="2"/>
      <c r="GI105" s="2"/>
      <c r="GJ105" s="2"/>
      <c r="GK105" s="2"/>
      <c r="GL105" s="2"/>
      <c r="GM105" s="2"/>
      <c r="GN105" s="2"/>
      <c r="GO105" s="2"/>
      <c r="GP105" s="2"/>
      <c r="GQ105" s="2"/>
      <c r="GR105" s="2"/>
      <c r="GS105" s="2"/>
      <c r="GT105" s="2"/>
      <c r="GU105" s="2"/>
      <c r="GV105" s="2"/>
      <c r="GW105" s="2"/>
    </row>
    <row r="106" spans="1:205" s="5" customFormat="1" ht="15.6" x14ac:dyDescent="0.3">
      <c r="A106" s="60" t="s">
        <v>282</v>
      </c>
      <c r="B106" s="23" t="s">
        <v>276</v>
      </c>
      <c r="C106" s="37" t="s">
        <v>277</v>
      </c>
      <c r="D106" s="31" t="s">
        <v>122</v>
      </c>
      <c r="E106" s="30"/>
      <c r="F106" s="102">
        <v>44965</v>
      </c>
      <c r="G106" s="29">
        <v>0</v>
      </c>
      <c r="H106" s="102">
        <f t="shared" si="7"/>
        <v>44964</v>
      </c>
      <c r="I106" s="71">
        <v>0</v>
      </c>
      <c r="J106"/>
      <c r="K106" s="50"/>
      <c r="L106" s="4"/>
      <c r="M106" s="4"/>
      <c r="N106" s="4"/>
      <c r="O106" s="4"/>
      <c r="P106" s="4"/>
      <c r="Q106" s="4"/>
      <c r="R106" s="4"/>
      <c r="S106" s="4"/>
      <c r="T106" s="4"/>
      <c r="U106" s="4"/>
      <c r="V106" s="4"/>
      <c r="W106" s="4"/>
      <c r="X106" s="4"/>
      <c r="Y106" s="4"/>
      <c r="Z106" s="4"/>
      <c r="AA106" s="4"/>
      <c r="AB106" s="7"/>
      <c r="AC106" s="7"/>
      <c r="AD106" s="7"/>
      <c r="AE106" s="7"/>
      <c r="AF106" s="7"/>
      <c r="AG106" s="7"/>
      <c r="AH106" s="7"/>
      <c r="AI106" s="7"/>
      <c r="AJ106" s="7"/>
      <c r="AK106" s="7"/>
      <c r="AL106" s="7"/>
      <c r="AM106" s="7"/>
      <c r="AN106" s="7"/>
      <c r="AO106" s="7"/>
      <c r="AP106" s="7"/>
      <c r="AQ106" s="7"/>
      <c r="AR106" s="7"/>
      <c r="AS106" s="7"/>
      <c r="AT106" s="7"/>
      <c r="AU106" s="7"/>
      <c r="AV106" s="7"/>
      <c r="AW106" s="7"/>
      <c r="AX106" s="7"/>
      <c r="AY106" s="7"/>
      <c r="AZ106" s="7"/>
      <c r="BA106" s="7"/>
      <c r="BB106" s="7"/>
      <c r="BC106" s="7"/>
      <c r="BD106" s="7"/>
      <c r="BE106" s="7"/>
      <c r="BF106" s="7"/>
      <c r="BG106" s="7"/>
      <c r="BH106" s="7"/>
      <c r="BI106" s="7"/>
      <c r="BJ106" s="7"/>
      <c r="BK106" s="51"/>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c r="DO106" s="2"/>
      <c r="DP106" s="2"/>
      <c r="DQ106" s="2"/>
      <c r="DR106" s="2"/>
      <c r="DS106" s="2"/>
      <c r="DT106" s="2"/>
      <c r="DU106" s="2"/>
      <c r="DV106" s="2"/>
      <c r="DW106" s="2"/>
      <c r="DX106" s="2"/>
      <c r="DY106" s="2"/>
      <c r="DZ106" s="2"/>
      <c r="EA106" s="2"/>
      <c r="EB106" s="2"/>
      <c r="EC106" s="2"/>
      <c r="ED106" s="2"/>
      <c r="EE106" s="2"/>
      <c r="EF106" s="2"/>
      <c r="EG106" s="2"/>
      <c r="EH106" s="2"/>
      <c r="EI106" s="2"/>
      <c r="EJ106" s="2"/>
      <c r="EK106" s="2"/>
      <c r="EL106" s="2"/>
      <c r="EM106" s="2"/>
      <c r="EN106" s="2"/>
      <c r="EO106" s="2"/>
      <c r="EP106" s="2"/>
      <c r="EQ106" s="2"/>
      <c r="ER106" s="2"/>
      <c r="ES106" s="2"/>
      <c r="ET106" s="2"/>
      <c r="EU106" s="2"/>
      <c r="EV106" s="2"/>
      <c r="EW106" s="2"/>
      <c r="EX106" s="2"/>
      <c r="EY106" s="2"/>
      <c r="EZ106" s="2"/>
      <c r="FA106" s="2"/>
      <c r="FB106" s="2"/>
      <c r="FC106" s="2"/>
      <c r="FD106" s="2"/>
      <c r="FE106" s="2"/>
      <c r="FF106" s="2"/>
      <c r="FG106" s="2"/>
      <c r="FH106" s="2"/>
      <c r="FI106" s="2"/>
      <c r="FJ106" s="2"/>
      <c r="FK106" s="2"/>
      <c r="FL106" s="2"/>
      <c r="FM106" s="2"/>
      <c r="FN106" s="2"/>
      <c r="FO106" s="2"/>
      <c r="FP106" s="2"/>
      <c r="FQ106" s="2"/>
      <c r="FR106" s="2"/>
      <c r="FS106" s="2"/>
      <c r="FT106" s="2"/>
      <c r="FU106" s="2"/>
      <c r="FV106" s="2"/>
      <c r="FW106" s="2"/>
      <c r="FX106" s="2"/>
      <c r="FY106" s="2"/>
      <c r="FZ106" s="2"/>
      <c r="GA106" s="2"/>
      <c r="GB106" s="2"/>
      <c r="GC106" s="2"/>
      <c r="GD106" s="2"/>
      <c r="GE106" s="2"/>
      <c r="GF106" s="2"/>
      <c r="GG106" s="2"/>
      <c r="GH106" s="2"/>
      <c r="GI106" s="2"/>
      <c r="GJ106" s="2"/>
      <c r="GK106" s="2"/>
      <c r="GL106" s="2"/>
      <c r="GM106" s="2"/>
      <c r="GN106" s="2"/>
      <c r="GO106" s="2"/>
      <c r="GP106" s="2"/>
      <c r="GQ106" s="2"/>
      <c r="GR106" s="2"/>
      <c r="GS106" s="2"/>
      <c r="GT106" s="2"/>
      <c r="GU106" s="2"/>
      <c r="GV106" s="2"/>
      <c r="GW106" s="2"/>
    </row>
    <row r="107" spans="1:205" s="5" customFormat="1" ht="15.6" x14ac:dyDescent="0.3">
      <c r="A107" s="60" t="s">
        <v>283</v>
      </c>
      <c r="B107" s="23" t="s">
        <v>276</v>
      </c>
      <c r="C107" s="37" t="s">
        <v>277</v>
      </c>
      <c r="D107" s="31" t="s">
        <v>129</v>
      </c>
      <c r="E107" s="30"/>
      <c r="F107" s="102">
        <v>44965</v>
      </c>
      <c r="G107" s="29">
        <v>0</v>
      </c>
      <c r="H107" s="102">
        <f t="shared" si="7"/>
        <v>44964</v>
      </c>
      <c r="I107" s="71">
        <v>0</v>
      </c>
      <c r="J107"/>
      <c r="K107" s="50"/>
      <c r="L107" s="4"/>
      <c r="M107" s="4"/>
      <c r="N107" s="4"/>
      <c r="O107" s="4"/>
      <c r="P107" s="4"/>
      <c r="Q107" s="4"/>
      <c r="R107" s="4"/>
      <c r="S107" s="4"/>
      <c r="T107" s="4"/>
      <c r="U107" s="4"/>
      <c r="V107" s="4"/>
      <c r="W107" s="4"/>
      <c r="X107" s="4"/>
      <c r="Y107" s="4"/>
      <c r="Z107" s="4"/>
      <c r="AA107" s="4"/>
      <c r="AB107" s="7"/>
      <c r="AC107" s="7"/>
      <c r="AD107" s="7"/>
      <c r="AE107" s="7"/>
      <c r="AF107" s="7"/>
      <c r="AG107" s="7"/>
      <c r="AH107" s="7"/>
      <c r="AI107" s="7"/>
      <c r="AJ107" s="7"/>
      <c r="AK107" s="7"/>
      <c r="AL107" s="7"/>
      <c r="AM107" s="7"/>
      <c r="AN107" s="7"/>
      <c r="AO107" s="7"/>
      <c r="AP107" s="7"/>
      <c r="AQ107" s="7"/>
      <c r="AR107" s="7"/>
      <c r="AS107" s="7"/>
      <c r="AT107" s="7"/>
      <c r="AU107" s="7"/>
      <c r="AV107" s="7"/>
      <c r="AW107" s="7"/>
      <c r="AX107" s="7"/>
      <c r="AY107" s="7"/>
      <c r="AZ107" s="7"/>
      <c r="BA107" s="7"/>
      <c r="BB107" s="7"/>
      <c r="BC107" s="7"/>
      <c r="BD107" s="7"/>
      <c r="BE107" s="7"/>
      <c r="BF107" s="7"/>
      <c r="BG107" s="7"/>
      <c r="BH107" s="7"/>
      <c r="BI107" s="7"/>
      <c r="BJ107" s="7"/>
      <c r="BK107" s="51"/>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c r="DO107" s="2"/>
      <c r="DP107" s="2"/>
      <c r="DQ107" s="2"/>
      <c r="DR107" s="2"/>
      <c r="DS107" s="2"/>
      <c r="DT107" s="2"/>
      <c r="DU107" s="2"/>
      <c r="DV107" s="2"/>
      <c r="DW107" s="2"/>
      <c r="DX107" s="2"/>
      <c r="DY107" s="2"/>
      <c r="DZ107" s="2"/>
      <c r="EA107" s="2"/>
      <c r="EB107" s="2"/>
      <c r="EC107" s="2"/>
      <c r="ED107" s="2"/>
      <c r="EE107" s="2"/>
      <c r="EF107" s="2"/>
      <c r="EG107" s="2"/>
      <c r="EH107" s="2"/>
      <c r="EI107" s="2"/>
      <c r="EJ107" s="2"/>
      <c r="EK107" s="2"/>
      <c r="EL107" s="2"/>
      <c r="EM107" s="2"/>
      <c r="EN107" s="2"/>
      <c r="EO107" s="2"/>
      <c r="EP107" s="2"/>
      <c r="EQ107" s="2"/>
      <c r="ER107" s="2"/>
      <c r="ES107" s="2"/>
      <c r="ET107" s="2"/>
      <c r="EU107" s="2"/>
      <c r="EV107" s="2"/>
      <c r="EW107" s="2"/>
      <c r="EX107" s="2"/>
      <c r="EY107" s="2"/>
      <c r="EZ107" s="2"/>
      <c r="FA107" s="2"/>
      <c r="FB107" s="2"/>
      <c r="FC107" s="2"/>
      <c r="FD107" s="2"/>
      <c r="FE107" s="2"/>
      <c r="FF107" s="2"/>
      <c r="FG107" s="2"/>
      <c r="FH107" s="2"/>
      <c r="FI107" s="2"/>
      <c r="FJ107" s="2"/>
      <c r="FK107" s="2"/>
      <c r="FL107" s="2"/>
      <c r="FM107" s="2"/>
      <c r="FN107" s="2"/>
      <c r="FO107" s="2"/>
      <c r="FP107" s="2"/>
      <c r="FQ107" s="2"/>
      <c r="FR107" s="2"/>
      <c r="FS107" s="2"/>
      <c r="FT107" s="2"/>
      <c r="FU107" s="2"/>
      <c r="FV107" s="2"/>
      <c r="FW107" s="2"/>
      <c r="FX107" s="2"/>
      <c r="FY107" s="2"/>
      <c r="FZ107" s="2"/>
      <c r="GA107" s="2"/>
      <c r="GB107" s="2"/>
      <c r="GC107" s="2"/>
      <c r="GD107" s="2"/>
      <c r="GE107" s="2"/>
      <c r="GF107" s="2"/>
      <c r="GG107" s="2"/>
      <c r="GH107" s="2"/>
      <c r="GI107" s="2"/>
      <c r="GJ107" s="2"/>
      <c r="GK107" s="2"/>
      <c r="GL107" s="2"/>
      <c r="GM107" s="2"/>
      <c r="GN107" s="2"/>
      <c r="GO107" s="2"/>
      <c r="GP107" s="2"/>
      <c r="GQ107" s="2"/>
      <c r="GR107" s="2"/>
      <c r="GS107" s="2"/>
      <c r="GT107" s="2"/>
      <c r="GU107" s="2"/>
      <c r="GV107" s="2"/>
      <c r="GW107" s="2"/>
    </row>
    <row r="108" spans="1:205" s="5" customFormat="1" ht="15.6" x14ac:dyDescent="0.3">
      <c r="A108" s="60" t="s">
        <v>284</v>
      </c>
      <c r="B108" s="23" t="s">
        <v>276</v>
      </c>
      <c r="C108" s="37" t="s">
        <v>277</v>
      </c>
      <c r="D108" s="31" t="s">
        <v>132</v>
      </c>
      <c r="E108" s="30"/>
      <c r="F108" s="102">
        <v>44965</v>
      </c>
      <c r="G108" s="29">
        <v>0</v>
      </c>
      <c r="H108" s="102">
        <f t="shared" si="7"/>
        <v>44964</v>
      </c>
      <c r="I108" s="71">
        <v>0</v>
      </c>
      <c r="J108"/>
      <c r="K108" s="50"/>
      <c r="L108" s="4"/>
      <c r="M108" s="4"/>
      <c r="N108" s="4"/>
      <c r="O108" s="4"/>
      <c r="P108" s="4"/>
      <c r="Q108" s="4"/>
      <c r="R108" s="4"/>
      <c r="S108" s="4"/>
      <c r="T108" s="4"/>
      <c r="U108" s="4"/>
      <c r="V108" s="4"/>
      <c r="W108" s="4"/>
      <c r="X108" s="4"/>
      <c r="Y108" s="4"/>
      <c r="Z108" s="4"/>
      <c r="AA108" s="4"/>
      <c r="AB108" s="7"/>
      <c r="AC108" s="7"/>
      <c r="AD108" s="7"/>
      <c r="AE108" s="7"/>
      <c r="AF108" s="7"/>
      <c r="AG108" s="7"/>
      <c r="AH108" s="7"/>
      <c r="AI108" s="7"/>
      <c r="AJ108" s="7"/>
      <c r="AK108" s="7"/>
      <c r="AL108" s="7"/>
      <c r="AM108" s="7"/>
      <c r="AN108" s="7"/>
      <c r="AO108" s="7"/>
      <c r="AP108" s="7"/>
      <c r="AQ108" s="7"/>
      <c r="AR108" s="7"/>
      <c r="AS108" s="7"/>
      <c r="AT108" s="7"/>
      <c r="AU108" s="7"/>
      <c r="AV108" s="7"/>
      <c r="AW108" s="7"/>
      <c r="AX108" s="7"/>
      <c r="AY108" s="7"/>
      <c r="AZ108" s="7"/>
      <c r="BA108" s="7"/>
      <c r="BB108" s="7"/>
      <c r="BC108" s="7"/>
      <c r="BD108" s="7"/>
      <c r="BE108" s="7"/>
      <c r="BF108" s="7"/>
      <c r="BG108" s="7"/>
      <c r="BH108" s="7"/>
      <c r="BI108" s="7"/>
      <c r="BJ108" s="7"/>
      <c r="BK108" s="51"/>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2"/>
      <c r="DT108" s="2"/>
      <c r="DU108" s="2"/>
      <c r="DV108" s="2"/>
      <c r="DW108" s="2"/>
      <c r="DX108" s="2"/>
      <c r="DY108" s="2"/>
      <c r="DZ108" s="2"/>
      <c r="EA108" s="2"/>
      <c r="EB108" s="2"/>
      <c r="EC108" s="2"/>
      <c r="ED108" s="2"/>
      <c r="EE108" s="2"/>
      <c r="EF108" s="2"/>
      <c r="EG108" s="2"/>
      <c r="EH108" s="2"/>
      <c r="EI108" s="2"/>
      <c r="EJ108" s="2"/>
      <c r="EK108" s="2"/>
      <c r="EL108" s="2"/>
      <c r="EM108" s="2"/>
      <c r="EN108" s="2"/>
      <c r="EO108" s="2"/>
      <c r="EP108" s="2"/>
      <c r="EQ108" s="2"/>
      <c r="ER108" s="2"/>
      <c r="ES108" s="2"/>
      <c r="ET108" s="2"/>
      <c r="EU108" s="2"/>
      <c r="EV108" s="2"/>
      <c r="EW108" s="2"/>
      <c r="EX108" s="2"/>
      <c r="EY108" s="2"/>
      <c r="EZ108" s="2"/>
      <c r="FA108" s="2"/>
      <c r="FB108" s="2"/>
      <c r="FC108" s="2"/>
      <c r="FD108" s="2"/>
      <c r="FE108" s="2"/>
      <c r="FF108" s="2"/>
      <c r="FG108" s="2"/>
      <c r="FH108" s="2"/>
      <c r="FI108" s="2"/>
      <c r="FJ108" s="2"/>
      <c r="FK108" s="2"/>
      <c r="FL108" s="2"/>
      <c r="FM108" s="2"/>
      <c r="FN108" s="2"/>
      <c r="FO108" s="2"/>
      <c r="FP108" s="2"/>
      <c r="FQ108" s="2"/>
      <c r="FR108" s="2"/>
      <c r="FS108" s="2"/>
      <c r="FT108" s="2"/>
      <c r="FU108" s="2"/>
      <c r="FV108" s="2"/>
      <c r="FW108" s="2"/>
      <c r="FX108" s="2"/>
      <c r="FY108" s="2"/>
      <c r="FZ108" s="2"/>
      <c r="GA108" s="2"/>
      <c r="GB108" s="2"/>
      <c r="GC108" s="2"/>
      <c r="GD108" s="2"/>
      <c r="GE108" s="2"/>
      <c r="GF108" s="2"/>
      <c r="GG108" s="2"/>
      <c r="GH108" s="2"/>
      <c r="GI108" s="2"/>
      <c r="GJ108" s="2"/>
      <c r="GK108" s="2"/>
      <c r="GL108" s="2"/>
      <c r="GM108" s="2"/>
      <c r="GN108" s="2"/>
      <c r="GO108" s="2"/>
      <c r="GP108" s="2"/>
      <c r="GQ108" s="2"/>
      <c r="GR108" s="2"/>
      <c r="GS108" s="2"/>
      <c r="GT108" s="2"/>
      <c r="GU108" s="2"/>
      <c r="GV108" s="2"/>
      <c r="GW108" s="2"/>
    </row>
    <row r="109" spans="1:205" s="5" customFormat="1" ht="15.6" x14ac:dyDescent="0.3">
      <c r="A109" s="60" t="s">
        <v>285</v>
      </c>
      <c r="B109" s="23" t="s">
        <v>276</v>
      </c>
      <c r="C109" s="37" t="s">
        <v>277</v>
      </c>
      <c r="D109" s="31" t="s">
        <v>134</v>
      </c>
      <c r="E109" s="30"/>
      <c r="F109" s="102">
        <v>44965</v>
      </c>
      <c r="G109" s="29">
        <v>0</v>
      </c>
      <c r="H109" s="102">
        <f t="shared" si="7"/>
        <v>44964</v>
      </c>
      <c r="I109" s="71">
        <v>0</v>
      </c>
      <c r="J109"/>
      <c r="K109" s="50"/>
      <c r="L109" s="4"/>
      <c r="M109" s="4"/>
      <c r="N109" s="4"/>
      <c r="O109" s="4"/>
      <c r="P109" s="4"/>
      <c r="Q109" s="4"/>
      <c r="R109" s="4"/>
      <c r="S109" s="4"/>
      <c r="T109" s="4"/>
      <c r="U109" s="4"/>
      <c r="V109" s="4"/>
      <c r="W109" s="4"/>
      <c r="X109" s="4"/>
      <c r="Y109" s="4"/>
      <c r="Z109" s="4"/>
      <c r="AA109" s="4"/>
      <c r="AB109" s="7"/>
      <c r="AC109" s="7"/>
      <c r="AD109" s="7"/>
      <c r="AE109" s="7"/>
      <c r="AF109" s="7"/>
      <c r="AG109" s="7"/>
      <c r="AH109" s="7"/>
      <c r="AI109" s="7"/>
      <c r="AJ109" s="7"/>
      <c r="AK109" s="7"/>
      <c r="AL109" s="7"/>
      <c r="AM109" s="7"/>
      <c r="AN109" s="7"/>
      <c r="AO109" s="7"/>
      <c r="AP109" s="7"/>
      <c r="AQ109" s="7"/>
      <c r="AR109" s="7"/>
      <c r="AS109" s="7"/>
      <c r="AT109" s="7"/>
      <c r="AU109" s="7"/>
      <c r="AV109" s="7"/>
      <c r="AW109" s="7"/>
      <c r="AX109" s="7"/>
      <c r="AY109" s="7"/>
      <c r="AZ109" s="7"/>
      <c r="BA109" s="7"/>
      <c r="BB109" s="7"/>
      <c r="BC109" s="7"/>
      <c r="BD109" s="7"/>
      <c r="BE109" s="7"/>
      <c r="BF109" s="7"/>
      <c r="BG109" s="7"/>
      <c r="BH109" s="7"/>
      <c r="BI109" s="7"/>
      <c r="BJ109" s="7"/>
      <c r="BK109" s="51"/>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2"/>
      <c r="FD109" s="2"/>
      <c r="FE109" s="2"/>
      <c r="FF109" s="2"/>
      <c r="FG109" s="2"/>
      <c r="FH109" s="2"/>
      <c r="FI109" s="2"/>
      <c r="FJ109" s="2"/>
      <c r="FK109" s="2"/>
      <c r="FL109" s="2"/>
      <c r="FM109" s="2"/>
      <c r="FN109" s="2"/>
      <c r="FO109" s="2"/>
      <c r="FP109" s="2"/>
      <c r="FQ109" s="2"/>
      <c r="FR109" s="2"/>
      <c r="FS109" s="2"/>
      <c r="FT109" s="2"/>
      <c r="FU109" s="2"/>
      <c r="FV109" s="2"/>
      <c r="FW109" s="2"/>
      <c r="FX109" s="2"/>
      <c r="FY109" s="2"/>
      <c r="FZ109" s="2"/>
      <c r="GA109" s="2"/>
      <c r="GB109" s="2"/>
      <c r="GC109" s="2"/>
      <c r="GD109" s="2"/>
      <c r="GE109" s="2"/>
      <c r="GF109" s="2"/>
      <c r="GG109" s="2"/>
      <c r="GH109" s="2"/>
      <c r="GI109" s="2"/>
      <c r="GJ109" s="2"/>
      <c r="GK109" s="2"/>
      <c r="GL109" s="2"/>
      <c r="GM109" s="2"/>
      <c r="GN109" s="2"/>
      <c r="GO109" s="2"/>
      <c r="GP109" s="2"/>
      <c r="GQ109" s="2"/>
      <c r="GR109" s="2"/>
      <c r="GS109" s="2"/>
      <c r="GT109" s="2"/>
      <c r="GU109" s="2"/>
      <c r="GV109" s="2"/>
      <c r="GW109" s="2"/>
    </row>
    <row r="110" spans="1:205" s="5" customFormat="1" ht="15.6" x14ac:dyDescent="0.3">
      <c r="A110" s="60" t="s">
        <v>286</v>
      </c>
      <c r="B110" s="23" t="s">
        <v>276</v>
      </c>
      <c r="C110" s="37" t="s">
        <v>277</v>
      </c>
      <c r="D110" s="31" t="s">
        <v>137</v>
      </c>
      <c r="E110" s="30"/>
      <c r="F110" s="102">
        <v>44965</v>
      </c>
      <c r="G110" s="29">
        <v>0</v>
      </c>
      <c r="H110" s="102">
        <f t="shared" si="7"/>
        <v>44964</v>
      </c>
      <c r="I110" s="71">
        <v>0</v>
      </c>
      <c r="J110"/>
      <c r="K110" s="50"/>
      <c r="L110" s="4"/>
      <c r="M110" s="4"/>
      <c r="N110" s="4"/>
      <c r="O110" s="4"/>
      <c r="P110" s="4"/>
      <c r="Q110" s="4"/>
      <c r="R110" s="4"/>
      <c r="S110" s="4"/>
      <c r="T110" s="4"/>
      <c r="U110" s="4"/>
      <c r="V110" s="4"/>
      <c r="W110" s="4"/>
      <c r="X110" s="4"/>
      <c r="Y110" s="4"/>
      <c r="Z110" s="4"/>
      <c r="AA110" s="4"/>
      <c r="AB110" s="7"/>
      <c r="AC110" s="7"/>
      <c r="AD110" s="7"/>
      <c r="AE110" s="7"/>
      <c r="AF110" s="7"/>
      <c r="AG110" s="7"/>
      <c r="AH110" s="7"/>
      <c r="AI110" s="7"/>
      <c r="AJ110" s="7"/>
      <c r="AK110" s="7"/>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51"/>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2"/>
      <c r="FD110" s="2"/>
      <c r="FE110" s="2"/>
      <c r="FF110" s="2"/>
      <c r="FG110" s="2"/>
      <c r="FH110" s="2"/>
      <c r="FI110" s="2"/>
      <c r="FJ110" s="2"/>
      <c r="FK110" s="2"/>
      <c r="FL110" s="2"/>
      <c r="FM110" s="2"/>
      <c r="FN110" s="2"/>
      <c r="FO110" s="2"/>
      <c r="FP110" s="2"/>
      <c r="FQ110" s="2"/>
      <c r="FR110" s="2"/>
      <c r="FS110" s="2"/>
      <c r="FT110" s="2"/>
      <c r="FU110" s="2"/>
      <c r="FV110" s="2"/>
      <c r="FW110" s="2"/>
      <c r="FX110" s="2"/>
      <c r="FY110" s="2"/>
      <c r="FZ110" s="2"/>
      <c r="GA110" s="2"/>
      <c r="GB110" s="2"/>
      <c r="GC110" s="2"/>
      <c r="GD110" s="2"/>
      <c r="GE110" s="2"/>
      <c r="GF110" s="2"/>
      <c r="GG110" s="2"/>
      <c r="GH110" s="2"/>
      <c r="GI110" s="2"/>
      <c r="GJ110" s="2"/>
      <c r="GK110" s="2"/>
      <c r="GL110" s="2"/>
      <c r="GM110" s="2"/>
      <c r="GN110" s="2"/>
      <c r="GO110" s="2"/>
      <c r="GP110" s="2"/>
      <c r="GQ110" s="2"/>
      <c r="GR110" s="2"/>
      <c r="GS110" s="2"/>
      <c r="GT110" s="2"/>
      <c r="GU110" s="2"/>
      <c r="GV110" s="2"/>
      <c r="GW110" s="2"/>
    </row>
    <row r="111" spans="1:205" s="5" customFormat="1" ht="15.6" x14ac:dyDescent="0.3">
      <c r="A111" s="60" t="s">
        <v>287</v>
      </c>
      <c r="B111" s="23" t="s">
        <v>276</v>
      </c>
      <c r="C111" s="37" t="s">
        <v>277</v>
      </c>
      <c r="D111" s="31" t="s">
        <v>140</v>
      </c>
      <c r="E111" s="30"/>
      <c r="F111" s="102">
        <v>44965</v>
      </c>
      <c r="G111" s="29">
        <v>0</v>
      </c>
      <c r="H111" s="102">
        <f t="shared" si="7"/>
        <v>44964</v>
      </c>
      <c r="I111" s="71">
        <v>0</v>
      </c>
      <c r="J111"/>
      <c r="K111" s="50"/>
      <c r="L111" s="4"/>
      <c r="M111" s="4"/>
      <c r="N111" s="4"/>
      <c r="O111" s="4"/>
      <c r="P111" s="4"/>
      <c r="Q111" s="4"/>
      <c r="R111" s="4"/>
      <c r="S111" s="4"/>
      <c r="T111" s="4"/>
      <c r="U111" s="4"/>
      <c r="V111" s="4"/>
      <c r="W111" s="4"/>
      <c r="X111" s="4"/>
      <c r="Y111" s="4"/>
      <c r="Z111" s="4"/>
      <c r="AA111" s="4"/>
      <c r="AB111" s="7"/>
      <c r="AC111" s="7"/>
      <c r="AD111" s="7"/>
      <c r="AE111" s="7"/>
      <c r="AF111" s="7"/>
      <c r="AG111" s="7"/>
      <c r="AH111" s="7"/>
      <c r="AI111" s="7"/>
      <c r="AJ111" s="7"/>
      <c r="AK111" s="7"/>
      <c r="AL111" s="7"/>
      <c r="AM111" s="7"/>
      <c r="AN111" s="7"/>
      <c r="AO111" s="7"/>
      <c r="AP111" s="7"/>
      <c r="AQ111" s="7"/>
      <c r="AR111" s="7"/>
      <c r="AS111" s="7"/>
      <c r="AT111" s="7"/>
      <c r="AU111" s="7"/>
      <c r="AV111" s="7"/>
      <c r="AW111" s="7"/>
      <c r="AX111" s="7"/>
      <c r="AY111" s="7"/>
      <c r="AZ111" s="7"/>
      <c r="BA111" s="7"/>
      <c r="BB111" s="7"/>
      <c r="BC111" s="7"/>
      <c r="BD111" s="7"/>
      <c r="BE111" s="7"/>
      <c r="BF111" s="7"/>
      <c r="BG111" s="7"/>
      <c r="BH111" s="7"/>
      <c r="BI111" s="7"/>
      <c r="BJ111" s="7"/>
      <c r="BK111" s="51"/>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c r="EI111" s="2"/>
      <c r="EJ111" s="2"/>
      <c r="EK111" s="2"/>
      <c r="EL111" s="2"/>
      <c r="EM111" s="2"/>
      <c r="EN111" s="2"/>
      <c r="EO111" s="2"/>
      <c r="EP111" s="2"/>
      <c r="EQ111" s="2"/>
      <c r="ER111" s="2"/>
      <c r="ES111" s="2"/>
      <c r="ET111" s="2"/>
      <c r="EU111" s="2"/>
      <c r="EV111" s="2"/>
      <c r="EW111" s="2"/>
      <c r="EX111" s="2"/>
      <c r="EY111" s="2"/>
      <c r="EZ111" s="2"/>
      <c r="FA111" s="2"/>
      <c r="FB111" s="2"/>
      <c r="FC111" s="2"/>
      <c r="FD111" s="2"/>
      <c r="FE111" s="2"/>
      <c r="FF111" s="2"/>
      <c r="FG111" s="2"/>
      <c r="FH111" s="2"/>
      <c r="FI111" s="2"/>
      <c r="FJ111" s="2"/>
      <c r="FK111" s="2"/>
      <c r="FL111" s="2"/>
      <c r="FM111" s="2"/>
      <c r="FN111" s="2"/>
      <c r="FO111" s="2"/>
      <c r="FP111" s="2"/>
      <c r="FQ111" s="2"/>
      <c r="FR111" s="2"/>
      <c r="FS111" s="2"/>
      <c r="FT111" s="2"/>
      <c r="FU111" s="2"/>
      <c r="FV111" s="2"/>
      <c r="FW111" s="2"/>
      <c r="FX111" s="2"/>
      <c r="FY111" s="2"/>
      <c r="FZ111" s="2"/>
      <c r="GA111" s="2"/>
      <c r="GB111" s="2"/>
      <c r="GC111" s="2"/>
      <c r="GD111" s="2"/>
      <c r="GE111" s="2"/>
      <c r="GF111" s="2"/>
      <c r="GG111" s="2"/>
      <c r="GH111" s="2"/>
      <c r="GI111" s="2"/>
      <c r="GJ111" s="2"/>
      <c r="GK111" s="2"/>
      <c r="GL111" s="2"/>
      <c r="GM111" s="2"/>
      <c r="GN111" s="2"/>
      <c r="GO111" s="2"/>
      <c r="GP111" s="2"/>
      <c r="GQ111" s="2"/>
      <c r="GR111" s="2"/>
      <c r="GS111" s="2"/>
      <c r="GT111" s="2"/>
      <c r="GU111" s="2"/>
      <c r="GV111" s="2"/>
      <c r="GW111" s="2"/>
    </row>
    <row r="112" spans="1:205" s="5" customFormat="1" ht="15.6" x14ac:dyDescent="0.3">
      <c r="A112" s="60" t="s">
        <v>288</v>
      </c>
      <c r="B112" s="23" t="s">
        <v>276</v>
      </c>
      <c r="C112" s="37" t="s">
        <v>277</v>
      </c>
      <c r="D112" s="31" t="s">
        <v>96</v>
      </c>
      <c r="E112" s="30"/>
      <c r="F112" s="102">
        <v>44965</v>
      </c>
      <c r="G112" s="29">
        <v>0</v>
      </c>
      <c r="H112" s="102">
        <f t="shared" si="7"/>
        <v>44964</v>
      </c>
      <c r="I112" s="71">
        <v>0</v>
      </c>
      <c r="J112"/>
      <c r="K112" s="50"/>
      <c r="L112" s="4"/>
      <c r="M112" s="4"/>
      <c r="N112" s="4"/>
      <c r="O112" s="4"/>
      <c r="P112" s="4"/>
      <c r="Q112" s="4"/>
      <c r="R112" s="4"/>
      <c r="S112" s="4"/>
      <c r="T112" s="4"/>
      <c r="U112" s="4"/>
      <c r="V112" s="4"/>
      <c r="W112" s="4"/>
      <c r="X112" s="4"/>
      <c r="Y112" s="4"/>
      <c r="Z112" s="4"/>
      <c r="AA112" s="4"/>
      <c r="AB112" s="7"/>
      <c r="AC112" s="7"/>
      <c r="AD112" s="7"/>
      <c r="AE112" s="7"/>
      <c r="AF112" s="7"/>
      <c r="AG112" s="7"/>
      <c r="AH112" s="7"/>
      <c r="AI112" s="7"/>
      <c r="AJ112" s="7"/>
      <c r="AK112" s="7"/>
      <c r="AL112" s="7"/>
      <c r="AM112" s="7"/>
      <c r="AN112" s="7"/>
      <c r="AO112" s="7"/>
      <c r="AP112" s="7"/>
      <c r="AQ112" s="7"/>
      <c r="AR112" s="7"/>
      <c r="AS112" s="7"/>
      <c r="AT112" s="7"/>
      <c r="AU112" s="7"/>
      <c r="AV112" s="7"/>
      <c r="AW112" s="7"/>
      <c r="AX112" s="7"/>
      <c r="AY112" s="7"/>
      <c r="AZ112" s="7"/>
      <c r="BA112" s="7"/>
      <c r="BB112" s="7"/>
      <c r="BC112" s="7"/>
      <c r="BD112" s="7"/>
      <c r="BE112" s="7"/>
      <c r="BF112" s="7"/>
      <c r="BG112" s="7"/>
      <c r="BH112" s="7"/>
      <c r="BI112" s="7"/>
      <c r="BJ112" s="7"/>
      <c r="BK112" s="51"/>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c r="DO112" s="2"/>
      <c r="DP112" s="2"/>
      <c r="DQ112" s="2"/>
      <c r="DR112" s="2"/>
      <c r="DS112" s="2"/>
      <c r="DT112" s="2"/>
      <c r="DU112" s="2"/>
      <c r="DV112" s="2"/>
      <c r="DW112" s="2"/>
      <c r="DX112" s="2"/>
      <c r="DY112" s="2"/>
      <c r="DZ112" s="2"/>
      <c r="EA112" s="2"/>
      <c r="EB112" s="2"/>
      <c r="EC112" s="2"/>
      <c r="ED112" s="2"/>
      <c r="EE112" s="2"/>
      <c r="EF112" s="2"/>
      <c r="EG112" s="2"/>
      <c r="EH112" s="2"/>
      <c r="EI112" s="2"/>
      <c r="EJ112" s="2"/>
      <c r="EK112" s="2"/>
      <c r="EL112" s="2"/>
      <c r="EM112" s="2"/>
      <c r="EN112" s="2"/>
      <c r="EO112" s="2"/>
      <c r="EP112" s="2"/>
      <c r="EQ112" s="2"/>
      <c r="ER112" s="2"/>
      <c r="ES112" s="2"/>
      <c r="ET112" s="2"/>
      <c r="EU112" s="2"/>
      <c r="EV112" s="2"/>
      <c r="EW112" s="2"/>
      <c r="EX112" s="2"/>
      <c r="EY112" s="2"/>
      <c r="EZ112" s="2"/>
      <c r="FA112" s="2"/>
      <c r="FB112" s="2"/>
      <c r="FC112" s="2"/>
      <c r="FD112" s="2"/>
      <c r="FE112" s="2"/>
      <c r="FF112" s="2"/>
      <c r="FG112" s="2"/>
      <c r="FH112" s="2"/>
      <c r="FI112" s="2"/>
      <c r="FJ112" s="2"/>
      <c r="FK112" s="2"/>
      <c r="FL112" s="2"/>
      <c r="FM112" s="2"/>
      <c r="FN112" s="2"/>
      <c r="FO112" s="2"/>
      <c r="FP112" s="2"/>
      <c r="FQ112" s="2"/>
      <c r="FR112" s="2"/>
      <c r="FS112" s="2"/>
      <c r="FT112" s="2"/>
      <c r="FU112" s="2"/>
      <c r="FV112" s="2"/>
      <c r="FW112" s="2"/>
      <c r="FX112" s="2"/>
      <c r="FY112" s="2"/>
      <c r="FZ112" s="2"/>
      <c r="GA112" s="2"/>
      <c r="GB112" s="2"/>
      <c r="GC112" s="2"/>
      <c r="GD112" s="2"/>
      <c r="GE112" s="2"/>
      <c r="GF112" s="2"/>
      <c r="GG112" s="2"/>
      <c r="GH112" s="2"/>
      <c r="GI112" s="2"/>
      <c r="GJ112" s="2"/>
      <c r="GK112" s="2"/>
      <c r="GL112" s="2"/>
      <c r="GM112" s="2"/>
      <c r="GN112" s="2"/>
      <c r="GO112" s="2"/>
      <c r="GP112" s="2"/>
      <c r="GQ112" s="2"/>
      <c r="GR112" s="2"/>
      <c r="GS112" s="2"/>
      <c r="GT112" s="2"/>
      <c r="GU112" s="2"/>
      <c r="GV112" s="2"/>
      <c r="GW112" s="2"/>
    </row>
    <row r="113" spans="1:205" s="5" customFormat="1" ht="15.6" x14ac:dyDescent="0.3">
      <c r="A113" s="60" t="s">
        <v>289</v>
      </c>
      <c r="B113" s="23" t="s">
        <v>276</v>
      </c>
      <c r="C113" s="37" t="s">
        <v>277</v>
      </c>
      <c r="D113" s="31" t="s">
        <v>99</v>
      </c>
      <c r="E113" s="30"/>
      <c r="F113" s="102">
        <v>44965</v>
      </c>
      <c r="G113" s="29">
        <v>0</v>
      </c>
      <c r="H113" s="102">
        <f t="shared" si="7"/>
        <v>44964</v>
      </c>
      <c r="I113" s="71">
        <v>0</v>
      </c>
      <c r="J113"/>
      <c r="K113" s="50"/>
      <c r="L113" s="4"/>
      <c r="M113" s="4"/>
      <c r="N113" s="4"/>
      <c r="O113" s="4"/>
      <c r="P113" s="4"/>
      <c r="Q113" s="4"/>
      <c r="R113" s="4"/>
      <c r="S113" s="4"/>
      <c r="T113" s="4"/>
      <c r="U113" s="4"/>
      <c r="V113" s="4"/>
      <c r="W113" s="4"/>
      <c r="X113" s="4"/>
      <c r="Y113" s="4"/>
      <c r="Z113" s="4"/>
      <c r="AA113" s="4"/>
      <c r="AB113" s="7"/>
      <c r="AC113" s="7"/>
      <c r="AD113" s="7"/>
      <c r="AE113" s="7"/>
      <c r="AF113" s="7"/>
      <c r="AG113" s="7"/>
      <c r="AH113" s="7"/>
      <c r="AI113" s="7"/>
      <c r="AJ113" s="7"/>
      <c r="AK113" s="7"/>
      <c r="AL113" s="7"/>
      <c r="AM113" s="7"/>
      <c r="AN113" s="7"/>
      <c r="AO113" s="7"/>
      <c r="AP113" s="7"/>
      <c r="AQ113" s="7"/>
      <c r="AR113" s="7"/>
      <c r="AS113" s="7"/>
      <c r="AT113" s="7"/>
      <c r="AU113" s="7"/>
      <c r="AV113" s="7"/>
      <c r="AW113" s="7"/>
      <c r="AX113" s="7"/>
      <c r="AY113" s="7"/>
      <c r="AZ113" s="7"/>
      <c r="BA113" s="7"/>
      <c r="BB113" s="7"/>
      <c r="BC113" s="7"/>
      <c r="BD113" s="7"/>
      <c r="BE113" s="7"/>
      <c r="BF113" s="7"/>
      <c r="BG113" s="7"/>
      <c r="BH113" s="7"/>
      <c r="BI113" s="7"/>
      <c r="BJ113" s="7"/>
      <c r="BK113" s="51"/>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c r="DO113" s="2"/>
      <c r="DP113" s="2"/>
      <c r="DQ113" s="2"/>
      <c r="DR113" s="2"/>
      <c r="DS113" s="2"/>
      <c r="DT113" s="2"/>
      <c r="DU113" s="2"/>
      <c r="DV113" s="2"/>
      <c r="DW113" s="2"/>
      <c r="DX113" s="2"/>
      <c r="DY113" s="2"/>
      <c r="DZ113" s="2"/>
      <c r="EA113" s="2"/>
      <c r="EB113" s="2"/>
      <c r="EC113" s="2"/>
      <c r="ED113" s="2"/>
      <c r="EE113" s="2"/>
      <c r="EF113" s="2"/>
      <c r="EG113" s="2"/>
      <c r="EH113" s="2"/>
      <c r="EI113" s="2"/>
      <c r="EJ113" s="2"/>
      <c r="EK113" s="2"/>
      <c r="EL113" s="2"/>
      <c r="EM113" s="2"/>
      <c r="EN113" s="2"/>
      <c r="EO113" s="2"/>
      <c r="EP113" s="2"/>
      <c r="EQ113" s="2"/>
      <c r="ER113" s="2"/>
      <c r="ES113" s="2"/>
      <c r="ET113" s="2"/>
      <c r="EU113" s="2"/>
      <c r="EV113" s="2"/>
      <c r="EW113" s="2"/>
      <c r="EX113" s="2"/>
      <c r="EY113" s="2"/>
      <c r="EZ113" s="2"/>
      <c r="FA113" s="2"/>
      <c r="FB113" s="2"/>
      <c r="FC113" s="2"/>
      <c r="FD113" s="2"/>
      <c r="FE113" s="2"/>
      <c r="FF113" s="2"/>
      <c r="FG113" s="2"/>
      <c r="FH113" s="2"/>
      <c r="FI113" s="2"/>
      <c r="FJ113" s="2"/>
      <c r="FK113" s="2"/>
      <c r="FL113" s="2"/>
      <c r="FM113" s="2"/>
      <c r="FN113" s="2"/>
      <c r="FO113" s="2"/>
      <c r="FP113" s="2"/>
      <c r="FQ113" s="2"/>
      <c r="FR113" s="2"/>
      <c r="FS113" s="2"/>
      <c r="FT113" s="2"/>
      <c r="FU113" s="2"/>
      <c r="FV113" s="2"/>
      <c r="FW113" s="2"/>
      <c r="FX113" s="2"/>
      <c r="FY113" s="2"/>
      <c r="FZ113" s="2"/>
      <c r="GA113" s="2"/>
      <c r="GB113" s="2"/>
      <c r="GC113" s="2"/>
      <c r="GD113" s="2"/>
      <c r="GE113" s="2"/>
      <c r="GF113" s="2"/>
      <c r="GG113" s="2"/>
      <c r="GH113" s="2"/>
      <c r="GI113" s="2"/>
      <c r="GJ113" s="2"/>
      <c r="GK113" s="2"/>
      <c r="GL113" s="2"/>
      <c r="GM113" s="2"/>
      <c r="GN113" s="2"/>
      <c r="GO113" s="2"/>
      <c r="GP113" s="2"/>
      <c r="GQ113" s="2"/>
      <c r="GR113" s="2"/>
      <c r="GS113" s="2"/>
      <c r="GT113" s="2"/>
      <c r="GU113" s="2"/>
      <c r="GV113" s="2"/>
      <c r="GW113" s="2"/>
    </row>
    <row r="114" spans="1:205" s="5" customFormat="1" ht="15.6" x14ac:dyDescent="0.3">
      <c r="A114" s="60" t="s">
        <v>290</v>
      </c>
      <c r="B114" s="23" t="s">
        <v>276</v>
      </c>
      <c r="C114" s="37" t="s">
        <v>277</v>
      </c>
      <c r="D114" s="31" t="s">
        <v>102</v>
      </c>
      <c r="E114" s="30"/>
      <c r="F114" s="102">
        <v>44965</v>
      </c>
      <c r="G114" s="29">
        <v>0</v>
      </c>
      <c r="H114" s="102">
        <f t="shared" si="7"/>
        <v>44964</v>
      </c>
      <c r="I114" s="71">
        <v>0</v>
      </c>
      <c r="J114"/>
      <c r="K114" s="50"/>
      <c r="L114" s="4"/>
      <c r="M114" s="4"/>
      <c r="N114" s="4"/>
      <c r="O114" s="4"/>
      <c r="P114" s="4"/>
      <c r="Q114" s="4"/>
      <c r="R114" s="4"/>
      <c r="S114" s="4"/>
      <c r="T114" s="4"/>
      <c r="U114" s="4"/>
      <c r="V114" s="4"/>
      <c r="W114" s="4"/>
      <c r="X114" s="4"/>
      <c r="Y114" s="4"/>
      <c r="Z114" s="4"/>
      <c r="AA114" s="4"/>
      <c r="AB114" s="7"/>
      <c r="AC114" s="7"/>
      <c r="AD114" s="7"/>
      <c r="AE114" s="7"/>
      <c r="AF114" s="7"/>
      <c r="AG114" s="7"/>
      <c r="AH114" s="7"/>
      <c r="AI114" s="7"/>
      <c r="AJ114" s="7"/>
      <c r="AK114" s="7"/>
      <c r="AL114" s="7"/>
      <c r="AM114" s="7"/>
      <c r="AN114" s="7"/>
      <c r="AO114" s="7"/>
      <c r="AP114" s="7"/>
      <c r="AQ114" s="7"/>
      <c r="AR114" s="7"/>
      <c r="AS114" s="7"/>
      <c r="AT114" s="7"/>
      <c r="AU114" s="7"/>
      <c r="AV114" s="7"/>
      <c r="AW114" s="7"/>
      <c r="AX114" s="7"/>
      <c r="AY114" s="7"/>
      <c r="AZ114" s="7"/>
      <c r="BA114" s="7"/>
      <c r="BB114" s="7"/>
      <c r="BC114" s="7"/>
      <c r="BD114" s="7"/>
      <c r="BE114" s="7"/>
      <c r="BF114" s="7"/>
      <c r="BG114" s="7"/>
      <c r="BH114" s="7"/>
      <c r="BI114" s="7"/>
      <c r="BJ114" s="7"/>
      <c r="BK114" s="51"/>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c r="DO114" s="2"/>
      <c r="DP114" s="2"/>
      <c r="DQ114" s="2"/>
      <c r="DR114" s="2"/>
      <c r="DS114" s="2"/>
      <c r="DT114" s="2"/>
      <c r="DU114" s="2"/>
      <c r="DV114" s="2"/>
      <c r="DW114" s="2"/>
      <c r="DX114" s="2"/>
      <c r="DY114" s="2"/>
      <c r="DZ114" s="2"/>
      <c r="EA114" s="2"/>
      <c r="EB114" s="2"/>
      <c r="EC114" s="2"/>
      <c r="ED114" s="2"/>
      <c r="EE114" s="2"/>
      <c r="EF114" s="2"/>
      <c r="EG114" s="2"/>
      <c r="EH114" s="2"/>
      <c r="EI114" s="2"/>
      <c r="EJ114" s="2"/>
      <c r="EK114" s="2"/>
      <c r="EL114" s="2"/>
      <c r="EM114" s="2"/>
      <c r="EN114" s="2"/>
      <c r="EO114" s="2"/>
      <c r="EP114" s="2"/>
      <c r="EQ114" s="2"/>
      <c r="ER114" s="2"/>
      <c r="ES114" s="2"/>
      <c r="ET114" s="2"/>
      <c r="EU114" s="2"/>
      <c r="EV114" s="2"/>
      <c r="EW114" s="2"/>
      <c r="EX114" s="2"/>
      <c r="EY114" s="2"/>
      <c r="EZ114" s="2"/>
      <c r="FA114" s="2"/>
      <c r="FB114" s="2"/>
      <c r="FC114" s="2"/>
      <c r="FD114" s="2"/>
      <c r="FE114" s="2"/>
      <c r="FF114" s="2"/>
      <c r="FG114" s="2"/>
      <c r="FH114" s="2"/>
      <c r="FI114" s="2"/>
      <c r="FJ114" s="2"/>
      <c r="FK114" s="2"/>
      <c r="FL114" s="2"/>
      <c r="FM114" s="2"/>
      <c r="FN114" s="2"/>
      <c r="FO114" s="2"/>
      <c r="FP114" s="2"/>
      <c r="FQ114" s="2"/>
      <c r="FR114" s="2"/>
      <c r="FS114" s="2"/>
      <c r="FT114" s="2"/>
      <c r="FU114" s="2"/>
      <c r="FV114" s="2"/>
      <c r="FW114" s="2"/>
      <c r="FX114" s="2"/>
      <c r="FY114" s="2"/>
      <c r="FZ114" s="2"/>
      <c r="GA114" s="2"/>
      <c r="GB114" s="2"/>
      <c r="GC114" s="2"/>
      <c r="GD114" s="2"/>
      <c r="GE114" s="2"/>
      <c r="GF114" s="2"/>
      <c r="GG114" s="2"/>
      <c r="GH114" s="2"/>
      <c r="GI114" s="2"/>
      <c r="GJ114" s="2"/>
      <c r="GK114" s="2"/>
      <c r="GL114" s="2"/>
      <c r="GM114" s="2"/>
      <c r="GN114" s="2"/>
      <c r="GO114" s="2"/>
      <c r="GP114" s="2"/>
      <c r="GQ114" s="2"/>
      <c r="GR114" s="2"/>
      <c r="GS114" s="2"/>
      <c r="GT114" s="2"/>
      <c r="GU114" s="2"/>
      <c r="GV114" s="2"/>
      <c r="GW114" s="2"/>
    </row>
    <row r="115" spans="1:205" s="5" customFormat="1" ht="15.6" x14ac:dyDescent="0.3">
      <c r="A115" s="60" t="s">
        <v>291</v>
      </c>
      <c r="B115" s="23" t="s">
        <v>276</v>
      </c>
      <c r="C115" s="37" t="s">
        <v>277</v>
      </c>
      <c r="D115" s="31" t="s">
        <v>105</v>
      </c>
      <c r="E115" s="30"/>
      <c r="F115" s="102">
        <v>44965</v>
      </c>
      <c r="G115" s="29">
        <v>0</v>
      </c>
      <c r="H115" s="102">
        <f t="shared" si="7"/>
        <v>44964</v>
      </c>
      <c r="I115" s="71">
        <v>0</v>
      </c>
      <c r="J115"/>
      <c r="K115" s="50"/>
      <c r="L115" s="4"/>
      <c r="M115" s="4"/>
      <c r="N115" s="4"/>
      <c r="O115" s="4"/>
      <c r="P115" s="4"/>
      <c r="Q115" s="4"/>
      <c r="R115" s="4"/>
      <c r="S115" s="4"/>
      <c r="T115" s="4"/>
      <c r="U115" s="4"/>
      <c r="V115" s="4"/>
      <c r="W115" s="4"/>
      <c r="X115" s="4"/>
      <c r="Y115" s="4"/>
      <c r="Z115" s="4"/>
      <c r="AA115" s="4"/>
      <c r="AB115" s="7"/>
      <c r="AC115" s="7"/>
      <c r="AD115" s="7"/>
      <c r="AE115" s="7"/>
      <c r="AF115" s="7"/>
      <c r="AG115" s="7"/>
      <c r="AH115" s="7"/>
      <c r="AI115" s="7"/>
      <c r="AJ115" s="7"/>
      <c r="AK115" s="7"/>
      <c r="AL115" s="7"/>
      <c r="AM115" s="7"/>
      <c r="AN115" s="7"/>
      <c r="AO115" s="7"/>
      <c r="AP115" s="7"/>
      <c r="AQ115" s="7"/>
      <c r="AR115" s="7"/>
      <c r="AS115" s="7"/>
      <c r="AT115" s="7"/>
      <c r="AU115" s="7"/>
      <c r="AV115" s="7"/>
      <c r="AW115" s="7"/>
      <c r="AX115" s="7"/>
      <c r="AY115" s="7"/>
      <c r="AZ115" s="7"/>
      <c r="BA115" s="7"/>
      <c r="BB115" s="7"/>
      <c r="BC115" s="7"/>
      <c r="BD115" s="7"/>
      <c r="BE115" s="7"/>
      <c r="BF115" s="7"/>
      <c r="BG115" s="7"/>
      <c r="BH115" s="7"/>
      <c r="BI115" s="7"/>
      <c r="BJ115" s="7"/>
      <c r="BK115" s="51"/>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c r="DO115" s="2"/>
      <c r="DP115" s="2"/>
      <c r="DQ115" s="2"/>
      <c r="DR115" s="2"/>
      <c r="DS115" s="2"/>
      <c r="DT115" s="2"/>
      <c r="DU115" s="2"/>
      <c r="DV115" s="2"/>
      <c r="DW115" s="2"/>
      <c r="DX115" s="2"/>
      <c r="DY115" s="2"/>
      <c r="DZ115" s="2"/>
      <c r="EA115" s="2"/>
      <c r="EB115" s="2"/>
      <c r="EC115" s="2"/>
      <c r="ED115" s="2"/>
      <c r="EE115" s="2"/>
      <c r="EF115" s="2"/>
      <c r="EG115" s="2"/>
      <c r="EH115" s="2"/>
      <c r="EI115" s="2"/>
      <c r="EJ115" s="2"/>
      <c r="EK115" s="2"/>
      <c r="EL115" s="2"/>
      <c r="EM115" s="2"/>
      <c r="EN115" s="2"/>
      <c r="EO115" s="2"/>
      <c r="EP115" s="2"/>
      <c r="EQ115" s="2"/>
      <c r="ER115" s="2"/>
      <c r="ES115" s="2"/>
      <c r="ET115" s="2"/>
      <c r="EU115" s="2"/>
      <c r="EV115" s="2"/>
      <c r="EW115" s="2"/>
      <c r="EX115" s="2"/>
      <c r="EY115" s="2"/>
      <c r="EZ115" s="2"/>
      <c r="FA115" s="2"/>
      <c r="FB115" s="2"/>
      <c r="FC115" s="2"/>
      <c r="FD115" s="2"/>
      <c r="FE115" s="2"/>
      <c r="FF115" s="2"/>
      <c r="FG115" s="2"/>
      <c r="FH115" s="2"/>
      <c r="FI115" s="2"/>
      <c r="FJ115" s="2"/>
      <c r="FK115" s="2"/>
      <c r="FL115" s="2"/>
      <c r="FM115" s="2"/>
      <c r="FN115" s="2"/>
      <c r="FO115" s="2"/>
      <c r="FP115" s="2"/>
      <c r="FQ115" s="2"/>
      <c r="FR115" s="2"/>
      <c r="FS115" s="2"/>
      <c r="FT115" s="2"/>
      <c r="FU115" s="2"/>
      <c r="FV115" s="2"/>
      <c r="FW115" s="2"/>
      <c r="FX115" s="2"/>
      <c r="FY115" s="2"/>
      <c r="FZ115" s="2"/>
      <c r="GA115" s="2"/>
      <c r="GB115" s="2"/>
      <c r="GC115" s="2"/>
      <c r="GD115" s="2"/>
      <c r="GE115" s="2"/>
      <c r="GF115" s="2"/>
      <c r="GG115" s="2"/>
      <c r="GH115" s="2"/>
      <c r="GI115" s="2"/>
      <c r="GJ115" s="2"/>
      <c r="GK115" s="2"/>
      <c r="GL115" s="2"/>
      <c r="GM115" s="2"/>
      <c r="GN115" s="2"/>
      <c r="GO115" s="2"/>
      <c r="GP115" s="2"/>
      <c r="GQ115" s="2"/>
      <c r="GR115" s="2"/>
      <c r="GS115" s="2"/>
      <c r="GT115" s="2"/>
      <c r="GU115" s="2"/>
      <c r="GV115" s="2"/>
      <c r="GW115" s="2"/>
    </row>
    <row r="116" spans="1:205" s="5" customFormat="1" ht="15.6" x14ac:dyDescent="0.3">
      <c r="A116" s="60" t="s">
        <v>292</v>
      </c>
      <c r="B116" s="23" t="s">
        <v>276</v>
      </c>
      <c r="C116" s="37" t="s">
        <v>277</v>
      </c>
      <c r="D116" s="31" t="s">
        <v>93</v>
      </c>
      <c r="E116" s="30"/>
      <c r="F116" s="102">
        <v>44965</v>
      </c>
      <c r="G116" s="29">
        <v>0</v>
      </c>
      <c r="H116" s="102">
        <f t="shared" si="7"/>
        <v>44964</v>
      </c>
      <c r="I116" s="71">
        <v>0</v>
      </c>
      <c r="J116"/>
      <c r="K116" s="50"/>
      <c r="L116" s="4"/>
      <c r="M116" s="4"/>
      <c r="N116" s="4"/>
      <c r="O116" s="4"/>
      <c r="P116" s="4"/>
      <c r="Q116" s="4"/>
      <c r="R116" s="4"/>
      <c r="S116" s="4"/>
      <c r="T116" s="4"/>
      <c r="U116" s="4"/>
      <c r="V116" s="4"/>
      <c r="W116" s="4"/>
      <c r="X116" s="4"/>
      <c r="Y116" s="4"/>
      <c r="Z116" s="4"/>
      <c r="AA116" s="4"/>
      <c r="AB116" s="7"/>
      <c r="AC116" s="7"/>
      <c r="AD116" s="7"/>
      <c r="AE116" s="7"/>
      <c r="AF116" s="7"/>
      <c r="AG116" s="7"/>
      <c r="AH116" s="7"/>
      <c r="AI116" s="7"/>
      <c r="AJ116" s="7"/>
      <c r="AK116" s="7"/>
      <c r="AL116" s="7"/>
      <c r="AM116" s="7"/>
      <c r="AN116" s="7"/>
      <c r="AO116" s="7"/>
      <c r="AP116" s="7"/>
      <c r="AQ116" s="7"/>
      <c r="AR116" s="7"/>
      <c r="AS116" s="7"/>
      <c r="AT116" s="7"/>
      <c r="AU116" s="7"/>
      <c r="AV116" s="7"/>
      <c r="AW116" s="7"/>
      <c r="AX116" s="7"/>
      <c r="AY116" s="7"/>
      <c r="AZ116" s="7"/>
      <c r="BA116" s="7"/>
      <c r="BB116" s="7"/>
      <c r="BC116" s="7"/>
      <c r="BD116" s="7"/>
      <c r="BE116" s="7"/>
      <c r="BF116" s="7"/>
      <c r="BG116" s="7"/>
      <c r="BH116" s="7"/>
      <c r="BI116" s="7"/>
      <c r="BJ116" s="7"/>
      <c r="BK116" s="51"/>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c r="DO116" s="2"/>
      <c r="DP116" s="2"/>
      <c r="DQ116" s="2"/>
      <c r="DR116" s="2"/>
      <c r="DS116" s="2"/>
      <c r="DT116" s="2"/>
      <c r="DU116" s="2"/>
      <c r="DV116" s="2"/>
      <c r="DW116" s="2"/>
      <c r="DX116" s="2"/>
      <c r="DY116" s="2"/>
      <c r="DZ116" s="2"/>
      <c r="EA116" s="2"/>
      <c r="EB116" s="2"/>
      <c r="EC116" s="2"/>
      <c r="ED116" s="2"/>
      <c r="EE116" s="2"/>
      <c r="EF116" s="2"/>
      <c r="EG116" s="2"/>
      <c r="EH116" s="2"/>
      <c r="EI116" s="2"/>
      <c r="EJ116" s="2"/>
      <c r="EK116" s="2"/>
      <c r="EL116" s="2"/>
      <c r="EM116" s="2"/>
      <c r="EN116" s="2"/>
      <c r="EO116" s="2"/>
      <c r="EP116" s="2"/>
      <c r="EQ116" s="2"/>
      <c r="ER116" s="2"/>
      <c r="ES116" s="2"/>
      <c r="ET116" s="2"/>
      <c r="EU116" s="2"/>
      <c r="EV116" s="2"/>
      <c r="EW116" s="2"/>
      <c r="EX116" s="2"/>
      <c r="EY116" s="2"/>
      <c r="EZ116" s="2"/>
      <c r="FA116" s="2"/>
      <c r="FB116" s="2"/>
      <c r="FC116" s="2"/>
      <c r="FD116" s="2"/>
      <c r="FE116" s="2"/>
      <c r="FF116" s="2"/>
      <c r="FG116" s="2"/>
      <c r="FH116" s="2"/>
      <c r="FI116" s="2"/>
      <c r="FJ116" s="2"/>
      <c r="FK116" s="2"/>
      <c r="FL116" s="2"/>
      <c r="FM116" s="2"/>
      <c r="FN116" s="2"/>
      <c r="FO116" s="2"/>
      <c r="FP116" s="2"/>
      <c r="FQ116" s="2"/>
      <c r="FR116" s="2"/>
      <c r="FS116" s="2"/>
      <c r="FT116" s="2"/>
      <c r="FU116" s="2"/>
      <c r="FV116" s="2"/>
      <c r="FW116" s="2"/>
      <c r="FX116" s="2"/>
      <c r="FY116" s="2"/>
      <c r="FZ116" s="2"/>
      <c r="GA116" s="2"/>
      <c r="GB116" s="2"/>
      <c r="GC116" s="2"/>
      <c r="GD116" s="2"/>
      <c r="GE116" s="2"/>
      <c r="GF116" s="2"/>
      <c r="GG116" s="2"/>
      <c r="GH116" s="2"/>
      <c r="GI116" s="2"/>
      <c r="GJ116" s="2"/>
      <c r="GK116" s="2"/>
      <c r="GL116" s="2"/>
      <c r="GM116" s="2"/>
      <c r="GN116" s="2"/>
      <c r="GO116" s="2"/>
      <c r="GP116" s="2"/>
      <c r="GQ116" s="2"/>
      <c r="GR116" s="2"/>
      <c r="GS116" s="2"/>
      <c r="GT116" s="2"/>
      <c r="GU116" s="2"/>
      <c r="GV116" s="2"/>
      <c r="GW116" s="2"/>
    </row>
    <row r="117" spans="1:205" s="5" customFormat="1" ht="15.6" x14ac:dyDescent="0.3">
      <c r="A117" s="60" t="s">
        <v>293</v>
      </c>
      <c r="B117" s="23" t="s">
        <v>294</v>
      </c>
      <c r="C117" s="37" t="s">
        <v>277</v>
      </c>
      <c r="D117" s="31" t="s">
        <v>134</v>
      </c>
      <c r="E117" s="30"/>
      <c r="F117" s="102">
        <v>44965</v>
      </c>
      <c r="G117" s="29">
        <v>0</v>
      </c>
      <c r="H117" s="102">
        <f t="shared" si="7"/>
        <v>44964</v>
      </c>
      <c r="I117" s="71">
        <v>0</v>
      </c>
      <c r="J117"/>
      <c r="K117" s="50"/>
      <c r="L117" s="4"/>
      <c r="M117" s="4"/>
      <c r="N117" s="4"/>
      <c r="O117" s="4"/>
      <c r="P117" s="4"/>
      <c r="Q117" s="4"/>
      <c r="R117" s="4"/>
      <c r="S117" s="4"/>
      <c r="T117" s="4"/>
      <c r="U117" s="4"/>
      <c r="V117" s="4"/>
      <c r="W117" s="4"/>
      <c r="X117" s="4"/>
      <c r="Y117" s="4"/>
      <c r="Z117" s="4"/>
      <c r="AA117" s="4"/>
      <c r="AB117" s="7"/>
      <c r="AC117" s="7"/>
      <c r="AD117" s="7"/>
      <c r="AE117" s="7"/>
      <c r="AF117" s="7"/>
      <c r="AG117" s="7"/>
      <c r="AH117" s="7"/>
      <c r="AI117" s="7"/>
      <c r="AJ117" s="7"/>
      <c r="AK117" s="7"/>
      <c r="AL117" s="7"/>
      <c r="AM117" s="7"/>
      <c r="AN117" s="7"/>
      <c r="AO117" s="7"/>
      <c r="AP117" s="7"/>
      <c r="AQ117" s="7"/>
      <c r="AR117" s="7"/>
      <c r="AS117" s="7"/>
      <c r="AT117" s="7"/>
      <c r="AU117" s="7"/>
      <c r="AV117" s="7"/>
      <c r="AW117" s="7"/>
      <c r="AX117" s="7"/>
      <c r="AY117" s="7"/>
      <c r="AZ117" s="7"/>
      <c r="BA117" s="7"/>
      <c r="BB117" s="7"/>
      <c r="BC117" s="7"/>
      <c r="BD117" s="7"/>
      <c r="BE117" s="7"/>
      <c r="BF117" s="7"/>
      <c r="BG117" s="7"/>
      <c r="BH117" s="7"/>
      <c r="BI117" s="7"/>
      <c r="BJ117" s="7"/>
      <c r="BK117" s="51"/>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c r="DO117" s="2"/>
      <c r="DP117" s="2"/>
      <c r="DQ117" s="2"/>
      <c r="DR117" s="2"/>
      <c r="DS117" s="2"/>
      <c r="DT117" s="2"/>
      <c r="DU117" s="2"/>
      <c r="DV117" s="2"/>
      <c r="DW117" s="2"/>
      <c r="DX117" s="2"/>
      <c r="DY117" s="2"/>
      <c r="DZ117" s="2"/>
      <c r="EA117" s="2"/>
      <c r="EB117" s="2"/>
      <c r="EC117" s="2"/>
      <c r="ED117" s="2"/>
      <c r="EE117" s="2"/>
      <c r="EF117" s="2"/>
      <c r="EG117" s="2"/>
      <c r="EH117" s="2"/>
      <c r="EI117" s="2"/>
      <c r="EJ117" s="2"/>
      <c r="EK117" s="2"/>
      <c r="EL117" s="2"/>
      <c r="EM117" s="2"/>
      <c r="EN117" s="2"/>
      <c r="EO117" s="2"/>
      <c r="EP117" s="2"/>
      <c r="EQ117" s="2"/>
      <c r="ER117" s="2"/>
      <c r="ES117" s="2"/>
      <c r="ET117" s="2"/>
      <c r="EU117" s="2"/>
      <c r="EV117" s="2"/>
      <c r="EW117" s="2"/>
      <c r="EX117" s="2"/>
      <c r="EY117" s="2"/>
      <c r="EZ117" s="2"/>
      <c r="FA117" s="2"/>
      <c r="FB117" s="2"/>
      <c r="FC117" s="2"/>
      <c r="FD117" s="2"/>
      <c r="FE117" s="2"/>
      <c r="FF117" s="2"/>
      <c r="FG117" s="2"/>
      <c r="FH117" s="2"/>
      <c r="FI117" s="2"/>
      <c r="FJ117" s="2"/>
      <c r="FK117" s="2"/>
      <c r="FL117" s="2"/>
      <c r="FM117" s="2"/>
      <c r="FN117" s="2"/>
      <c r="FO117" s="2"/>
      <c r="FP117" s="2"/>
      <c r="FQ117" s="2"/>
      <c r="FR117" s="2"/>
      <c r="FS117" s="2"/>
      <c r="FT117" s="2"/>
      <c r="FU117" s="2"/>
      <c r="FV117" s="2"/>
      <c r="FW117" s="2"/>
      <c r="FX117" s="2"/>
      <c r="FY117" s="2"/>
      <c r="FZ117" s="2"/>
      <c r="GA117" s="2"/>
      <c r="GB117" s="2"/>
      <c r="GC117" s="2"/>
      <c r="GD117" s="2"/>
      <c r="GE117" s="2"/>
      <c r="GF117" s="2"/>
      <c r="GG117" s="2"/>
      <c r="GH117" s="2"/>
      <c r="GI117" s="2"/>
      <c r="GJ117" s="2"/>
      <c r="GK117" s="2"/>
      <c r="GL117" s="2"/>
      <c r="GM117" s="2"/>
      <c r="GN117" s="2"/>
      <c r="GO117" s="2"/>
      <c r="GP117" s="2"/>
      <c r="GQ117" s="2"/>
      <c r="GR117" s="2"/>
      <c r="GS117" s="2"/>
      <c r="GT117" s="2"/>
      <c r="GU117" s="2"/>
      <c r="GV117" s="2"/>
      <c r="GW117" s="2"/>
    </row>
    <row r="118" spans="1:205" s="5" customFormat="1" ht="15.6" x14ac:dyDescent="0.3">
      <c r="A118" s="60" t="s">
        <v>295</v>
      </c>
      <c r="B118" s="23" t="s">
        <v>294</v>
      </c>
      <c r="C118" s="37" t="s">
        <v>277</v>
      </c>
      <c r="D118" s="31" t="s">
        <v>137</v>
      </c>
      <c r="E118" s="30"/>
      <c r="F118" s="102">
        <v>44965</v>
      </c>
      <c r="G118" s="29">
        <v>0</v>
      </c>
      <c r="H118" s="102">
        <f t="shared" si="7"/>
        <v>44964</v>
      </c>
      <c r="I118" s="71">
        <v>0</v>
      </c>
      <c r="J118"/>
      <c r="K118" s="50"/>
      <c r="L118" s="4"/>
      <c r="M118" s="4"/>
      <c r="N118" s="4"/>
      <c r="O118" s="4"/>
      <c r="P118" s="4"/>
      <c r="Q118" s="4"/>
      <c r="R118" s="4"/>
      <c r="S118" s="4"/>
      <c r="T118" s="4"/>
      <c r="U118" s="4"/>
      <c r="V118" s="4"/>
      <c r="W118" s="4"/>
      <c r="X118" s="4"/>
      <c r="Y118" s="4"/>
      <c r="Z118" s="4"/>
      <c r="AA118" s="4"/>
      <c r="AB118" s="7"/>
      <c r="AC118" s="7"/>
      <c r="AD118" s="7"/>
      <c r="AE118" s="7"/>
      <c r="AF118" s="7"/>
      <c r="AG118" s="7"/>
      <c r="AH118" s="7"/>
      <c r="AI118" s="7"/>
      <c r="AJ118" s="7"/>
      <c r="AK118" s="7"/>
      <c r="AL118" s="7"/>
      <c r="AM118" s="7"/>
      <c r="AN118" s="7"/>
      <c r="AO118" s="7"/>
      <c r="AP118" s="7"/>
      <c r="AQ118" s="7"/>
      <c r="AR118" s="7"/>
      <c r="AS118" s="7"/>
      <c r="AT118" s="7"/>
      <c r="AU118" s="7"/>
      <c r="AV118" s="7"/>
      <c r="AW118" s="7"/>
      <c r="AX118" s="7"/>
      <c r="AY118" s="7"/>
      <c r="AZ118" s="7"/>
      <c r="BA118" s="7"/>
      <c r="BB118" s="7"/>
      <c r="BC118" s="7"/>
      <c r="BD118" s="7"/>
      <c r="BE118" s="7"/>
      <c r="BF118" s="7"/>
      <c r="BG118" s="7"/>
      <c r="BH118" s="7"/>
      <c r="BI118" s="7"/>
      <c r="BJ118" s="7"/>
      <c r="BK118" s="51"/>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c r="DO118" s="2"/>
      <c r="DP118" s="2"/>
      <c r="DQ118" s="2"/>
      <c r="DR118" s="2"/>
      <c r="DS118" s="2"/>
      <c r="DT118" s="2"/>
      <c r="DU118" s="2"/>
      <c r="DV118" s="2"/>
      <c r="DW118" s="2"/>
      <c r="DX118" s="2"/>
      <c r="DY118" s="2"/>
      <c r="DZ118" s="2"/>
      <c r="EA118" s="2"/>
      <c r="EB118" s="2"/>
      <c r="EC118" s="2"/>
      <c r="ED118" s="2"/>
      <c r="EE118" s="2"/>
      <c r="EF118" s="2"/>
      <c r="EG118" s="2"/>
      <c r="EH118" s="2"/>
      <c r="EI118" s="2"/>
      <c r="EJ118" s="2"/>
      <c r="EK118" s="2"/>
      <c r="EL118" s="2"/>
      <c r="EM118" s="2"/>
      <c r="EN118" s="2"/>
      <c r="EO118" s="2"/>
      <c r="EP118" s="2"/>
      <c r="EQ118" s="2"/>
      <c r="ER118" s="2"/>
      <c r="ES118" s="2"/>
      <c r="ET118" s="2"/>
      <c r="EU118" s="2"/>
      <c r="EV118" s="2"/>
      <c r="EW118" s="2"/>
      <c r="EX118" s="2"/>
      <c r="EY118" s="2"/>
      <c r="EZ118" s="2"/>
      <c r="FA118" s="2"/>
      <c r="FB118" s="2"/>
      <c r="FC118" s="2"/>
      <c r="FD118" s="2"/>
      <c r="FE118" s="2"/>
      <c r="FF118" s="2"/>
      <c r="FG118" s="2"/>
      <c r="FH118" s="2"/>
      <c r="FI118" s="2"/>
      <c r="FJ118" s="2"/>
      <c r="FK118" s="2"/>
      <c r="FL118" s="2"/>
      <c r="FM118" s="2"/>
      <c r="FN118" s="2"/>
      <c r="FO118" s="2"/>
      <c r="FP118" s="2"/>
      <c r="FQ118" s="2"/>
      <c r="FR118" s="2"/>
      <c r="FS118" s="2"/>
      <c r="FT118" s="2"/>
      <c r="FU118" s="2"/>
      <c r="FV118" s="2"/>
      <c r="FW118" s="2"/>
      <c r="FX118" s="2"/>
      <c r="FY118" s="2"/>
      <c r="FZ118" s="2"/>
      <c r="GA118" s="2"/>
      <c r="GB118" s="2"/>
      <c r="GC118" s="2"/>
      <c r="GD118" s="2"/>
      <c r="GE118" s="2"/>
      <c r="GF118" s="2"/>
      <c r="GG118" s="2"/>
      <c r="GH118" s="2"/>
      <c r="GI118" s="2"/>
      <c r="GJ118" s="2"/>
      <c r="GK118" s="2"/>
      <c r="GL118" s="2"/>
      <c r="GM118" s="2"/>
      <c r="GN118" s="2"/>
      <c r="GO118" s="2"/>
      <c r="GP118" s="2"/>
      <c r="GQ118" s="2"/>
      <c r="GR118" s="2"/>
      <c r="GS118" s="2"/>
      <c r="GT118" s="2"/>
      <c r="GU118" s="2"/>
      <c r="GV118" s="2"/>
      <c r="GW118" s="2"/>
    </row>
    <row r="119" spans="1:205" s="5" customFormat="1" ht="15.6" x14ac:dyDescent="0.3">
      <c r="A119" s="60" t="s">
        <v>296</v>
      </c>
      <c r="B119" s="23" t="s">
        <v>297</v>
      </c>
      <c r="C119" s="37" t="s">
        <v>298</v>
      </c>
      <c r="D119" s="31" t="s">
        <v>143</v>
      </c>
      <c r="E119" s="30"/>
      <c r="F119" s="102">
        <v>44964</v>
      </c>
      <c r="G119" s="29">
        <v>0</v>
      </c>
      <c r="H119" s="102">
        <f t="shared" si="7"/>
        <v>44963</v>
      </c>
      <c r="I119" s="71">
        <v>0</v>
      </c>
      <c r="J119"/>
      <c r="K119" s="50"/>
      <c r="L119" s="4"/>
      <c r="M119" s="4"/>
      <c r="N119" s="4"/>
      <c r="O119" s="4"/>
      <c r="P119" s="4"/>
      <c r="Q119" s="4"/>
      <c r="R119" s="4"/>
      <c r="S119" s="4"/>
      <c r="T119" s="4"/>
      <c r="U119" s="4"/>
      <c r="V119" s="4"/>
      <c r="W119" s="4"/>
      <c r="X119" s="4"/>
      <c r="Y119" s="4"/>
      <c r="Z119" s="4"/>
      <c r="AA119" s="4"/>
      <c r="AB119" s="7"/>
      <c r="AC119" s="7"/>
      <c r="AD119" s="7"/>
      <c r="AE119" s="7"/>
      <c r="AF119" s="7"/>
      <c r="AG119" s="7"/>
      <c r="AH119" s="7"/>
      <c r="AI119" s="7"/>
      <c r="AJ119" s="7"/>
      <c r="AK119" s="7"/>
      <c r="AL119" s="7"/>
      <c r="AM119" s="7"/>
      <c r="AN119" s="7"/>
      <c r="AO119" s="7"/>
      <c r="AP119" s="7"/>
      <c r="AQ119" s="7"/>
      <c r="AR119" s="7"/>
      <c r="AS119" s="7"/>
      <c r="AT119" s="7"/>
      <c r="AU119" s="7"/>
      <c r="AV119" s="7"/>
      <c r="AW119" s="7"/>
      <c r="AX119" s="7"/>
      <c r="AY119" s="7"/>
      <c r="AZ119" s="7"/>
      <c r="BA119" s="7"/>
      <c r="BB119" s="7"/>
      <c r="BC119" s="7"/>
      <c r="BD119" s="7"/>
      <c r="BE119" s="7"/>
      <c r="BF119" s="7"/>
      <c r="BG119" s="7"/>
      <c r="BH119" s="7"/>
      <c r="BI119" s="7"/>
      <c r="BJ119" s="7"/>
      <c r="BK119" s="51"/>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2"/>
      <c r="DT119" s="2"/>
      <c r="DU119" s="2"/>
      <c r="DV119" s="2"/>
      <c r="DW119" s="2"/>
      <c r="DX119" s="2"/>
      <c r="DY119" s="2"/>
      <c r="DZ119" s="2"/>
      <c r="EA119" s="2"/>
      <c r="EB119" s="2"/>
      <c r="EC119" s="2"/>
      <c r="ED119" s="2"/>
      <c r="EE119" s="2"/>
      <c r="EF119" s="2"/>
      <c r="EG119" s="2"/>
      <c r="EH119" s="2"/>
      <c r="EI119" s="2"/>
      <c r="EJ119" s="2"/>
      <c r="EK119" s="2"/>
      <c r="EL119" s="2"/>
      <c r="EM119" s="2"/>
      <c r="EN119" s="2"/>
      <c r="EO119" s="2"/>
      <c r="EP119" s="2"/>
      <c r="EQ119" s="2"/>
      <c r="ER119" s="2"/>
      <c r="ES119" s="2"/>
      <c r="ET119" s="2"/>
      <c r="EU119" s="2"/>
      <c r="EV119" s="2"/>
      <c r="EW119" s="2"/>
      <c r="EX119" s="2"/>
      <c r="EY119" s="2"/>
      <c r="EZ119" s="2"/>
      <c r="FA119" s="2"/>
      <c r="FB119" s="2"/>
      <c r="FC119" s="2"/>
      <c r="FD119" s="2"/>
      <c r="FE119" s="2"/>
      <c r="FF119" s="2"/>
      <c r="FG119" s="2"/>
      <c r="FH119" s="2"/>
      <c r="FI119" s="2"/>
      <c r="FJ119" s="2"/>
      <c r="FK119" s="2"/>
      <c r="FL119" s="2"/>
      <c r="FM119" s="2"/>
      <c r="FN119" s="2"/>
      <c r="FO119" s="2"/>
      <c r="FP119" s="2"/>
      <c r="FQ119" s="2"/>
      <c r="FR119" s="2"/>
      <c r="FS119" s="2"/>
      <c r="FT119" s="2"/>
      <c r="FU119" s="2"/>
      <c r="FV119" s="2"/>
      <c r="FW119" s="2"/>
      <c r="FX119" s="2"/>
      <c r="FY119" s="2"/>
      <c r="FZ119" s="2"/>
      <c r="GA119" s="2"/>
      <c r="GB119" s="2"/>
      <c r="GC119" s="2"/>
      <c r="GD119" s="2"/>
      <c r="GE119" s="2"/>
      <c r="GF119" s="2"/>
      <c r="GG119" s="2"/>
      <c r="GH119" s="2"/>
      <c r="GI119" s="2"/>
      <c r="GJ119" s="2"/>
      <c r="GK119" s="2"/>
      <c r="GL119" s="2"/>
      <c r="GM119" s="2"/>
      <c r="GN119" s="2"/>
      <c r="GO119" s="2"/>
      <c r="GP119" s="2"/>
      <c r="GQ119" s="2"/>
      <c r="GR119" s="2"/>
      <c r="GS119" s="2"/>
      <c r="GT119" s="2"/>
      <c r="GU119" s="2"/>
      <c r="GV119" s="2"/>
      <c r="GW119" s="2"/>
    </row>
    <row r="120" spans="1:205" s="5" customFormat="1" ht="15.6" x14ac:dyDescent="0.3">
      <c r="A120" s="60" t="s">
        <v>299</v>
      </c>
      <c r="B120" s="23" t="s">
        <v>300</v>
      </c>
      <c r="C120" s="37" t="s">
        <v>296</v>
      </c>
      <c r="D120" s="31" t="s">
        <v>301</v>
      </c>
      <c r="E120" s="30" t="s">
        <v>302</v>
      </c>
      <c r="F120" s="102">
        <v>44961</v>
      </c>
      <c r="G120" s="29">
        <v>0</v>
      </c>
      <c r="H120" s="102">
        <f t="shared" si="7"/>
        <v>44960</v>
      </c>
      <c r="I120" s="71">
        <v>0</v>
      </c>
      <c r="J120"/>
      <c r="K120" s="50"/>
      <c r="L120" s="4"/>
      <c r="M120" s="4"/>
      <c r="N120" s="4"/>
      <c r="O120" s="4"/>
      <c r="P120" s="4"/>
      <c r="Q120" s="4"/>
      <c r="R120" s="4"/>
      <c r="S120" s="4"/>
      <c r="T120" s="4"/>
      <c r="U120" s="4"/>
      <c r="V120" s="4"/>
      <c r="W120" s="4"/>
      <c r="X120" s="4"/>
      <c r="Y120" s="4"/>
      <c r="Z120" s="4"/>
      <c r="AA120" s="4"/>
      <c r="AB120" s="7"/>
      <c r="AC120" s="7"/>
      <c r="AD120" s="7"/>
      <c r="AE120" s="7"/>
      <c r="AF120" s="7"/>
      <c r="AG120" s="7"/>
      <c r="AH120" s="7"/>
      <c r="AI120" s="7"/>
      <c r="AJ120" s="7"/>
      <c r="AK120" s="7"/>
      <c r="AL120" s="7"/>
      <c r="AM120" s="7"/>
      <c r="AN120" s="7"/>
      <c r="AO120" s="7"/>
      <c r="AP120" s="7"/>
      <c r="AQ120" s="7"/>
      <c r="AR120" s="7"/>
      <c r="AS120" s="7"/>
      <c r="AT120" s="7"/>
      <c r="AU120" s="7"/>
      <c r="AV120" s="7"/>
      <c r="AW120" s="7"/>
      <c r="AX120" s="7"/>
      <c r="AY120" s="7"/>
      <c r="AZ120" s="7"/>
      <c r="BA120" s="7"/>
      <c r="BB120" s="7"/>
      <c r="BC120" s="7"/>
      <c r="BD120" s="7"/>
      <c r="BE120" s="7"/>
      <c r="BF120" s="7"/>
      <c r="BG120" s="7"/>
      <c r="BH120" s="7"/>
      <c r="BI120" s="7"/>
      <c r="BJ120" s="7"/>
      <c r="BK120" s="51"/>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c r="DO120" s="2"/>
      <c r="DP120" s="2"/>
      <c r="DQ120" s="2"/>
      <c r="DR120" s="2"/>
      <c r="DS120" s="2"/>
      <c r="DT120" s="2"/>
      <c r="DU120" s="2"/>
      <c r="DV120" s="2"/>
      <c r="DW120" s="2"/>
      <c r="DX120" s="2"/>
      <c r="DY120" s="2"/>
      <c r="DZ120" s="2"/>
      <c r="EA120" s="2"/>
      <c r="EB120" s="2"/>
      <c r="EC120" s="2"/>
      <c r="ED120" s="2"/>
      <c r="EE120" s="2"/>
      <c r="EF120" s="2"/>
      <c r="EG120" s="2"/>
      <c r="EH120" s="2"/>
      <c r="EI120" s="2"/>
      <c r="EJ120" s="2"/>
      <c r="EK120" s="2"/>
      <c r="EL120" s="2"/>
      <c r="EM120" s="2"/>
      <c r="EN120" s="2"/>
      <c r="EO120" s="2"/>
      <c r="EP120" s="2"/>
      <c r="EQ120" s="2"/>
      <c r="ER120" s="2"/>
      <c r="ES120" s="2"/>
      <c r="ET120" s="2"/>
      <c r="EU120" s="2"/>
      <c r="EV120" s="2"/>
      <c r="EW120" s="2"/>
      <c r="EX120" s="2"/>
      <c r="EY120" s="2"/>
      <c r="EZ120" s="2"/>
      <c r="FA120" s="2"/>
      <c r="FB120" s="2"/>
      <c r="FC120" s="2"/>
      <c r="FD120" s="2"/>
      <c r="FE120" s="2"/>
      <c r="FF120" s="2"/>
      <c r="FG120" s="2"/>
      <c r="FH120" s="2"/>
      <c r="FI120" s="2"/>
      <c r="FJ120" s="2"/>
      <c r="FK120" s="2"/>
      <c r="FL120" s="2"/>
      <c r="FM120" s="2"/>
      <c r="FN120" s="2"/>
      <c r="FO120" s="2"/>
      <c r="FP120" s="2"/>
      <c r="FQ120" s="2"/>
      <c r="FR120" s="2"/>
      <c r="FS120" s="2"/>
      <c r="FT120" s="2"/>
      <c r="FU120" s="2"/>
      <c r="FV120" s="2"/>
      <c r="FW120" s="2"/>
      <c r="FX120" s="2"/>
      <c r="FY120" s="2"/>
      <c r="FZ120" s="2"/>
      <c r="GA120" s="2"/>
      <c r="GB120" s="2"/>
      <c r="GC120" s="2"/>
      <c r="GD120" s="2"/>
      <c r="GE120" s="2"/>
      <c r="GF120" s="2"/>
      <c r="GG120" s="2"/>
      <c r="GH120" s="2"/>
      <c r="GI120" s="2"/>
      <c r="GJ120" s="2"/>
      <c r="GK120" s="2"/>
      <c r="GL120" s="2"/>
      <c r="GM120" s="2"/>
      <c r="GN120" s="2"/>
      <c r="GO120" s="2"/>
      <c r="GP120" s="2"/>
      <c r="GQ120" s="2"/>
      <c r="GR120" s="2"/>
      <c r="GS120" s="2"/>
      <c r="GT120" s="2"/>
      <c r="GU120" s="2"/>
      <c r="GV120" s="2"/>
      <c r="GW120" s="2"/>
    </row>
    <row r="121" spans="1:205" s="5" customFormat="1" ht="15.6" x14ac:dyDescent="0.3">
      <c r="A121" s="60" t="s">
        <v>303</v>
      </c>
      <c r="B121" s="23" t="s">
        <v>304</v>
      </c>
      <c r="C121" s="37" t="s">
        <v>299</v>
      </c>
      <c r="D121" s="31" t="s">
        <v>305</v>
      </c>
      <c r="E121" s="30"/>
      <c r="F121" s="102">
        <v>44960</v>
      </c>
      <c r="G121" s="29">
        <v>0</v>
      </c>
      <c r="H121" s="102">
        <f t="shared" si="7"/>
        <v>44959</v>
      </c>
      <c r="I121" s="71">
        <v>0</v>
      </c>
      <c r="J121"/>
      <c r="K121" s="50"/>
      <c r="L121" s="4"/>
      <c r="M121" s="4"/>
      <c r="N121" s="4"/>
      <c r="O121" s="4"/>
      <c r="P121" s="4"/>
      <c r="Q121" s="4"/>
      <c r="R121" s="4"/>
      <c r="S121" s="4"/>
      <c r="T121" s="4"/>
      <c r="U121" s="4"/>
      <c r="V121" s="4"/>
      <c r="W121" s="4"/>
      <c r="X121" s="4"/>
      <c r="Y121" s="4"/>
      <c r="Z121" s="4"/>
      <c r="AA121" s="4"/>
      <c r="AB121" s="7"/>
      <c r="AC121" s="7"/>
      <c r="AD121" s="7"/>
      <c r="AE121" s="7"/>
      <c r="AF121" s="7"/>
      <c r="AG121" s="7"/>
      <c r="AH121" s="7"/>
      <c r="AI121" s="7"/>
      <c r="AJ121" s="7"/>
      <c r="AK121" s="7"/>
      <c r="AL121" s="7"/>
      <c r="AM121" s="7"/>
      <c r="AN121" s="7"/>
      <c r="AO121" s="7"/>
      <c r="AP121" s="7"/>
      <c r="AQ121" s="7"/>
      <c r="AR121" s="7"/>
      <c r="AS121" s="7"/>
      <c r="AT121" s="7"/>
      <c r="AU121" s="7"/>
      <c r="AV121" s="7"/>
      <c r="AW121" s="7"/>
      <c r="AX121" s="7"/>
      <c r="AY121" s="7"/>
      <c r="AZ121" s="7"/>
      <c r="BA121" s="7"/>
      <c r="BB121" s="7"/>
      <c r="BC121" s="7"/>
      <c r="BD121" s="7"/>
      <c r="BE121" s="7"/>
      <c r="BF121" s="7"/>
      <c r="BG121" s="7"/>
      <c r="BH121" s="7"/>
      <c r="BI121" s="7"/>
      <c r="BJ121" s="7"/>
      <c r="BK121" s="51"/>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c r="DO121" s="2"/>
      <c r="DP121" s="2"/>
      <c r="DQ121" s="2"/>
      <c r="DR121" s="2"/>
      <c r="DS121" s="2"/>
      <c r="DT121" s="2"/>
      <c r="DU121" s="2"/>
      <c r="DV121" s="2"/>
      <c r="DW121" s="2"/>
      <c r="DX121" s="2"/>
      <c r="DY121" s="2"/>
      <c r="DZ121" s="2"/>
      <c r="EA121" s="2"/>
      <c r="EB121" s="2"/>
      <c r="EC121" s="2"/>
      <c r="ED121" s="2"/>
      <c r="EE121" s="2"/>
      <c r="EF121" s="2"/>
      <c r="EG121" s="2"/>
      <c r="EH121" s="2"/>
      <c r="EI121" s="2"/>
      <c r="EJ121" s="2"/>
      <c r="EK121" s="2"/>
      <c r="EL121" s="2"/>
      <c r="EM121" s="2"/>
      <c r="EN121" s="2"/>
      <c r="EO121" s="2"/>
      <c r="EP121" s="2"/>
      <c r="EQ121" s="2"/>
      <c r="ER121" s="2"/>
      <c r="ES121" s="2"/>
      <c r="ET121" s="2"/>
      <c r="EU121" s="2"/>
      <c r="EV121" s="2"/>
      <c r="EW121" s="2"/>
      <c r="EX121" s="2"/>
      <c r="EY121" s="2"/>
      <c r="EZ121" s="2"/>
      <c r="FA121" s="2"/>
      <c r="FB121" s="2"/>
      <c r="FC121" s="2"/>
      <c r="FD121" s="2"/>
      <c r="FE121" s="2"/>
      <c r="FF121" s="2"/>
      <c r="FG121" s="2"/>
      <c r="FH121" s="2"/>
      <c r="FI121" s="2"/>
      <c r="FJ121" s="2"/>
      <c r="FK121" s="2"/>
      <c r="FL121" s="2"/>
      <c r="FM121" s="2"/>
      <c r="FN121" s="2"/>
      <c r="FO121" s="2"/>
      <c r="FP121" s="2"/>
      <c r="FQ121" s="2"/>
      <c r="FR121" s="2"/>
      <c r="FS121" s="2"/>
      <c r="FT121" s="2"/>
      <c r="FU121" s="2"/>
      <c r="FV121" s="2"/>
      <c r="FW121" s="2"/>
      <c r="FX121" s="2"/>
      <c r="FY121" s="2"/>
      <c r="FZ121" s="2"/>
      <c r="GA121" s="2"/>
      <c r="GB121" s="2"/>
      <c r="GC121" s="2"/>
      <c r="GD121" s="2"/>
      <c r="GE121" s="2"/>
      <c r="GF121" s="2"/>
      <c r="GG121" s="2"/>
      <c r="GH121" s="2"/>
      <c r="GI121" s="2"/>
      <c r="GJ121" s="2"/>
      <c r="GK121" s="2"/>
      <c r="GL121" s="2"/>
      <c r="GM121" s="2"/>
      <c r="GN121" s="2"/>
      <c r="GO121" s="2"/>
      <c r="GP121" s="2"/>
      <c r="GQ121" s="2"/>
      <c r="GR121" s="2"/>
      <c r="GS121" s="2"/>
      <c r="GT121" s="2"/>
      <c r="GU121" s="2"/>
      <c r="GV121" s="2"/>
      <c r="GW121" s="2"/>
    </row>
    <row r="122" spans="1:205" s="5" customFormat="1" ht="15.6" x14ac:dyDescent="0.3">
      <c r="A122" s="60" t="s">
        <v>306</v>
      </c>
      <c r="B122" s="23" t="s">
        <v>307</v>
      </c>
      <c r="C122" s="37" t="s">
        <v>303</v>
      </c>
      <c r="D122" s="31" t="s">
        <v>113</v>
      </c>
      <c r="E122" s="30"/>
      <c r="F122" s="102">
        <v>44959</v>
      </c>
      <c r="G122" s="29">
        <v>38</v>
      </c>
      <c r="H122" s="102">
        <f t="shared" si="7"/>
        <v>45012</v>
      </c>
      <c r="I122" s="71">
        <v>0</v>
      </c>
      <c r="J122"/>
      <c r="K122" s="50"/>
      <c r="L122" s="4"/>
      <c r="M122" s="4"/>
      <c r="N122" s="4"/>
      <c r="O122" s="4"/>
      <c r="P122" s="4"/>
      <c r="Q122" s="4"/>
      <c r="R122" s="4"/>
      <c r="S122" s="4"/>
      <c r="T122" s="4"/>
      <c r="U122" s="4"/>
      <c r="V122" s="4"/>
      <c r="W122" s="4"/>
      <c r="X122" s="4"/>
      <c r="Y122" s="4"/>
      <c r="Z122" s="4"/>
      <c r="AA122" s="4"/>
      <c r="AB122" s="7"/>
      <c r="AC122" s="7"/>
      <c r="AD122" s="7"/>
      <c r="AE122" s="7"/>
      <c r="AF122" s="7"/>
      <c r="AG122" s="7"/>
      <c r="AH122" s="7"/>
      <c r="AI122" s="7"/>
      <c r="AJ122" s="7"/>
      <c r="AK122" s="7"/>
      <c r="AL122" s="7"/>
      <c r="AM122" s="7"/>
      <c r="AN122" s="7"/>
      <c r="AO122" s="7"/>
      <c r="AP122" s="7"/>
      <c r="AQ122" s="7"/>
      <c r="AR122" s="7"/>
      <c r="AS122" s="7"/>
      <c r="AT122" s="7"/>
      <c r="AU122" s="7"/>
      <c r="AV122" s="7"/>
      <c r="AW122" s="7"/>
      <c r="AX122" s="7"/>
      <c r="AY122" s="7"/>
      <c r="AZ122" s="7"/>
      <c r="BA122" s="7"/>
      <c r="BB122" s="7"/>
      <c r="BC122" s="7"/>
      <c r="BD122" s="7"/>
      <c r="BE122" s="7"/>
      <c r="BF122" s="7"/>
      <c r="BG122" s="7"/>
      <c r="BH122" s="7"/>
      <c r="BI122" s="7"/>
      <c r="BJ122" s="7"/>
      <c r="BK122" s="51"/>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c r="DO122" s="2"/>
      <c r="DP122" s="2"/>
      <c r="DQ122" s="2"/>
      <c r="DR122" s="2"/>
      <c r="DS122" s="2"/>
      <c r="DT122" s="2"/>
      <c r="DU122" s="2"/>
      <c r="DV122" s="2"/>
      <c r="DW122" s="2"/>
      <c r="DX122" s="2"/>
      <c r="DY122" s="2"/>
      <c r="DZ122" s="2"/>
      <c r="EA122" s="2"/>
      <c r="EB122" s="2"/>
      <c r="EC122" s="2"/>
      <c r="ED122" s="2"/>
      <c r="EE122" s="2"/>
      <c r="EF122" s="2"/>
      <c r="EG122" s="2"/>
      <c r="EH122" s="2"/>
      <c r="EI122" s="2"/>
      <c r="EJ122" s="2"/>
      <c r="EK122" s="2"/>
      <c r="EL122" s="2"/>
      <c r="EM122" s="2"/>
      <c r="EN122" s="2"/>
      <c r="EO122" s="2"/>
      <c r="EP122" s="2"/>
      <c r="EQ122" s="2"/>
      <c r="ER122" s="2"/>
      <c r="ES122" s="2"/>
      <c r="ET122" s="2"/>
      <c r="EU122" s="2"/>
      <c r="EV122" s="2"/>
      <c r="EW122" s="2"/>
      <c r="EX122" s="2"/>
      <c r="EY122" s="2"/>
      <c r="EZ122" s="2"/>
      <c r="FA122" s="2"/>
      <c r="FB122" s="2"/>
      <c r="FC122" s="2"/>
      <c r="FD122" s="2"/>
      <c r="FE122" s="2"/>
      <c r="FF122" s="2"/>
      <c r="FG122" s="2"/>
      <c r="FH122" s="2"/>
      <c r="FI122" s="2"/>
      <c r="FJ122" s="2"/>
      <c r="FK122" s="2"/>
      <c r="FL122" s="2"/>
      <c r="FM122" s="2"/>
      <c r="FN122" s="2"/>
      <c r="FO122" s="2"/>
      <c r="FP122" s="2"/>
      <c r="FQ122" s="2"/>
      <c r="FR122" s="2"/>
      <c r="FS122" s="2"/>
      <c r="FT122" s="2"/>
      <c r="FU122" s="2"/>
      <c r="FV122" s="2"/>
      <c r="FW122" s="2"/>
      <c r="FX122" s="2"/>
      <c r="FY122" s="2"/>
      <c r="FZ122" s="2"/>
      <c r="GA122" s="2"/>
      <c r="GB122" s="2"/>
      <c r="GC122" s="2"/>
      <c r="GD122" s="2"/>
      <c r="GE122" s="2"/>
      <c r="GF122" s="2"/>
      <c r="GG122" s="2"/>
      <c r="GH122" s="2"/>
      <c r="GI122" s="2"/>
      <c r="GJ122" s="2"/>
      <c r="GK122" s="2"/>
      <c r="GL122" s="2"/>
      <c r="GM122" s="2"/>
      <c r="GN122" s="2"/>
      <c r="GO122" s="2"/>
      <c r="GP122" s="2"/>
      <c r="GQ122" s="2"/>
      <c r="GR122" s="2"/>
      <c r="GS122" s="2"/>
      <c r="GT122" s="2"/>
      <c r="GU122" s="2"/>
      <c r="GV122" s="2"/>
      <c r="GW122" s="2"/>
    </row>
    <row r="123" spans="1:205" s="5" customFormat="1" ht="15.6" x14ac:dyDescent="0.3">
      <c r="A123" s="60" t="s">
        <v>308</v>
      </c>
      <c r="B123" s="23" t="s">
        <v>307</v>
      </c>
      <c r="C123" s="37" t="s">
        <v>303</v>
      </c>
      <c r="D123" s="31" t="s">
        <v>116</v>
      </c>
      <c r="E123" s="30"/>
      <c r="F123" s="102">
        <v>44959</v>
      </c>
      <c r="G123" s="29">
        <v>38</v>
      </c>
      <c r="H123" s="102">
        <f t="shared" si="7"/>
        <v>45012</v>
      </c>
      <c r="I123" s="71">
        <v>0</v>
      </c>
      <c r="J123"/>
      <c r="K123" s="50"/>
      <c r="L123" s="4"/>
      <c r="M123" s="4"/>
      <c r="N123" s="4"/>
      <c r="O123" s="4"/>
      <c r="P123" s="4"/>
      <c r="Q123" s="4"/>
      <c r="R123" s="4"/>
      <c r="S123" s="4"/>
      <c r="T123" s="4"/>
      <c r="U123" s="4"/>
      <c r="V123" s="4"/>
      <c r="W123" s="4"/>
      <c r="X123" s="4"/>
      <c r="Y123" s="4"/>
      <c r="Z123" s="4"/>
      <c r="AA123" s="4"/>
      <c r="AB123" s="7"/>
      <c r="AC123" s="7"/>
      <c r="AD123" s="7"/>
      <c r="AE123" s="7"/>
      <c r="AF123" s="7"/>
      <c r="AG123" s="7"/>
      <c r="AH123" s="7"/>
      <c r="AI123" s="7"/>
      <c r="AJ123" s="7"/>
      <c r="AK123" s="7"/>
      <c r="AL123" s="7"/>
      <c r="AM123" s="7"/>
      <c r="AN123" s="7"/>
      <c r="AO123" s="7"/>
      <c r="AP123" s="7"/>
      <c r="AQ123" s="7"/>
      <c r="AR123" s="7"/>
      <c r="AS123" s="7"/>
      <c r="AT123" s="7"/>
      <c r="AU123" s="7"/>
      <c r="AV123" s="7"/>
      <c r="AW123" s="7"/>
      <c r="AX123" s="7"/>
      <c r="AY123" s="7"/>
      <c r="AZ123" s="7"/>
      <c r="BA123" s="7"/>
      <c r="BB123" s="7"/>
      <c r="BC123" s="7"/>
      <c r="BD123" s="7"/>
      <c r="BE123" s="7"/>
      <c r="BF123" s="7"/>
      <c r="BG123" s="7"/>
      <c r="BH123" s="7"/>
      <c r="BI123" s="7"/>
      <c r="BJ123" s="7"/>
      <c r="BK123" s="51"/>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c r="DO123" s="2"/>
      <c r="DP123" s="2"/>
      <c r="DQ123" s="2"/>
      <c r="DR123" s="2"/>
      <c r="DS123" s="2"/>
      <c r="DT123" s="2"/>
      <c r="DU123" s="2"/>
      <c r="DV123" s="2"/>
      <c r="DW123" s="2"/>
      <c r="DX123" s="2"/>
      <c r="DY123" s="2"/>
      <c r="DZ123" s="2"/>
      <c r="EA123" s="2"/>
      <c r="EB123" s="2"/>
      <c r="EC123" s="2"/>
      <c r="ED123" s="2"/>
      <c r="EE123" s="2"/>
      <c r="EF123" s="2"/>
      <c r="EG123" s="2"/>
      <c r="EH123" s="2"/>
      <c r="EI123" s="2"/>
      <c r="EJ123" s="2"/>
      <c r="EK123" s="2"/>
      <c r="EL123" s="2"/>
      <c r="EM123" s="2"/>
      <c r="EN123" s="2"/>
      <c r="EO123" s="2"/>
      <c r="EP123" s="2"/>
      <c r="EQ123" s="2"/>
      <c r="ER123" s="2"/>
      <c r="ES123" s="2"/>
      <c r="ET123" s="2"/>
      <c r="EU123" s="2"/>
      <c r="EV123" s="2"/>
      <c r="EW123" s="2"/>
      <c r="EX123" s="2"/>
      <c r="EY123" s="2"/>
      <c r="EZ123" s="2"/>
      <c r="FA123" s="2"/>
      <c r="FB123" s="2"/>
      <c r="FC123" s="2"/>
      <c r="FD123" s="2"/>
      <c r="FE123" s="2"/>
      <c r="FF123" s="2"/>
      <c r="FG123" s="2"/>
      <c r="FH123" s="2"/>
      <c r="FI123" s="2"/>
      <c r="FJ123" s="2"/>
      <c r="FK123" s="2"/>
      <c r="FL123" s="2"/>
      <c r="FM123" s="2"/>
      <c r="FN123" s="2"/>
      <c r="FO123" s="2"/>
      <c r="FP123" s="2"/>
      <c r="FQ123" s="2"/>
      <c r="FR123" s="2"/>
      <c r="FS123" s="2"/>
      <c r="FT123" s="2"/>
      <c r="FU123" s="2"/>
      <c r="FV123" s="2"/>
      <c r="FW123" s="2"/>
      <c r="FX123" s="2"/>
      <c r="FY123" s="2"/>
      <c r="FZ123" s="2"/>
      <c r="GA123" s="2"/>
      <c r="GB123" s="2"/>
      <c r="GC123" s="2"/>
      <c r="GD123" s="2"/>
      <c r="GE123" s="2"/>
      <c r="GF123" s="2"/>
      <c r="GG123" s="2"/>
      <c r="GH123" s="2"/>
      <c r="GI123" s="2"/>
      <c r="GJ123" s="2"/>
      <c r="GK123" s="2"/>
      <c r="GL123" s="2"/>
      <c r="GM123" s="2"/>
      <c r="GN123" s="2"/>
      <c r="GO123" s="2"/>
      <c r="GP123" s="2"/>
      <c r="GQ123" s="2"/>
      <c r="GR123" s="2"/>
      <c r="GS123" s="2"/>
      <c r="GT123" s="2"/>
      <c r="GU123" s="2"/>
      <c r="GV123" s="2"/>
      <c r="GW123" s="2"/>
    </row>
    <row r="124" spans="1:205" s="5" customFormat="1" ht="15.6" x14ac:dyDescent="0.3">
      <c r="A124" s="60" t="s">
        <v>309</v>
      </c>
      <c r="B124" s="23" t="s">
        <v>307</v>
      </c>
      <c r="C124" s="37" t="s">
        <v>303</v>
      </c>
      <c r="D124" s="31" t="s">
        <v>124</v>
      </c>
      <c r="E124" s="30"/>
      <c r="F124" s="102">
        <v>44959</v>
      </c>
      <c r="G124" s="29">
        <v>38</v>
      </c>
      <c r="H124" s="102">
        <f t="shared" si="7"/>
        <v>45012</v>
      </c>
      <c r="I124" s="71">
        <v>0</v>
      </c>
      <c r="J124"/>
      <c r="K124" s="50"/>
      <c r="L124" s="4"/>
      <c r="M124" s="4"/>
      <c r="N124" s="4"/>
      <c r="O124" s="4"/>
      <c r="P124" s="4"/>
      <c r="Q124" s="4"/>
      <c r="R124" s="4"/>
      <c r="S124" s="4"/>
      <c r="T124" s="4"/>
      <c r="U124" s="4"/>
      <c r="V124" s="4"/>
      <c r="W124" s="4"/>
      <c r="X124" s="4"/>
      <c r="Y124" s="4"/>
      <c r="Z124" s="4"/>
      <c r="AA124" s="4"/>
      <c r="AB124" s="7"/>
      <c r="AC124" s="7"/>
      <c r="AD124" s="7"/>
      <c r="AE124" s="7"/>
      <c r="AF124" s="7"/>
      <c r="AG124" s="7"/>
      <c r="AH124" s="7"/>
      <c r="AI124" s="7"/>
      <c r="AJ124" s="7"/>
      <c r="AK124" s="7"/>
      <c r="AL124" s="7"/>
      <c r="AM124" s="7"/>
      <c r="AN124" s="7"/>
      <c r="AO124" s="7"/>
      <c r="AP124" s="7"/>
      <c r="AQ124" s="7"/>
      <c r="AR124" s="7"/>
      <c r="AS124" s="7"/>
      <c r="AT124" s="7"/>
      <c r="AU124" s="7"/>
      <c r="AV124" s="7"/>
      <c r="AW124" s="7"/>
      <c r="AX124" s="7"/>
      <c r="AY124" s="7"/>
      <c r="AZ124" s="7"/>
      <c r="BA124" s="7"/>
      <c r="BB124" s="7"/>
      <c r="BC124" s="7"/>
      <c r="BD124" s="7"/>
      <c r="BE124" s="7"/>
      <c r="BF124" s="7"/>
      <c r="BG124" s="7"/>
      <c r="BH124" s="7"/>
      <c r="BI124" s="7"/>
      <c r="BJ124" s="7"/>
      <c r="BK124" s="51"/>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c r="DO124" s="2"/>
      <c r="DP124" s="2"/>
      <c r="DQ124" s="2"/>
      <c r="DR124" s="2"/>
      <c r="DS124" s="2"/>
      <c r="DT124" s="2"/>
      <c r="DU124" s="2"/>
      <c r="DV124" s="2"/>
      <c r="DW124" s="2"/>
      <c r="DX124" s="2"/>
      <c r="DY124" s="2"/>
      <c r="DZ124" s="2"/>
      <c r="EA124" s="2"/>
      <c r="EB124" s="2"/>
      <c r="EC124" s="2"/>
      <c r="ED124" s="2"/>
      <c r="EE124" s="2"/>
      <c r="EF124" s="2"/>
      <c r="EG124" s="2"/>
      <c r="EH124" s="2"/>
      <c r="EI124" s="2"/>
      <c r="EJ124" s="2"/>
      <c r="EK124" s="2"/>
      <c r="EL124" s="2"/>
      <c r="EM124" s="2"/>
      <c r="EN124" s="2"/>
      <c r="EO124" s="2"/>
      <c r="EP124" s="2"/>
      <c r="EQ124" s="2"/>
      <c r="ER124" s="2"/>
      <c r="ES124" s="2"/>
      <c r="ET124" s="2"/>
      <c r="EU124" s="2"/>
      <c r="EV124" s="2"/>
      <c r="EW124" s="2"/>
      <c r="EX124" s="2"/>
      <c r="EY124" s="2"/>
      <c r="EZ124" s="2"/>
      <c r="FA124" s="2"/>
      <c r="FB124" s="2"/>
      <c r="FC124" s="2"/>
      <c r="FD124" s="2"/>
      <c r="FE124" s="2"/>
      <c r="FF124" s="2"/>
      <c r="FG124" s="2"/>
      <c r="FH124" s="2"/>
      <c r="FI124" s="2"/>
      <c r="FJ124" s="2"/>
      <c r="FK124" s="2"/>
      <c r="FL124" s="2"/>
      <c r="FM124" s="2"/>
      <c r="FN124" s="2"/>
      <c r="FO124" s="2"/>
      <c r="FP124" s="2"/>
      <c r="FQ124" s="2"/>
      <c r="FR124" s="2"/>
      <c r="FS124" s="2"/>
      <c r="FT124" s="2"/>
      <c r="FU124" s="2"/>
      <c r="FV124" s="2"/>
      <c r="FW124" s="2"/>
      <c r="FX124" s="2"/>
      <c r="FY124" s="2"/>
      <c r="FZ124" s="2"/>
      <c r="GA124" s="2"/>
      <c r="GB124" s="2"/>
      <c r="GC124" s="2"/>
      <c r="GD124" s="2"/>
      <c r="GE124" s="2"/>
      <c r="GF124" s="2"/>
      <c r="GG124" s="2"/>
      <c r="GH124" s="2"/>
      <c r="GI124" s="2"/>
      <c r="GJ124" s="2"/>
      <c r="GK124" s="2"/>
      <c r="GL124" s="2"/>
      <c r="GM124" s="2"/>
      <c r="GN124" s="2"/>
      <c r="GO124" s="2"/>
      <c r="GP124" s="2"/>
      <c r="GQ124" s="2"/>
      <c r="GR124" s="2"/>
      <c r="GS124" s="2"/>
      <c r="GT124" s="2"/>
      <c r="GU124" s="2"/>
      <c r="GV124" s="2"/>
      <c r="GW124" s="2"/>
    </row>
    <row r="125" spans="1:205" s="5" customFormat="1" ht="15.6" x14ac:dyDescent="0.3">
      <c r="A125" s="60" t="s">
        <v>310</v>
      </c>
      <c r="B125" s="23" t="s">
        <v>307</v>
      </c>
      <c r="C125" s="37" t="s">
        <v>303</v>
      </c>
      <c r="D125" s="31" t="s">
        <v>127</v>
      </c>
      <c r="E125" s="30"/>
      <c r="F125" s="102">
        <v>44959</v>
      </c>
      <c r="G125" s="29">
        <v>38</v>
      </c>
      <c r="H125" s="102">
        <f t="shared" si="7"/>
        <v>45012</v>
      </c>
      <c r="I125" s="71">
        <v>0</v>
      </c>
      <c r="J125"/>
      <c r="K125" s="50"/>
      <c r="L125" s="4"/>
      <c r="M125" s="4"/>
      <c r="N125" s="4"/>
      <c r="O125" s="4"/>
      <c r="P125" s="4"/>
      <c r="Q125" s="4"/>
      <c r="R125" s="4"/>
      <c r="S125" s="4"/>
      <c r="T125" s="4"/>
      <c r="U125" s="4"/>
      <c r="V125" s="4"/>
      <c r="W125" s="4"/>
      <c r="X125" s="4"/>
      <c r="Y125" s="4"/>
      <c r="Z125" s="4"/>
      <c r="AA125" s="4"/>
      <c r="AB125" s="7"/>
      <c r="AC125" s="7"/>
      <c r="AD125" s="7"/>
      <c r="AE125" s="7"/>
      <c r="AF125" s="7"/>
      <c r="AG125" s="7"/>
      <c r="AH125" s="7"/>
      <c r="AI125" s="7"/>
      <c r="AJ125" s="7"/>
      <c r="AK125" s="7"/>
      <c r="AL125" s="7"/>
      <c r="AM125" s="7"/>
      <c r="AN125" s="7"/>
      <c r="AO125" s="7"/>
      <c r="AP125" s="7"/>
      <c r="AQ125" s="7"/>
      <c r="AR125" s="7"/>
      <c r="AS125" s="7"/>
      <c r="AT125" s="7"/>
      <c r="AU125" s="7"/>
      <c r="AV125" s="7"/>
      <c r="AW125" s="7"/>
      <c r="AX125" s="7"/>
      <c r="AY125" s="7"/>
      <c r="AZ125" s="7"/>
      <c r="BA125" s="7"/>
      <c r="BB125" s="7"/>
      <c r="BC125" s="7"/>
      <c r="BD125" s="7"/>
      <c r="BE125" s="7"/>
      <c r="BF125" s="7"/>
      <c r="BG125" s="7"/>
      <c r="BH125" s="7"/>
      <c r="BI125" s="7"/>
      <c r="BJ125" s="7"/>
      <c r="BK125" s="51"/>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2"/>
      <c r="DT125" s="2"/>
      <c r="DU125" s="2"/>
      <c r="DV125" s="2"/>
      <c r="DW125" s="2"/>
      <c r="DX125" s="2"/>
      <c r="DY125" s="2"/>
      <c r="DZ125" s="2"/>
      <c r="EA125" s="2"/>
      <c r="EB125" s="2"/>
      <c r="EC125" s="2"/>
      <c r="ED125" s="2"/>
      <c r="EE125" s="2"/>
      <c r="EF125" s="2"/>
      <c r="EG125" s="2"/>
      <c r="EH125" s="2"/>
      <c r="EI125" s="2"/>
      <c r="EJ125" s="2"/>
      <c r="EK125" s="2"/>
      <c r="EL125" s="2"/>
      <c r="EM125" s="2"/>
      <c r="EN125" s="2"/>
      <c r="EO125" s="2"/>
      <c r="EP125" s="2"/>
      <c r="EQ125" s="2"/>
      <c r="ER125" s="2"/>
      <c r="ES125" s="2"/>
      <c r="ET125" s="2"/>
      <c r="EU125" s="2"/>
      <c r="EV125" s="2"/>
      <c r="EW125" s="2"/>
      <c r="EX125" s="2"/>
      <c r="EY125" s="2"/>
      <c r="EZ125" s="2"/>
      <c r="FA125" s="2"/>
      <c r="FB125" s="2"/>
      <c r="FC125" s="2"/>
      <c r="FD125" s="2"/>
      <c r="FE125" s="2"/>
      <c r="FF125" s="2"/>
      <c r="FG125" s="2"/>
      <c r="FH125" s="2"/>
      <c r="FI125" s="2"/>
      <c r="FJ125" s="2"/>
      <c r="FK125" s="2"/>
      <c r="FL125" s="2"/>
      <c r="FM125" s="2"/>
      <c r="FN125" s="2"/>
      <c r="FO125" s="2"/>
      <c r="FP125" s="2"/>
      <c r="FQ125" s="2"/>
      <c r="FR125" s="2"/>
      <c r="FS125" s="2"/>
      <c r="FT125" s="2"/>
      <c r="FU125" s="2"/>
      <c r="FV125" s="2"/>
      <c r="FW125" s="2"/>
      <c r="FX125" s="2"/>
      <c r="FY125" s="2"/>
      <c r="FZ125" s="2"/>
      <c r="GA125" s="2"/>
      <c r="GB125" s="2"/>
      <c r="GC125" s="2"/>
      <c r="GD125" s="2"/>
      <c r="GE125" s="2"/>
      <c r="GF125" s="2"/>
      <c r="GG125" s="2"/>
      <c r="GH125" s="2"/>
      <c r="GI125" s="2"/>
      <c r="GJ125" s="2"/>
      <c r="GK125" s="2"/>
      <c r="GL125" s="2"/>
      <c r="GM125" s="2"/>
      <c r="GN125" s="2"/>
      <c r="GO125" s="2"/>
      <c r="GP125" s="2"/>
      <c r="GQ125" s="2"/>
      <c r="GR125" s="2"/>
      <c r="GS125" s="2"/>
      <c r="GT125" s="2"/>
      <c r="GU125" s="2"/>
      <c r="GV125" s="2"/>
      <c r="GW125" s="2"/>
    </row>
    <row r="126" spans="1:205" s="5" customFormat="1" ht="15.6" x14ac:dyDescent="0.3">
      <c r="A126" s="60" t="s">
        <v>311</v>
      </c>
      <c r="B126" s="23" t="s">
        <v>307</v>
      </c>
      <c r="C126" s="37" t="s">
        <v>303</v>
      </c>
      <c r="D126" s="31" t="s">
        <v>119</v>
      </c>
      <c r="E126" s="30"/>
      <c r="F126" s="102">
        <v>44959</v>
      </c>
      <c r="G126" s="29">
        <v>38</v>
      </c>
      <c r="H126" s="102">
        <f t="shared" si="7"/>
        <v>45012</v>
      </c>
      <c r="I126" s="71">
        <v>0</v>
      </c>
      <c r="J126"/>
      <c r="K126" s="50"/>
      <c r="L126" s="4"/>
      <c r="M126" s="4"/>
      <c r="N126" s="4"/>
      <c r="O126" s="4"/>
      <c r="P126" s="4"/>
      <c r="Q126" s="4"/>
      <c r="R126" s="4"/>
      <c r="S126" s="4"/>
      <c r="T126" s="4"/>
      <c r="U126" s="4"/>
      <c r="V126" s="4"/>
      <c r="W126" s="4"/>
      <c r="X126" s="4"/>
      <c r="Y126" s="4"/>
      <c r="Z126" s="4"/>
      <c r="AA126" s="4"/>
      <c r="AB126" s="7"/>
      <c r="AC126" s="7"/>
      <c r="AD126" s="7"/>
      <c r="AE126" s="7"/>
      <c r="AF126" s="7"/>
      <c r="AG126" s="7"/>
      <c r="AH126" s="7"/>
      <c r="AI126" s="7"/>
      <c r="AJ126" s="7"/>
      <c r="AK126" s="7"/>
      <c r="AL126" s="7"/>
      <c r="AM126" s="7"/>
      <c r="AN126" s="7"/>
      <c r="AO126" s="7"/>
      <c r="AP126" s="7"/>
      <c r="AQ126" s="7"/>
      <c r="AR126" s="7"/>
      <c r="AS126" s="7"/>
      <c r="AT126" s="7"/>
      <c r="AU126" s="7"/>
      <c r="AV126" s="7"/>
      <c r="AW126" s="7"/>
      <c r="AX126" s="7"/>
      <c r="AY126" s="7"/>
      <c r="AZ126" s="7"/>
      <c r="BA126" s="7"/>
      <c r="BB126" s="7"/>
      <c r="BC126" s="7"/>
      <c r="BD126" s="7"/>
      <c r="BE126" s="7"/>
      <c r="BF126" s="7"/>
      <c r="BG126" s="7"/>
      <c r="BH126" s="7"/>
      <c r="BI126" s="7"/>
      <c r="BJ126" s="7"/>
      <c r="BK126" s="51"/>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c r="DO126" s="2"/>
      <c r="DP126" s="2"/>
      <c r="DQ126" s="2"/>
      <c r="DR126" s="2"/>
      <c r="DS126" s="2"/>
      <c r="DT126" s="2"/>
      <c r="DU126" s="2"/>
      <c r="DV126" s="2"/>
      <c r="DW126" s="2"/>
      <c r="DX126" s="2"/>
      <c r="DY126" s="2"/>
      <c r="DZ126" s="2"/>
      <c r="EA126" s="2"/>
      <c r="EB126" s="2"/>
      <c r="EC126" s="2"/>
      <c r="ED126" s="2"/>
      <c r="EE126" s="2"/>
      <c r="EF126" s="2"/>
      <c r="EG126" s="2"/>
      <c r="EH126" s="2"/>
      <c r="EI126" s="2"/>
      <c r="EJ126" s="2"/>
      <c r="EK126" s="2"/>
      <c r="EL126" s="2"/>
      <c r="EM126" s="2"/>
      <c r="EN126" s="2"/>
      <c r="EO126" s="2"/>
      <c r="EP126" s="2"/>
      <c r="EQ126" s="2"/>
      <c r="ER126" s="2"/>
      <c r="ES126" s="2"/>
      <c r="ET126" s="2"/>
      <c r="EU126" s="2"/>
      <c r="EV126" s="2"/>
      <c r="EW126" s="2"/>
      <c r="EX126" s="2"/>
      <c r="EY126" s="2"/>
      <c r="EZ126" s="2"/>
      <c r="FA126" s="2"/>
      <c r="FB126" s="2"/>
      <c r="FC126" s="2"/>
      <c r="FD126" s="2"/>
      <c r="FE126" s="2"/>
      <c r="FF126" s="2"/>
      <c r="FG126" s="2"/>
      <c r="FH126" s="2"/>
      <c r="FI126" s="2"/>
      <c r="FJ126" s="2"/>
      <c r="FK126" s="2"/>
      <c r="FL126" s="2"/>
      <c r="FM126" s="2"/>
      <c r="FN126" s="2"/>
      <c r="FO126" s="2"/>
      <c r="FP126" s="2"/>
      <c r="FQ126" s="2"/>
      <c r="FR126" s="2"/>
      <c r="FS126" s="2"/>
      <c r="FT126" s="2"/>
      <c r="FU126" s="2"/>
      <c r="FV126" s="2"/>
      <c r="FW126" s="2"/>
      <c r="FX126" s="2"/>
      <c r="FY126" s="2"/>
      <c r="FZ126" s="2"/>
      <c r="GA126" s="2"/>
      <c r="GB126" s="2"/>
      <c r="GC126" s="2"/>
      <c r="GD126" s="2"/>
      <c r="GE126" s="2"/>
      <c r="GF126" s="2"/>
      <c r="GG126" s="2"/>
      <c r="GH126" s="2"/>
      <c r="GI126" s="2"/>
      <c r="GJ126" s="2"/>
      <c r="GK126" s="2"/>
      <c r="GL126" s="2"/>
      <c r="GM126" s="2"/>
      <c r="GN126" s="2"/>
      <c r="GO126" s="2"/>
      <c r="GP126" s="2"/>
      <c r="GQ126" s="2"/>
      <c r="GR126" s="2"/>
      <c r="GS126" s="2"/>
      <c r="GT126" s="2"/>
      <c r="GU126" s="2"/>
      <c r="GV126" s="2"/>
      <c r="GW126" s="2"/>
    </row>
    <row r="127" spans="1:205" s="5" customFormat="1" ht="15.6" x14ac:dyDescent="0.3">
      <c r="A127" s="60" t="s">
        <v>312</v>
      </c>
      <c r="B127" s="23" t="s">
        <v>307</v>
      </c>
      <c r="C127" s="37" t="s">
        <v>303</v>
      </c>
      <c r="D127" s="31" t="s">
        <v>122</v>
      </c>
      <c r="E127" s="30"/>
      <c r="F127" s="102">
        <v>44959</v>
      </c>
      <c r="G127" s="29">
        <v>38</v>
      </c>
      <c r="H127" s="102">
        <f t="shared" ref="H127:H143" si="8">IF(F127="","",WORKDAY(IF(WEEKDAY(F127,1)=7,F127+2,IF(WEEKDAY(F127,1)=1,F127+1,F127)),G127-1,))</f>
        <v>45012</v>
      </c>
      <c r="I127" s="71">
        <v>0</v>
      </c>
      <c r="J127"/>
      <c r="K127" s="50"/>
      <c r="L127" s="4"/>
      <c r="M127" s="4"/>
      <c r="N127" s="4"/>
      <c r="O127" s="4"/>
      <c r="P127" s="4"/>
      <c r="Q127" s="4"/>
      <c r="R127" s="4"/>
      <c r="S127" s="4"/>
      <c r="T127" s="4"/>
      <c r="U127" s="4"/>
      <c r="V127" s="4"/>
      <c r="W127" s="4"/>
      <c r="X127" s="4"/>
      <c r="Y127" s="4"/>
      <c r="Z127" s="4"/>
      <c r="AA127" s="4"/>
      <c r="AB127" s="7"/>
      <c r="AC127" s="7"/>
      <c r="AD127" s="7"/>
      <c r="AE127" s="7"/>
      <c r="AF127" s="7"/>
      <c r="AG127" s="7"/>
      <c r="AH127" s="7"/>
      <c r="AI127" s="7"/>
      <c r="AJ127" s="7"/>
      <c r="AK127" s="7"/>
      <c r="AL127" s="7"/>
      <c r="AM127" s="7"/>
      <c r="AN127" s="7"/>
      <c r="AO127" s="7"/>
      <c r="AP127" s="7"/>
      <c r="AQ127" s="7"/>
      <c r="AR127" s="7"/>
      <c r="AS127" s="7"/>
      <c r="AT127" s="7"/>
      <c r="AU127" s="7"/>
      <c r="AV127" s="7"/>
      <c r="AW127" s="7"/>
      <c r="AX127" s="7"/>
      <c r="AY127" s="7"/>
      <c r="AZ127" s="7"/>
      <c r="BA127" s="7"/>
      <c r="BB127" s="7"/>
      <c r="BC127" s="7"/>
      <c r="BD127" s="7"/>
      <c r="BE127" s="7"/>
      <c r="BF127" s="7"/>
      <c r="BG127" s="7"/>
      <c r="BH127" s="7"/>
      <c r="BI127" s="7"/>
      <c r="BJ127" s="7"/>
      <c r="BK127" s="51"/>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c r="DO127" s="2"/>
      <c r="DP127" s="2"/>
      <c r="DQ127" s="2"/>
      <c r="DR127" s="2"/>
      <c r="DS127" s="2"/>
      <c r="DT127" s="2"/>
      <c r="DU127" s="2"/>
      <c r="DV127" s="2"/>
      <c r="DW127" s="2"/>
      <c r="DX127" s="2"/>
      <c r="DY127" s="2"/>
      <c r="DZ127" s="2"/>
      <c r="EA127" s="2"/>
      <c r="EB127" s="2"/>
      <c r="EC127" s="2"/>
      <c r="ED127" s="2"/>
      <c r="EE127" s="2"/>
      <c r="EF127" s="2"/>
      <c r="EG127" s="2"/>
      <c r="EH127" s="2"/>
      <c r="EI127" s="2"/>
      <c r="EJ127" s="2"/>
      <c r="EK127" s="2"/>
      <c r="EL127" s="2"/>
      <c r="EM127" s="2"/>
      <c r="EN127" s="2"/>
      <c r="EO127" s="2"/>
      <c r="EP127" s="2"/>
      <c r="EQ127" s="2"/>
      <c r="ER127" s="2"/>
      <c r="ES127" s="2"/>
      <c r="ET127" s="2"/>
      <c r="EU127" s="2"/>
      <c r="EV127" s="2"/>
      <c r="EW127" s="2"/>
      <c r="EX127" s="2"/>
      <c r="EY127" s="2"/>
      <c r="EZ127" s="2"/>
      <c r="FA127" s="2"/>
      <c r="FB127" s="2"/>
      <c r="FC127" s="2"/>
      <c r="FD127" s="2"/>
      <c r="FE127" s="2"/>
      <c r="FF127" s="2"/>
      <c r="FG127" s="2"/>
      <c r="FH127" s="2"/>
      <c r="FI127" s="2"/>
      <c r="FJ127" s="2"/>
      <c r="FK127" s="2"/>
      <c r="FL127" s="2"/>
      <c r="FM127" s="2"/>
      <c r="FN127" s="2"/>
      <c r="FO127" s="2"/>
      <c r="FP127" s="2"/>
      <c r="FQ127" s="2"/>
      <c r="FR127" s="2"/>
      <c r="FS127" s="2"/>
      <c r="FT127" s="2"/>
      <c r="FU127" s="2"/>
      <c r="FV127" s="2"/>
      <c r="FW127" s="2"/>
      <c r="FX127" s="2"/>
      <c r="FY127" s="2"/>
      <c r="FZ127" s="2"/>
      <c r="GA127" s="2"/>
      <c r="GB127" s="2"/>
      <c r="GC127" s="2"/>
      <c r="GD127" s="2"/>
      <c r="GE127" s="2"/>
      <c r="GF127" s="2"/>
      <c r="GG127" s="2"/>
      <c r="GH127" s="2"/>
      <c r="GI127" s="2"/>
      <c r="GJ127" s="2"/>
      <c r="GK127" s="2"/>
      <c r="GL127" s="2"/>
      <c r="GM127" s="2"/>
      <c r="GN127" s="2"/>
      <c r="GO127" s="2"/>
      <c r="GP127" s="2"/>
      <c r="GQ127" s="2"/>
      <c r="GR127" s="2"/>
      <c r="GS127" s="2"/>
      <c r="GT127" s="2"/>
      <c r="GU127" s="2"/>
      <c r="GV127" s="2"/>
      <c r="GW127" s="2"/>
    </row>
    <row r="128" spans="1:205" s="5" customFormat="1" ht="15.6" x14ac:dyDescent="0.3">
      <c r="A128" s="60" t="s">
        <v>313</v>
      </c>
      <c r="B128" s="23" t="s">
        <v>307</v>
      </c>
      <c r="C128" s="37" t="s">
        <v>303</v>
      </c>
      <c r="D128" s="31" t="s">
        <v>129</v>
      </c>
      <c r="E128" s="30"/>
      <c r="F128" s="102">
        <v>44959</v>
      </c>
      <c r="G128" s="29">
        <v>38</v>
      </c>
      <c r="H128" s="102">
        <f t="shared" si="8"/>
        <v>45012</v>
      </c>
      <c r="I128" s="71">
        <v>0</v>
      </c>
      <c r="J128"/>
      <c r="K128" s="50"/>
      <c r="L128" s="4"/>
      <c r="M128" s="4"/>
      <c r="N128" s="4"/>
      <c r="O128" s="4"/>
      <c r="P128" s="4"/>
      <c r="Q128" s="4"/>
      <c r="R128" s="4"/>
      <c r="S128" s="4"/>
      <c r="T128" s="4"/>
      <c r="U128" s="4"/>
      <c r="V128" s="4"/>
      <c r="W128" s="4"/>
      <c r="X128" s="4"/>
      <c r="Y128" s="4"/>
      <c r="Z128" s="4"/>
      <c r="AA128" s="4"/>
      <c r="AB128" s="7"/>
      <c r="AC128" s="7"/>
      <c r="AD128" s="7"/>
      <c r="AE128" s="7"/>
      <c r="AF128" s="7"/>
      <c r="AG128" s="7"/>
      <c r="AH128" s="7"/>
      <c r="AI128" s="7"/>
      <c r="AJ128" s="7"/>
      <c r="AK128" s="7"/>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51"/>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c r="DO128" s="2"/>
      <c r="DP128" s="2"/>
      <c r="DQ128" s="2"/>
      <c r="DR128" s="2"/>
      <c r="DS128" s="2"/>
      <c r="DT128" s="2"/>
      <c r="DU128" s="2"/>
      <c r="DV128" s="2"/>
      <c r="DW128" s="2"/>
      <c r="DX128" s="2"/>
      <c r="DY128" s="2"/>
      <c r="DZ128" s="2"/>
      <c r="EA128" s="2"/>
      <c r="EB128" s="2"/>
      <c r="EC128" s="2"/>
      <c r="ED128" s="2"/>
      <c r="EE128" s="2"/>
      <c r="EF128" s="2"/>
      <c r="EG128" s="2"/>
      <c r="EH128" s="2"/>
      <c r="EI128" s="2"/>
      <c r="EJ128" s="2"/>
      <c r="EK128" s="2"/>
      <c r="EL128" s="2"/>
      <c r="EM128" s="2"/>
      <c r="EN128" s="2"/>
      <c r="EO128" s="2"/>
      <c r="EP128" s="2"/>
      <c r="EQ128" s="2"/>
      <c r="ER128" s="2"/>
      <c r="ES128" s="2"/>
      <c r="ET128" s="2"/>
      <c r="EU128" s="2"/>
      <c r="EV128" s="2"/>
      <c r="EW128" s="2"/>
      <c r="EX128" s="2"/>
      <c r="EY128" s="2"/>
      <c r="EZ128" s="2"/>
      <c r="FA128" s="2"/>
      <c r="FB128" s="2"/>
      <c r="FC128" s="2"/>
      <c r="FD128" s="2"/>
      <c r="FE128" s="2"/>
      <c r="FF128" s="2"/>
      <c r="FG128" s="2"/>
      <c r="FH128" s="2"/>
      <c r="FI128" s="2"/>
      <c r="FJ128" s="2"/>
      <c r="FK128" s="2"/>
      <c r="FL128" s="2"/>
      <c r="FM128" s="2"/>
      <c r="FN128" s="2"/>
      <c r="FO128" s="2"/>
      <c r="FP128" s="2"/>
      <c r="FQ128" s="2"/>
      <c r="FR128" s="2"/>
      <c r="FS128" s="2"/>
      <c r="FT128" s="2"/>
      <c r="FU128" s="2"/>
      <c r="FV128" s="2"/>
      <c r="FW128" s="2"/>
      <c r="FX128" s="2"/>
      <c r="FY128" s="2"/>
      <c r="FZ128" s="2"/>
      <c r="GA128" s="2"/>
      <c r="GB128" s="2"/>
      <c r="GC128" s="2"/>
      <c r="GD128" s="2"/>
      <c r="GE128" s="2"/>
      <c r="GF128" s="2"/>
      <c r="GG128" s="2"/>
      <c r="GH128" s="2"/>
      <c r="GI128" s="2"/>
      <c r="GJ128" s="2"/>
      <c r="GK128" s="2"/>
      <c r="GL128" s="2"/>
      <c r="GM128" s="2"/>
      <c r="GN128" s="2"/>
      <c r="GO128" s="2"/>
      <c r="GP128" s="2"/>
      <c r="GQ128" s="2"/>
      <c r="GR128" s="2"/>
      <c r="GS128" s="2"/>
      <c r="GT128" s="2"/>
      <c r="GU128" s="2"/>
      <c r="GV128" s="2"/>
      <c r="GW128" s="2"/>
    </row>
    <row r="129" spans="1:205" s="5" customFormat="1" ht="15.6" x14ac:dyDescent="0.3">
      <c r="A129" s="60" t="s">
        <v>314</v>
      </c>
      <c r="B129" s="23" t="s">
        <v>307</v>
      </c>
      <c r="C129" s="37" t="s">
        <v>303</v>
      </c>
      <c r="D129" s="31" t="s">
        <v>132</v>
      </c>
      <c r="E129" s="30"/>
      <c r="F129" s="102">
        <v>44959</v>
      </c>
      <c r="G129" s="29">
        <v>38</v>
      </c>
      <c r="H129" s="102">
        <f t="shared" si="8"/>
        <v>45012</v>
      </c>
      <c r="I129" s="71">
        <v>0</v>
      </c>
      <c r="J129"/>
      <c r="K129" s="50"/>
      <c r="L129" s="4"/>
      <c r="M129" s="4"/>
      <c r="N129" s="4"/>
      <c r="O129" s="4"/>
      <c r="P129" s="4"/>
      <c r="Q129" s="4"/>
      <c r="R129" s="4"/>
      <c r="S129" s="4"/>
      <c r="T129" s="4"/>
      <c r="U129" s="4"/>
      <c r="V129" s="4"/>
      <c r="W129" s="4"/>
      <c r="X129" s="4"/>
      <c r="Y129" s="4"/>
      <c r="Z129" s="4"/>
      <c r="AA129" s="4"/>
      <c r="AB129" s="7"/>
      <c r="AC129" s="7"/>
      <c r="AD129" s="7"/>
      <c r="AE129" s="7"/>
      <c r="AF129" s="7"/>
      <c r="AG129" s="7"/>
      <c r="AH129" s="7"/>
      <c r="AI129" s="7"/>
      <c r="AJ129" s="7"/>
      <c r="AK129" s="7"/>
      <c r="AL129" s="7"/>
      <c r="AM129" s="7"/>
      <c r="AN129" s="7"/>
      <c r="AO129" s="7"/>
      <c r="AP129" s="7"/>
      <c r="AQ129" s="7"/>
      <c r="AR129" s="7"/>
      <c r="AS129" s="7"/>
      <c r="AT129" s="7"/>
      <c r="AU129" s="7"/>
      <c r="AV129" s="7"/>
      <c r="AW129" s="7"/>
      <c r="AX129" s="7"/>
      <c r="AY129" s="7"/>
      <c r="AZ129" s="7"/>
      <c r="BA129" s="7"/>
      <c r="BB129" s="7"/>
      <c r="BC129" s="7"/>
      <c r="BD129" s="7"/>
      <c r="BE129" s="7"/>
      <c r="BF129" s="7"/>
      <c r="BG129" s="7"/>
      <c r="BH129" s="7"/>
      <c r="BI129" s="7"/>
      <c r="BJ129" s="7"/>
      <c r="BK129" s="51"/>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c r="DO129" s="2"/>
      <c r="DP129" s="2"/>
      <c r="DQ129" s="2"/>
      <c r="DR129" s="2"/>
      <c r="DS129" s="2"/>
      <c r="DT129" s="2"/>
      <c r="DU129" s="2"/>
      <c r="DV129" s="2"/>
      <c r="DW129" s="2"/>
      <c r="DX129" s="2"/>
      <c r="DY129" s="2"/>
      <c r="DZ129" s="2"/>
      <c r="EA129" s="2"/>
      <c r="EB129" s="2"/>
      <c r="EC129" s="2"/>
      <c r="ED129" s="2"/>
      <c r="EE129" s="2"/>
      <c r="EF129" s="2"/>
      <c r="EG129" s="2"/>
      <c r="EH129" s="2"/>
      <c r="EI129" s="2"/>
      <c r="EJ129" s="2"/>
      <c r="EK129" s="2"/>
      <c r="EL129" s="2"/>
      <c r="EM129" s="2"/>
      <c r="EN129" s="2"/>
      <c r="EO129" s="2"/>
      <c r="EP129" s="2"/>
      <c r="EQ129" s="2"/>
      <c r="ER129" s="2"/>
      <c r="ES129" s="2"/>
      <c r="ET129" s="2"/>
      <c r="EU129" s="2"/>
      <c r="EV129" s="2"/>
      <c r="EW129" s="2"/>
      <c r="EX129" s="2"/>
      <c r="EY129" s="2"/>
      <c r="EZ129" s="2"/>
      <c r="FA129" s="2"/>
      <c r="FB129" s="2"/>
      <c r="FC129" s="2"/>
      <c r="FD129" s="2"/>
      <c r="FE129" s="2"/>
      <c r="FF129" s="2"/>
      <c r="FG129" s="2"/>
      <c r="FH129" s="2"/>
      <c r="FI129" s="2"/>
      <c r="FJ129" s="2"/>
      <c r="FK129" s="2"/>
      <c r="FL129" s="2"/>
      <c r="FM129" s="2"/>
      <c r="FN129" s="2"/>
      <c r="FO129" s="2"/>
      <c r="FP129" s="2"/>
      <c r="FQ129" s="2"/>
      <c r="FR129" s="2"/>
      <c r="FS129" s="2"/>
      <c r="FT129" s="2"/>
      <c r="FU129" s="2"/>
      <c r="FV129" s="2"/>
      <c r="FW129" s="2"/>
      <c r="FX129" s="2"/>
      <c r="FY129" s="2"/>
      <c r="FZ129" s="2"/>
      <c r="GA129" s="2"/>
      <c r="GB129" s="2"/>
      <c r="GC129" s="2"/>
      <c r="GD129" s="2"/>
      <c r="GE129" s="2"/>
      <c r="GF129" s="2"/>
      <c r="GG129" s="2"/>
      <c r="GH129" s="2"/>
      <c r="GI129" s="2"/>
      <c r="GJ129" s="2"/>
      <c r="GK129" s="2"/>
      <c r="GL129" s="2"/>
      <c r="GM129" s="2"/>
      <c r="GN129" s="2"/>
      <c r="GO129" s="2"/>
      <c r="GP129" s="2"/>
      <c r="GQ129" s="2"/>
      <c r="GR129" s="2"/>
      <c r="GS129" s="2"/>
      <c r="GT129" s="2"/>
      <c r="GU129" s="2"/>
      <c r="GV129" s="2"/>
      <c r="GW129" s="2"/>
    </row>
    <row r="130" spans="1:205" s="5" customFormat="1" ht="15.6" x14ac:dyDescent="0.3">
      <c r="A130" s="60" t="s">
        <v>315</v>
      </c>
      <c r="B130" s="23" t="s">
        <v>307</v>
      </c>
      <c r="C130" s="37" t="s">
        <v>303</v>
      </c>
      <c r="D130" s="31" t="s">
        <v>134</v>
      </c>
      <c r="E130" s="30"/>
      <c r="F130" s="102">
        <v>44959</v>
      </c>
      <c r="G130" s="29">
        <v>38</v>
      </c>
      <c r="H130" s="102">
        <f t="shared" si="8"/>
        <v>45012</v>
      </c>
      <c r="I130" s="71">
        <v>0</v>
      </c>
      <c r="J130"/>
      <c r="K130" s="50"/>
      <c r="L130" s="4"/>
      <c r="M130" s="4"/>
      <c r="N130" s="4"/>
      <c r="O130" s="4"/>
      <c r="P130" s="4"/>
      <c r="Q130" s="4"/>
      <c r="R130" s="4"/>
      <c r="S130" s="4"/>
      <c r="T130" s="4"/>
      <c r="U130" s="4"/>
      <c r="V130" s="4"/>
      <c r="W130" s="4"/>
      <c r="X130" s="4"/>
      <c r="Y130" s="4"/>
      <c r="Z130" s="4"/>
      <c r="AA130" s="4"/>
      <c r="AB130" s="7"/>
      <c r="AC130" s="7"/>
      <c r="AD130" s="7"/>
      <c r="AE130" s="7"/>
      <c r="AF130" s="7"/>
      <c r="AG130" s="7"/>
      <c r="AH130" s="7"/>
      <c r="AI130" s="7"/>
      <c r="AJ130" s="7"/>
      <c r="AK130" s="7"/>
      <c r="AL130" s="7"/>
      <c r="AM130" s="7"/>
      <c r="AN130" s="7"/>
      <c r="AO130" s="7"/>
      <c r="AP130" s="7"/>
      <c r="AQ130" s="7"/>
      <c r="AR130" s="7"/>
      <c r="AS130" s="7"/>
      <c r="AT130" s="7"/>
      <c r="AU130" s="7"/>
      <c r="AV130" s="7"/>
      <c r="AW130" s="7"/>
      <c r="AX130" s="7"/>
      <c r="AY130" s="7"/>
      <c r="AZ130" s="7"/>
      <c r="BA130" s="7"/>
      <c r="BB130" s="7"/>
      <c r="BC130" s="7"/>
      <c r="BD130" s="7"/>
      <c r="BE130" s="7"/>
      <c r="BF130" s="7"/>
      <c r="BG130" s="7"/>
      <c r="BH130" s="7"/>
      <c r="BI130" s="7"/>
      <c r="BJ130" s="7"/>
      <c r="BK130" s="51"/>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c r="DO130" s="2"/>
      <c r="DP130" s="2"/>
      <c r="DQ130" s="2"/>
      <c r="DR130" s="2"/>
      <c r="DS130" s="2"/>
      <c r="DT130" s="2"/>
      <c r="DU130" s="2"/>
      <c r="DV130" s="2"/>
      <c r="DW130" s="2"/>
      <c r="DX130" s="2"/>
      <c r="DY130" s="2"/>
      <c r="DZ130" s="2"/>
      <c r="EA130" s="2"/>
      <c r="EB130" s="2"/>
      <c r="EC130" s="2"/>
      <c r="ED130" s="2"/>
      <c r="EE130" s="2"/>
      <c r="EF130" s="2"/>
      <c r="EG130" s="2"/>
      <c r="EH130" s="2"/>
      <c r="EI130" s="2"/>
      <c r="EJ130" s="2"/>
      <c r="EK130" s="2"/>
      <c r="EL130" s="2"/>
      <c r="EM130" s="2"/>
      <c r="EN130" s="2"/>
      <c r="EO130" s="2"/>
      <c r="EP130" s="2"/>
      <c r="EQ130" s="2"/>
      <c r="ER130" s="2"/>
      <c r="ES130" s="2"/>
      <c r="ET130" s="2"/>
      <c r="EU130" s="2"/>
      <c r="EV130" s="2"/>
      <c r="EW130" s="2"/>
      <c r="EX130" s="2"/>
      <c r="EY130" s="2"/>
      <c r="EZ130" s="2"/>
      <c r="FA130" s="2"/>
      <c r="FB130" s="2"/>
      <c r="FC130" s="2"/>
      <c r="FD130" s="2"/>
      <c r="FE130" s="2"/>
      <c r="FF130" s="2"/>
      <c r="FG130" s="2"/>
      <c r="FH130" s="2"/>
      <c r="FI130" s="2"/>
      <c r="FJ130" s="2"/>
      <c r="FK130" s="2"/>
      <c r="FL130" s="2"/>
      <c r="FM130" s="2"/>
      <c r="FN130" s="2"/>
      <c r="FO130" s="2"/>
      <c r="FP130" s="2"/>
      <c r="FQ130" s="2"/>
      <c r="FR130" s="2"/>
      <c r="FS130" s="2"/>
      <c r="FT130" s="2"/>
      <c r="FU130" s="2"/>
      <c r="FV130" s="2"/>
      <c r="FW130" s="2"/>
      <c r="FX130" s="2"/>
      <c r="FY130" s="2"/>
      <c r="FZ130" s="2"/>
      <c r="GA130" s="2"/>
      <c r="GB130" s="2"/>
      <c r="GC130" s="2"/>
      <c r="GD130" s="2"/>
      <c r="GE130" s="2"/>
      <c r="GF130" s="2"/>
      <c r="GG130" s="2"/>
      <c r="GH130" s="2"/>
      <c r="GI130" s="2"/>
      <c r="GJ130" s="2"/>
      <c r="GK130" s="2"/>
      <c r="GL130" s="2"/>
      <c r="GM130" s="2"/>
      <c r="GN130" s="2"/>
      <c r="GO130" s="2"/>
      <c r="GP130" s="2"/>
      <c r="GQ130" s="2"/>
      <c r="GR130" s="2"/>
      <c r="GS130" s="2"/>
      <c r="GT130" s="2"/>
      <c r="GU130" s="2"/>
      <c r="GV130" s="2"/>
      <c r="GW130" s="2"/>
    </row>
    <row r="131" spans="1:205" s="5" customFormat="1" ht="15.6" x14ac:dyDescent="0.3">
      <c r="A131" s="60" t="s">
        <v>316</v>
      </c>
      <c r="B131" s="23" t="s">
        <v>307</v>
      </c>
      <c r="C131" s="37" t="s">
        <v>303</v>
      </c>
      <c r="D131" s="31" t="s">
        <v>137</v>
      </c>
      <c r="E131" s="30"/>
      <c r="F131" s="102">
        <v>44959</v>
      </c>
      <c r="G131" s="29">
        <v>38</v>
      </c>
      <c r="H131" s="102">
        <f t="shared" si="8"/>
        <v>45012</v>
      </c>
      <c r="I131" s="71">
        <v>0</v>
      </c>
      <c r="J131"/>
      <c r="K131" s="50"/>
      <c r="L131" s="4"/>
      <c r="M131" s="4"/>
      <c r="N131" s="4"/>
      <c r="O131" s="4"/>
      <c r="P131" s="4"/>
      <c r="Q131" s="4"/>
      <c r="R131" s="4"/>
      <c r="S131" s="4"/>
      <c r="T131" s="4"/>
      <c r="U131" s="4"/>
      <c r="V131" s="4"/>
      <c r="W131" s="4"/>
      <c r="X131" s="4"/>
      <c r="Y131" s="4"/>
      <c r="Z131" s="4"/>
      <c r="AA131" s="4"/>
      <c r="AB131" s="7"/>
      <c r="AC131" s="7"/>
      <c r="AD131" s="7"/>
      <c r="AE131" s="7"/>
      <c r="AF131" s="7"/>
      <c r="AG131" s="7"/>
      <c r="AH131" s="7"/>
      <c r="AI131" s="7"/>
      <c r="AJ131" s="7"/>
      <c r="AK131" s="7"/>
      <c r="AL131" s="7"/>
      <c r="AM131" s="7"/>
      <c r="AN131" s="7"/>
      <c r="AO131" s="7"/>
      <c r="AP131" s="7"/>
      <c r="AQ131" s="7"/>
      <c r="AR131" s="7"/>
      <c r="AS131" s="7"/>
      <c r="AT131" s="7"/>
      <c r="AU131" s="7"/>
      <c r="AV131" s="7"/>
      <c r="AW131" s="7"/>
      <c r="AX131" s="7"/>
      <c r="AY131" s="7"/>
      <c r="AZ131" s="7"/>
      <c r="BA131" s="7"/>
      <c r="BB131" s="7"/>
      <c r="BC131" s="7"/>
      <c r="BD131" s="7"/>
      <c r="BE131" s="7"/>
      <c r="BF131" s="7"/>
      <c r="BG131" s="7"/>
      <c r="BH131" s="7"/>
      <c r="BI131" s="7"/>
      <c r="BJ131" s="7"/>
      <c r="BK131" s="51"/>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c r="DO131" s="2"/>
      <c r="DP131" s="2"/>
      <c r="DQ131" s="2"/>
      <c r="DR131" s="2"/>
      <c r="DS131" s="2"/>
      <c r="DT131" s="2"/>
      <c r="DU131" s="2"/>
      <c r="DV131" s="2"/>
      <c r="DW131" s="2"/>
      <c r="DX131" s="2"/>
      <c r="DY131" s="2"/>
      <c r="DZ131" s="2"/>
      <c r="EA131" s="2"/>
      <c r="EB131" s="2"/>
      <c r="EC131" s="2"/>
      <c r="ED131" s="2"/>
      <c r="EE131" s="2"/>
      <c r="EF131" s="2"/>
      <c r="EG131" s="2"/>
      <c r="EH131" s="2"/>
      <c r="EI131" s="2"/>
      <c r="EJ131" s="2"/>
      <c r="EK131" s="2"/>
      <c r="EL131" s="2"/>
      <c r="EM131" s="2"/>
      <c r="EN131" s="2"/>
      <c r="EO131" s="2"/>
      <c r="EP131" s="2"/>
      <c r="EQ131" s="2"/>
      <c r="ER131" s="2"/>
      <c r="ES131" s="2"/>
      <c r="ET131" s="2"/>
      <c r="EU131" s="2"/>
      <c r="EV131" s="2"/>
      <c r="EW131" s="2"/>
      <c r="EX131" s="2"/>
      <c r="EY131" s="2"/>
      <c r="EZ131" s="2"/>
      <c r="FA131" s="2"/>
      <c r="FB131" s="2"/>
      <c r="FC131" s="2"/>
      <c r="FD131" s="2"/>
      <c r="FE131" s="2"/>
      <c r="FF131" s="2"/>
      <c r="FG131" s="2"/>
      <c r="FH131" s="2"/>
      <c r="FI131" s="2"/>
      <c r="FJ131" s="2"/>
      <c r="FK131" s="2"/>
      <c r="FL131" s="2"/>
      <c r="FM131" s="2"/>
      <c r="FN131" s="2"/>
      <c r="FO131" s="2"/>
      <c r="FP131" s="2"/>
      <c r="FQ131" s="2"/>
      <c r="FR131" s="2"/>
      <c r="FS131" s="2"/>
      <c r="FT131" s="2"/>
      <c r="FU131" s="2"/>
      <c r="FV131" s="2"/>
      <c r="FW131" s="2"/>
      <c r="FX131" s="2"/>
      <c r="FY131" s="2"/>
      <c r="FZ131" s="2"/>
      <c r="GA131" s="2"/>
      <c r="GB131" s="2"/>
      <c r="GC131" s="2"/>
      <c r="GD131" s="2"/>
      <c r="GE131" s="2"/>
      <c r="GF131" s="2"/>
      <c r="GG131" s="2"/>
      <c r="GH131" s="2"/>
      <c r="GI131" s="2"/>
      <c r="GJ131" s="2"/>
      <c r="GK131" s="2"/>
      <c r="GL131" s="2"/>
      <c r="GM131" s="2"/>
      <c r="GN131" s="2"/>
      <c r="GO131" s="2"/>
      <c r="GP131" s="2"/>
      <c r="GQ131" s="2"/>
      <c r="GR131" s="2"/>
      <c r="GS131" s="2"/>
      <c r="GT131" s="2"/>
      <c r="GU131" s="2"/>
      <c r="GV131" s="2"/>
      <c r="GW131" s="2"/>
    </row>
    <row r="132" spans="1:205" s="5" customFormat="1" ht="15.6" x14ac:dyDescent="0.3">
      <c r="A132" s="60" t="s">
        <v>317</v>
      </c>
      <c r="B132" s="23" t="s">
        <v>307</v>
      </c>
      <c r="C132" s="37" t="s">
        <v>303</v>
      </c>
      <c r="D132" s="31" t="s">
        <v>140</v>
      </c>
      <c r="E132" s="30"/>
      <c r="F132" s="102">
        <v>44959</v>
      </c>
      <c r="G132" s="29">
        <v>38</v>
      </c>
      <c r="H132" s="102">
        <f t="shared" si="8"/>
        <v>45012</v>
      </c>
      <c r="I132" s="71">
        <v>0</v>
      </c>
      <c r="J132"/>
      <c r="K132" s="50"/>
      <c r="L132" s="4"/>
      <c r="M132" s="4"/>
      <c r="N132" s="4"/>
      <c r="O132" s="4"/>
      <c r="P132" s="4"/>
      <c r="Q132" s="4"/>
      <c r="R132" s="4"/>
      <c r="S132" s="4"/>
      <c r="T132" s="4"/>
      <c r="U132" s="4"/>
      <c r="V132" s="4"/>
      <c r="W132" s="4"/>
      <c r="X132" s="4"/>
      <c r="Y132" s="4"/>
      <c r="Z132" s="4"/>
      <c r="AA132" s="4"/>
      <c r="AB132" s="7"/>
      <c r="AC132" s="7"/>
      <c r="AD132" s="7"/>
      <c r="AE132" s="7"/>
      <c r="AF132" s="7"/>
      <c r="AG132" s="7"/>
      <c r="AH132" s="7"/>
      <c r="AI132" s="7"/>
      <c r="AJ132" s="7"/>
      <c r="AK132" s="7"/>
      <c r="AL132" s="7"/>
      <c r="AM132" s="7"/>
      <c r="AN132" s="7"/>
      <c r="AO132" s="7"/>
      <c r="AP132" s="7"/>
      <c r="AQ132" s="7"/>
      <c r="AR132" s="7"/>
      <c r="AS132" s="7"/>
      <c r="AT132" s="7"/>
      <c r="AU132" s="7"/>
      <c r="AV132" s="7"/>
      <c r="AW132" s="7"/>
      <c r="AX132" s="7"/>
      <c r="AY132" s="7"/>
      <c r="AZ132" s="7"/>
      <c r="BA132" s="7"/>
      <c r="BB132" s="7"/>
      <c r="BC132" s="7"/>
      <c r="BD132" s="7"/>
      <c r="BE132" s="7"/>
      <c r="BF132" s="7"/>
      <c r="BG132" s="7"/>
      <c r="BH132" s="7"/>
      <c r="BI132" s="7"/>
      <c r="BJ132" s="7"/>
      <c r="BK132" s="51"/>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c r="DO132" s="2"/>
      <c r="DP132" s="2"/>
      <c r="DQ132" s="2"/>
      <c r="DR132" s="2"/>
      <c r="DS132" s="2"/>
      <c r="DT132" s="2"/>
      <c r="DU132" s="2"/>
      <c r="DV132" s="2"/>
      <c r="DW132" s="2"/>
      <c r="DX132" s="2"/>
      <c r="DY132" s="2"/>
      <c r="DZ132" s="2"/>
      <c r="EA132" s="2"/>
      <c r="EB132" s="2"/>
      <c r="EC132" s="2"/>
      <c r="ED132" s="2"/>
      <c r="EE132" s="2"/>
      <c r="EF132" s="2"/>
      <c r="EG132" s="2"/>
      <c r="EH132" s="2"/>
      <c r="EI132" s="2"/>
      <c r="EJ132" s="2"/>
      <c r="EK132" s="2"/>
      <c r="EL132" s="2"/>
      <c r="EM132" s="2"/>
      <c r="EN132" s="2"/>
      <c r="EO132" s="2"/>
      <c r="EP132" s="2"/>
      <c r="EQ132" s="2"/>
      <c r="ER132" s="2"/>
      <c r="ES132" s="2"/>
      <c r="ET132" s="2"/>
      <c r="EU132" s="2"/>
      <c r="EV132" s="2"/>
      <c r="EW132" s="2"/>
      <c r="EX132" s="2"/>
      <c r="EY132" s="2"/>
      <c r="EZ132" s="2"/>
      <c r="FA132" s="2"/>
      <c r="FB132" s="2"/>
      <c r="FC132" s="2"/>
      <c r="FD132" s="2"/>
      <c r="FE132" s="2"/>
      <c r="FF132" s="2"/>
      <c r="FG132" s="2"/>
      <c r="FH132" s="2"/>
      <c r="FI132" s="2"/>
      <c r="FJ132" s="2"/>
      <c r="FK132" s="2"/>
      <c r="FL132" s="2"/>
      <c r="FM132" s="2"/>
      <c r="FN132" s="2"/>
      <c r="FO132" s="2"/>
      <c r="FP132" s="2"/>
      <c r="FQ132" s="2"/>
      <c r="FR132" s="2"/>
      <c r="FS132" s="2"/>
      <c r="FT132" s="2"/>
      <c r="FU132" s="2"/>
      <c r="FV132" s="2"/>
      <c r="FW132" s="2"/>
      <c r="FX132" s="2"/>
      <c r="FY132" s="2"/>
      <c r="FZ132" s="2"/>
      <c r="GA132" s="2"/>
      <c r="GB132" s="2"/>
      <c r="GC132" s="2"/>
      <c r="GD132" s="2"/>
      <c r="GE132" s="2"/>
      <c r="GF132" s="2"/>
      <c r="GG132" s="2"/>
      <c r="GH132" s="2"/>
      <c r="GI132" s="2"/>
      <c r="GJ132" s="2"/>
      <c r="GK132" s="2"/>
      <c r="GL132" s="2"/>
      <c r="GM132" s="2"/>
      <c r="GN132" s="2"/>
      <c r="GO132" s="2"/>
      <c r="GP132" s="2"/>
      <c r="GQ132" s="2"/>
      <c r="GR132" s="2"/>
      <c r="GS132" s="2"/>
      <c r="GT132" s="2"/>
      <c r="GU132" s="2"/>
      <c r="GV132" s="2"/>
      <c r="GW132" s="2"/>
    </row>
    <row r="133" spans="1:205" s="5" customFormat="1" ht="15.6" x14ac:dyDescent="0.3">
      <c r="A133" s="60" t="s">
        <v>318</v>
      </c>
      <c r="B133" s="23" t="s">
        <v>307</v>
      </c>
      <c r="C133" s="37" t="s">
        <v>303</v>
      </c>
      <c r="D133" s="31" t="s">
        <v>96</v>
      </c>
      <c r="E133" s="30"/>
      <c r="F133" s="102">
        <v>44959</v>
      </c>
      <c r="G133" s="29">
        <v>38</v>
      </c>
      <c r="H133" s="102">
        <f t="shared" si="8"/>
        <v>45012</v>
      </c>
      <c r="I133" s="71">
        <v>0</v>
      </c>
      <c r="J133"/>
      <c r="K133" s="50"/>
      <c r="L133" s="4"/>
      <c r="M133" s="4"/>
      <c r="N133" s="4"/>
      <c r="O133" s="4"/>
      <c r="P133" s="4"/>
      <c r="Q133" s="4"/>
      <c r="R133" s="4"/>
      <c r="S133" s="4"/>
      <c r="T133" s="4"/>
      <c r="U133" s="4"/>
      <c r="V133" s="4"/>
      <c r="W133" s="4"/>
      <c r="X133" s="4"/>
      <c r="Y133" s="4"/>
      <c r="Z133" s="4"/>
      <c r="AA133" s="4"/>
      <c r="AB133" s="7"/>
      <c r="AC133" s="7"/>
      <c r="AD133" s="7"/>
      <c r="AE133" s="7"/>
      <c r="AF133" s="7"/>
      <c r="AG133" s="7"/>
      <c r="AH133" s="7"/>
      <c r="AI133" s="7"/>
      <c r="AJ133" s="7"/>
      <c r="AK133" s="7"/>
      <c r="AL133" s="7"/>
      <c r="AM133" s="7"/>
      <c r="AN133" s="7"/>
      <c r="AO133" s="7"/>
      <c r="AP133" s="7"/>
      <c r="AQ133" s="7"/>
      <c r="AR133" s="7"/>
      <c r="AS133" s="7"/>
      <c r="AT133" s="7"/>
      <c r="AU133" s="7"/>
      <c r="AV133" s="7"/>
      <c r="AW133" s="7"/>
      <c r="AX133" s="7"/>
      <c r="AY133" s="7"/>
      <c r="AZ133" s="7"/>
      <c r="BA133" s="7"/>
      <c r="BB133" s="7"/>
      <c r="BC133" s="7"/>
      <c r="BD133" s="7"/>
      <c r="BE133" s="7"/>
      <c r="BF133" s="7"/>
      <c r="BG133" s="7"/>
      <c r="BH133" s="7"/>
      <c r="BI133" s="7"/>
      <c r="BJ133" s="7"/>
      <c r="BK133" s="51"/>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c r="DO133" s="2"/>
      <c r="DP133" s="2"/>
      <c r="DQ133" s="2"/>
      <c r="DR133" s="2"/>
      <c r="DS133" s="2"/>
      <c r="DT133" s="2"/>
      <c r="DU133" s="2"/>
      <c r="DV133" s="2"/>
      <c r="DW133" s="2"/>
      <c r="DX133" s="2"/>
      <c r="DY133" s="2"/>
      <c r="DZ133" s="2"/>
      <c r="EA133" s="2"/>
      <c r="EB133" s="2"/>
      <c r="EC133" s="2"/>
      <c r="ED133" s="2"/>
      <c r="EE133" s="2"/>
      <c r="EF133" s="2"/>
      <c r="EG133" s="2"/>
      <c r="EH133" s="2"/>
      <c r="EI133" s="2"/>
      <c r="EJ133" s="2"/>
      <c r="EK133" s="2"/>
      <c r="EL133" s="2"/>
      <c r="EM133" s="2"/>
      <c r="EN133" s="2"/>
      <c r="EO133" s="2"/>
      <c r="EP133" s="2"/>
      <c r="EQ133" s="2"/>
      <c r="ER133" s="2"/>
      <c r="ES133" s="2"/>
      <c r="ET133" s="2"/>
      <c r="EU133" s="2"/>
      <c r="EV133" s="2"/>
      <c r="EW133" s="2"/>
      <c r="EX133" s="2"/>
      <c r="EY133" s="2"/>
      <c r="EZ133" s="2"/>
      <c r="FA133" s="2"/>
      <c r="FB133" s="2"/>
      <c r="FC133" s="2"/>
      <c r="FD133" s="2"/>
      <c r="FE133" s="2"/>
      <c r="FF133" s="2"/>
      <c r="FG133" s="2"/>
      <c r="FH133" s="2"/>
      <c r="FI133" s="2"/>
      <c r="FJ133" s="2"/>
      <c r="FK133" s="2"/>
      <c r="FL133" s="2"/>
      <c r="FM133" s="2"/>
      <c r="FN133" s="2"/>
      <c r="FO133" s="2"/>
      <c r="FP133" s="2"/>
      <c r="FQ133" s="2"/>
      <c r="FR133" s="2"/>
      <c r="FS133" s="2"/>
      <c r="FT133" s="2"/>
      <c r="FU133" s="2"/>
      <c r="FV133" s="2"/>
      <c r="FW133" s="2"/>
      <c r="FX133" s="2"/>
      <c r="FY133" s="2"/>
      <c r="FZ133" s="2"/>
      <c r="GA133" s="2"/>
      <c r="GB133" s="2"/>
      <c r="GC133" s="2"/>
      <c r="GD133" s="2"/>
      <c r="GE133" s="2"/>
      <c r="GF133" s="2"/>
      <c r="GG133" s="2"/>
      <c r="GH133" s="2"/>
      <c r="GI133" s="2"/>
      <c r="GJ133" s="2"/>
      <c r="GK133" s="2"/>
      <c r="GL133" s="2"/>
      <c r="GM133" s="2"/>
      <c r="GN133" s="2"/>
      <c r="GO133" s="2"/>
      <c r="GP133" s="2"/>
      <c r="GQ133" s="2"/>
      <c r="GR133" s="2"/>
      <c r="GS133" s="2"/>
      <c r="GT133" s="2"/>
      <c r="GU133" s="2"/>
      <c r="GV133" s="2"/>
      <c r="GW133" s="2"/>
    </row>
    <row r="134" spans="1:205" s="5" customFormat="1" ht="15.6" x14ac:dyDescent="0.3">
      <c r="A134" s="60" t="s">
        <v>319</v>
      </c>
      <c r="B134" s="23" t="s">
        <v>307</v>
      </c>
      <c r="C134" s="37" t="s">
        <v>303</v>
      </c>
      <c r="D134" s="31" t="s">
        <v>99</v>
      </c>
      <c r="E134" s="30"/>
      <c r="F134" s="102">
        <v>44959</v>
      </c>
      <c r="G134" s="29">
        <v>38</v>
      </c>
      <c r="H134" s="102">
        <f t="shared" si="8"/>
        <v>45012</v>
      </c>
      <c r="I134" s="71">
        <v>0</v>
      </c>
      <c r="J134"/>
      <c r="K134" s="50"/>
      <c r="L134" s="4"/>
      <c r="M134" s="4"/>
      <c r="N134" s="4"/>
      <c r="O134" s="4"/>
      <c r="P134" s="4"/>
      <c r="Q134" s="4"/>
      <c r="R134" s="4"/>
      <c r="S134" s="4"/>
      <c r="T134" s="4"/>
      <c r="U134" s="4"/>
      <c r="V134" s="4"/>
      <c r="W134" s="4"/>
      <c r="X134" s="4"/>
      <c r="Y134" s="4"/>
      <c r="Z134" s="4"/>
      <c r="AA134" s="4"/>
      <c r="AB134" s="7"/>
      <c r="AC134" s="7"/>
      <c r="AD134" s="7"/>
      <c r="AE134" s="7"/>
      <c r="AF134" s="7"/>
      <c r="AG134" s="7"/>
      <c r="AH134" s="7"/>
      <c r="AI134" s="7"/>
      <c r="AJ134" s="7"/>
      <c r="AK134" s="7"/>
      <c r="AL134" s="7"/>
      <c r="AM134" s="7"/>
      <c r="AN134" s="7"/>
      <c r="AO134" s="7"/>
      <c r="AP134" s="7"/>
      <c r="AQ134" s="7"/>
      <c r="AR134" s="7"/>
      <c r="AS134" s="7"/>
      <c r="AT134" s="7"/>
      <c r="AU134" s="7"/>
      <c r="AV134" s="7"/>
      <c r="AW134" s="7"/>
      <c r="AX134" s="7"/>
      <c r="AY134" s="7"/>
      <c r="AZ134" s="7"/>
      <c r="BA134" s="7"/>
      <c r="BB134" s="7"/>
      <c r="BC134" s="7"/>
      <c r="BD134" s="7"/>
      <c r="BE134" s="7"/>
      <c r="BF134" s="7"/>
      <c r="BG134" s="7"/>
      <c r="BH134" s="7"/>
      <c r="BI134" s="7"/>
      <c r="BJ134" s="7"/>
      <c r="BK134" s="51"/>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c r="DO134" s="2"/>
      <c r="DP134" s="2"/>
      <c r="DQ134" s="2"/>
      <c r="DR134" s="2"/>
      <c r="DS134" s="2"/>
      <c r="DT134" s="2"/>
      <c r="DU134" s="2"/>
      <c r="DV134" s="2"/>
      <c r="DW134" s="2"/>
      <c r="DX134" s="2"/>
      <c r="DY134" s="2"/>
      <c r="DZ134" s="2"/>
      <c r="EA134" s="2"/>
      <c r="EB134" s="2"/>
      <c r="EC134" s="2"/>
      <c r="ED134" s="2"/>
      <c r="EE134" s="2"/>
      <c r="EF134" s="2"/>
      <c r="EG134" s="2"/>
      <c r="EH134" s="2"/>
      <c r="EI134" s="2"/>
      <c r="EJ134" s="2"/>
      <c r="EK134" s="2"/>
      <c r="EL134" s="2"/>
      <c r="EM134" s="2"/>
      <c r="EN134" s="2"/>
      <c r="EO134" s="2"/>
      <c r="EP134" s="2"/>
      <c r="EQ134" s="2"/>
      <c r="ER134" s="2"/>
      <c r="ES134" s="2"/>
      <c r="ET134" s="2"/>
      <c r="EU134" s="2"/>
      <c r="EV134" s="2"/>
      <c r="EW134" s="2"/>
      <c r="EX134" s="2"/>
      <c r="EY134" s="2"/>
      <c r="EZ134" s="2"/>
      <c r="FA134" s="2"/>
      <c r="FB134" s="2"/>
      <c r="FC134" s="2"/>
      <c r="FD134" s="2"/>
      <c r="FE134" s="2"/>
      <c r="FF134" s="2"/>
      <c r="FG134" s="2"/>
      <c r="FH134" s="2"/>
      <c r="FI134" s="2"/>
      <c r="FJ134" s="2"/>
      <c r="FK134" s="2"/>
      <c r="FL134" s="2"/>
      <c r="FM134" s="2"/>
      <c r="FN134" s="2"/>
      <c r="FO134" s="2"/>
      <c r="FP134" s="2"/>
      <c r="FQ134" s="2"/>
      <c r="FR134" s="2"/>
      <c r="FS134" s="2"/>
      <c r="FT134" s="2"/>
      <c r="FU134" s="2"/>
      <c r="FV134" s="2"/>
      <c r="FW134" s="2"/>
      <c r="FX134" s="2"/>
      <c r="FY134" s="2"/>
      <c r="FZ134" s="2"/>
      <c r="GA134" s="2"/>
      <c r="GB134" s="2"/>
      <c r="GC134" s="2"/>
      <c r="GD134" s="2"/>
      <c r="GE134" s="2"/>
      <c r="GF134" s="2"/>
      <c r="GG134" s="2"/>
      <c r="GH134" s="2"/>
      <c r="GI134" s="2"/>
      <c r="GJ134" s="2"/>
      <c r="GK134" s="2"/>
      <c r="GL134" s="2"/>
      <c r="GM134" s="2"/>
      <c r="GN134" s="2"/>
      <c r="GO134" s="2"/>
      <c r="GP134" s="2"/>
      <c r="GQ134" s="2"/>
      <c r="GR134" s="2"/>
      <c r="GS134" s="2"/>
      <c r="GT134" s="2"/>
      <c r="GU134" s="2"/>
      <c r="GV134" s="2"/>
      <c r="GW134" s="2"/>
    </row>
    <row r="135" spans="1:205" s="5" customFormat="1" ht="15.6" x14ac:dyDescent="0.3">
      <c r="A135" s="60" t="s">
        <v>320</v>
      </c>
      <c r="B135" s="23" t="s">
        <v>307</v>
      </c>
      <c r="C135" s="37" t="s">
        <v>303</v>
      </c>
      <c r="D135" s="31" t="s">
        <v>102</v>
      </c>
      <c r="E135" s="30"/>
      <c r="F135" s="102">
        <v>44959</v>
      </c>
      <c r="G135" s="29">
        <v>38</v>
      </c>
      <c r="H135" s="102">
        <f t="shared" si="8"/>
        <v>45012</v>
      </c>
      <c r="I135" s="71">
        <v>0</v>
      </c>
      <c r="J135"/>
      <c r="K135" s="50"/>
      <c r="L135" s="4"/>
      <c r="M135" s="4"/>
      <c r="N135" s="4"/>
      <c r="O135" s="4"/>
      <c r="P135" s="4"/>
      <c r="Q135" s="4"/>
      <c r="R135" s="4"/>
      <c r="S135" s="4"/>
      <c r="T135" s="4"/>
      <c r="U135" s="4"/>
      <c r="V135" s="4"/>
      <c r="W135" s="4"/>
      <c r="X135" s="4"/>
      <c r="Y135" s="4"/>
      <c r="Z135" s="4"/>
      <c r="AA135" s="4"/>
      <c r="AB135" s="7"/>
      <c r="AC135" s="7"/>
      <c r="AD135" s="7"/>
      <c r="AE135" s="7"/>
      <c r="AF135" s="7"/>
      <c r="AG135" s="7"/>
      <c r="AH135" s="7"/>
      <c r="AI135" s="7"/>
      <c r="AJ135" s="7"/>
      <c r="AK135" s="7"/>
      <c r="AL135" s="7"/>
      <c r="AM135" s="7"/>
      <c r="AN135" s="7"/>
      <c r="AO135" s="7"/>
      <c r="AP135" s="7"/>
      <c r="AQ135" s="7"/>
      <c r="AR135" s="7"/>
      <c r="AS135" s="7"/>
      <c r="AT135" s="7"/>
      <c r="AU135" s="7"/>
      <c r="AV135" s="7"/>
      <c r="AW135" s="7"/>
      <c r="AX135" s="7"/>
      <c r="AY135" s="7"/>
      <c r="AZ135" s="7"/>
      <c r="BA135" s="7"/>
      <c r="BB135" s="7"/>
      <c r="BC135" s="7"/>
      <c r="BD135" s="7"/>
      <c r="BE135" s="7"/>
      <c r="BF135" s="7"/>
      <c r="BG135" s="7"/>
      <c r="BH135" s="7"/>
      <c r="BI135" s="7"/>
      <c r="BJ135" s="7"/>
      <c r="BK135" s="51"/>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c r="DU135" s="2"/>
      <c r="DV135" s="2"/>
      <c r="DW135" s="2"/>
      <c r="DX135" s="2"/>
      <c r="DY135" s="2"/>
      <c r="DZ135" s="2"/>
      <c r="EA135" s="2"/>
      <c r="EB135" s="2"/>
      <c r="EC135" s="2"/>
      <c r="ED135" s="2"/>
      <c r="EE135" s="2"/>
      <c r="EF135" s="2"/>
      <c r="EG135" s="2"/>
      <c r="EH135" s="2"/>
      <c r="EI135" s="2"/>
      <c r="EJ135" s="2"/>
      <c r="EK135" s="2"/>
      <c r="EL135" s="2"/>
      <c r="EM135" s="2"/>
      <c r="EN135" s="2"/>
      <c r="EO135" s="2"/>
      <c r="EP135" s="2"/>
      <c r="EQ135" s="2"/>
      <c r="ER135" s="2"/>
      <c r="ES135" s="2"/>
      <c r="ET135" s="2"/>
      <c r="EU135" s="2"/>
      <c r="EV135" s="2"/>
      <c r="EW135" s="2"/>
      <c r="EX135" s="2"/>
      <c r="EY135" s="2"/>
      <c r="EZ135" s="2"/>
      <c r="FA135" s="2"/>
      <c r="FB135" s="2"/>
      <c r="FC135" s="2"/>
      <c r="FD135" s="2"/>
      <c r="FE135" s="2"/>
      <c r="FF135" s="2"/>
      <c r="FG135" s="2"/>
      <c r="FH135" s="2"/>
      <c r="FI135" s="2"/>
      <c r="FJ135" s="2"/>
      <c r="FK135" s="2"/>
      <c r="FL135" s="2"/>
      <c r="FM135" s="2"/>
      <c r="FN135" s="2"/>
      <c r="FO135" s="2"/>
      <c r="FP135" s="2"/>
      <c r="FQ135" s="2"/>
      <c r="FR135" s="2"/>
      <c r="FS135" s="2"/>
      <c r="FT135" s="2"/>
      <c r="FU135" s="2"/>
      <c r="FV135" s="2"/>
      <c r="FW135" s="2"/>
      <c r="FX135" s="2"/>
      <c r="FY135" s="2"/>
      <c r="FZ135" s="2"/>
      <c r="GA135" s="2"/>
      <c r="GB135" s="2"/>
      <c r="GC135" s="2"/>
      <c r="GD135" s="2"/>
      <c r="GE135" s="2"/>
      <c r="GF135" s="2"/>
      <c r="GG135" s="2"/>
      <c r="GH135" s="2"/>
      <c r="GI135" s="2"/>
      <c r="GJ135" s="2"/>
      <c r="GK135" s="2"/>
      <c r="GL135" s="2"/>
      <c r="GM135" s="2"/>
      <c r="GN135" s="2"/>
      <c r="GO135" s="2"/>
      <c r="GP135" s="2"/>
      <c r="GQ135" s="2"/>
      <c r="GR135" s="2"/>
      <c r="GS135" s="2"/>
      <c r="GT135" s="2"/>
      <c r="GU135" s="2"/>
      <c r="GV135" s="2"/>
      <c r="GW135" s="2"/>
    </row>
    <row r="136" spans="1:205" s="5" customFormat="1" ht="15.6" x14ac:dyDescent="0.3">
      <c r="A136" s="60" t="s">
        <v>321</v>
      </c>
      <c r="B136" s="23" t="s">
        <v>307</v>
      </c>
      <c r="C136" s="37" t="s">
        <v>303</v>
      </c>
      <c r="D136" s="31" t="s">
        <v>105</v>
      </c>
      <c r="E136" s="30"/>
      <c r="F136" s="102">
        <v>44959</v>
      </c>
      <c r="G136" s="29">
        <v>38</v>
      </c>
      <c r="H136" s="102">
        <f t="shared" si="8"/>
        <v>45012</v>
      </c>
      <c r="I136" s="71">
        <v>0</v>
      </c>
      <c r="J136"/>
      <c r="K136" s="50"/>
      <c r="L136" s="4"/>
      <c r="M136" s="4"/>
      <c r="N136" s="4"/>
      <c r="O136" s="4"/>
      <c r="P136" s="4"/>
      <c r="Q136" s="4"/>
      <c r="R136" s="4"/>
      <c r="S136" s="4"/>
      <c r="T136" s="4"/>
      <c r="U136" s="4"/>
      <c r="V136" s="4"/>
      <c r="W136" s="4"/>
      <c r="X136" s="4"/>
      <c r="Y136" s="4"/>
      <c r="Z136" s="4"/>
      <c r="AA136" s="4"/>
      <c r="AB136" s="7"/>
      <c r="AC136" s="7"/>
      <c r="AD136" s="7"/>
      <c r="AE136" s="7"/>
      <c r="AF136" s="7"/>
      <c r="AG136" s="7"/>
      <c r="AH136" s="7"/>
      <c r="AI136" s="7"/>
      <c r="AJ136" s="7"/>
      <c r="AK136" s="7"/>
      <c r="AL136" s="7"/>
      <c r="AM136" s="7"/>
      <c r="AN136" s="7"/>
      <c r="AO136" s="7"/>
      <c r="AP136" s="7"/>
      <c r="AQ136" s="7"/>
      <c r="AR136" s="7"/>
      <c r="AS136" s="7"/>
      <c r="AT136" s="7"/>
      <c r="AU136" s="7"/>
      <c r="AV136" s="7"/>
      <c r="AW136" s="7"/>
      <c r="AX136" s="7"/>
      <c r="AY136" s="7"/>
      <c r="AZ136" s="7"/>
      <c r="BA136" s="7"/>
      <c r="BB136" s="7"/>
      <c r="BC136" s="7"/>
      <c r="BD136" s="7"/>
      <c r="BE136" s="7"/>
      <c r="BF136" s="7"/>
      <c r="BG136" s="7"/>
      <c r="BH136" s="7"/>
      <c r="BI136" s="7"/>
      <c r="BJ136" s="7"/>
      <c r="BK136" s="51"/>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c r="DU136" s="2"/>
      <c r="DV136" s="2"/>
      <c r="DW136" s="2"/>
      <c r="DX136" s="2"/>
      <c r="DY136" s="2"/>
      <c r="DZ136" s="2"/>
      <c r="EA136" s="2"/>
      <c r="EB136" s="2"/>
      <c r="EC136" s="2"/>
      <c r="ED136" s="2"/>
      <c r="EE136" s="2"/>
      <c r="EF136" s="2"/>
      <c r="EG136" s="2"/>
      <c r="EH136" s="2"/>
      <c r="EI136" s="2"/>
      <c r="EJ136" s="2"/>
      <c r="EK136" s="2"/>
      <c r="EL136" s="2"/>
      <c r="EM136" s="2"/>
      <c r="EN136" s="2"/>
      <c r="EO136" s="2"/>
      <c r="EP136" s="2"/>
      <c r="EQ136" s="2"/>
      <c r="ER136" s="2"/>
      <c r="ES136" s="2"/>
      <c r="ET136" s="2"/>
      <c r="EU136" s="2"/>
      <c r="EV136" s="2"/>
      <c r="EW136" s="2"/>
      <c r="EX136" s="2"/>
      <c r="EY136" s="2"/>
      <c r="EZ136" s="2"/>
      <c r="FA136" s="2"/>
      <c r="FB136" s="2"/>
      <c r="FC136" s="2"/>
      <c r="FD136" s="2"/>
      <c r="FE136" s="2"/>
      <c r="FF136" s="2"/>
      <c r="FG136" s="2"/>
      <c r="FH136" s="2"/>
      <c r="FI136" s="2"/>
      <c r="FJ136" s="2"/>
      <c r="FK136" s="2"/>
      <c r="FL136" s="2"/>
      <c r="FM136" s="2"/>
      <c r="FN136" s="2"/>
      <c r="FO136" s="2"/>
      <c r="FP136" s="2"/>
      <c r="FQ136" s="2"/>
      <c r="FR136" s="2"/>
      <c r="FS136" s="2"/>
      <c r="FT136" s="2"/>
      <c r="FU136" s="2"/>
      <c r="FV136" s="2"/>
      <c r="FW136" s="2"/>
      <c r="FX136" s="2"/>
      <c r="FY136" s="2"/>
      <c r="FZ136" s="2"/>
      <c r="GA136" s="2"/>
      <c r="GB136" s="2"/>
      <c r="GC136" s="2"/>
      <c r="GD136" s="2"/>
      <c r="GE136" s="2"/>
      <c r="GF136" s="2"/>
      <c r="GG136" s="2"/>
      <c r="GH136" s="2"/>
      <c r="GI136" s="2"/>
      <c r="GJ136" s="2"/>
      <c r="GK136" s="2"/>
      <c r="GL136" s="2"/>
      <c r="GM136" s="2"/>
      <c r="GN136" s="2"/>
      <c r="GO136" s="2"/>
      <c r="GP136" s="2"/>
      <c r="GQ136" s="2"/>
      <c r="GR136" s="2"/>
      <c r="GS136" s="2"/>
      <c r="GT136" s="2"/>
      <c r="GU136" s="2"/>
      <c r="GV136" s="2"/>
      <c r="GW136" s="2"/>
    </row>
    <row r="137" spans="1:205" s="5" customFormat="1" ht="15.6" x14ac:dyDescent="0.3">
      <c r="A137" s="60" t="s">
        <v>322</v>
      </c>
      <c r="B137" s="23" t="s">
        <v>307</v>
      </c>
      <c r="C137" s="37" t="s">
        <v>303</v>
      </c>
      <c r="D137" s="31" t="s">
        <v>93</v>
      </c>
      <c r="E137" s="30"/>
      <c r="F137" s="102">
        <v>44959</v>
      </c>
      <c r="G137" s="29">
        <v>38</v>
      </c>
      <c r="H137" s="102">
        <f t="shared" si="8"/>
        <v>45012</v>
      </c>
      <c r="I137" s="71">
        <v>0</v>
      </c>
      <c r="J137"/>
      <c r="K137" s="50"/>
      <c r="L137" s="4"/>
      <c r="M137" s="4"/>
      <c r="N137" s="4"/>
      <c r="O137" s="4"/>
      <c r="P137" s="4"/>
      <c r="Q137" s="4"/>
      <c r="R137" s="4"/>
      <c r="S137" s="4"/>
      <c r="T137" s="4"/>
      <c r="U137" s="4"/>
      <c r="V137" s="4"/>
      <c r="W137" s="4"/>
      <c r="X137" s="4"/>
      <c r="Y137" s="4"/>
      <c r="Z137" s="4"/>
      <c r="AA137" s="4"/>
      <c r="AB137" s="7"/>
      <c r="AC137" s="7"/>
      <c r="AD137" s="7"/>
      <c r="AE137" s="7"/>
      <c r="AF137" s="7"/>
      <c r="AG137" s="7"/>
      <c r="AH137" s="7"/>
      <c r="AI137" s="7"/>
      <c r="AJ137" s="7"/>
      <c r="AK137" s="7"/>
      <c r="AL137" s="7"/>
      <c r="AM137" s="7"/>
      <c r="AN137" s="7"/>
      <c r="AO137" s="7"/>
      <c r="AP137" s="7"/>
      <c r="AQ137" s="7"/>
      <c r="AR137" s="7"/>
      <c r="AS137" s="7"/>
      <c r="AT137" s="7"/>
      <c r="AU137" s="7"/>
      <c r="AV137" s="7"/>
      <c r="AW137" s="7"/>
      <c r="AX137" s="7"/>
      <c r="AY137" s="7"/>
      <c r="AZ137" s="7"/>
      <c r="BA137" s="7"/>
      <c r="BB137" s="7"/>
      <c r="BC137" s="7"/>
      <c r="BD137" s="7"/>
      <c r="BE137" s="7"/>
      <c r="BF137" s="7"/>
      <c r="BG137" s="7"/>
      <c r="BH137" s="7"/>
      <c r="BI137" s="7"/>
      <c r="BJ137" s="7"/>
      <c r="BK137" s="51"/>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c r="DU137" s="2"/>
      <c r="DV137" s="2"/>
      <c r="DW137" s="2"/>
      <c r="DX137" s="2"/>
      <c r="DY137" s="2"/>
      <c r="DZ137" s="2"/>
      <c r="EA137" s="2"/>
      <c r="EB137" s="2"/>
      <c r="EC137" s="2"/>
      <c r="ED137" s="2"/>
      <c r="EE137" s="2"/>
      <c r="EF137" s="2"/>
      <c r="EG137" s="2"/>
      <c r="EH137" s="2"/>
      <c r="EI137" s="2"/>
      <c r="EJ137" s="2"/>
      <c r="EK137" s="2"/>
      <c r="EL137" s="2"/>
      <c r="EM137" s="2"/>
      <c r="EN137" s="2"/>
      <c r="EO137" s="2"/>
      <c r="EP137" s="2"/>
      <c r="EQ137" s="2"/>
      <c r="ER137" s="2"/>
      <c r="ES137" s="2"/>
      <c r="ET137" s="2"/>
      <c r="EU137" s="2"/>
      <c r="EV137" s="2"/>
      <c r="EW137" s="2"/>
      <c r="EX137" s="2"/>
      <c r="EY137" s="2"/>
      <c r="EZ137" s="2"/>
      <c r="FA137" s="2"/>
      <c r="FB137" s="2"/>
      <c r="FC137" s="2"/>
      <c r="FD137" s="2"/>
      <c r="FE137" s="2"/>
      <c r="FF137" s="2"/>
      <c r="FG137" s="2"/>
      <c r="FH137" s="2"/>
      <c r="FI137" s="2"/>
      <c r="FJ137" s="2"/>
      <c r="FK137" s="2"/>
      <c r="FL137" s="2"/>
      <c r="FM137" s="2"/>
      <c r="FN137" s="2"/>
      <c r="FO137" s="2"/>
      <c r="FP137" s="2"/>
      <c r="FQ137" s="2"/>
      <c r="FR137" s="2"/>
      <c r="FS137" s="2"/>
      <c r="FT137" s="2"/>
      <c r="FU137" s="2"/>
      <c r="FV137" s="2"/>
      <c r="FW137" s="2"/>
      <c r="FX137" s="2"/>
      <c r="FY137" s="2"/>
      <c r="FZ137" s="2"/>
      <c r="GA137" s="2"/>
      <c r="GB137" s="2"/>
      <c r="GC137" s="2"/>
      <c r="GD137" s="2"/>
      <c r="GE137" s="2"/>
      <c r="GF137" s="2"/>
      <c r="GG137" s="2"/>
      <c r="GH137" s="2"/>
      <c r="GI137" s="2"/>
      <c r="GJ137" s="2"/>
      <c r="GK137" s="2"/>
      <c r="GL137" s="2"/>
      <c r="GM137" s="2"/>
      <c r="GN137" s="2"/>
      <c r="GO137" s="2"/>
      <c r="GP137" s="2"/>
      <c r="GQ137" s="2"/>
      <c r="GR137" s="2"/>
      <c r="GS137" s="2"/>
      <c r="GT137" s="2"/>
      <c r="GU137" s="2"/>
      <c r="GV137" s="2"/>
      <c r="GW137" s="2"/>
    </row>
    <row r="138" spans="1:205" s="5" customFormat="1" ht="15.6" x14ac:dyDescent="0.3">
      <c r="A138" s="60" t="s">
        <v>323</v>
      </c>
      <c r="B138" s="23" t="s">
        <v>324</v>
      </c>
      <c r="C138" s="37" t="s">
        <v>303</v>
      </c>
      <c r="D138" s="31" t="s">
        <v>134</v>
      </c>
      <c r="E138" s="30"/>
      <c r="F138" s="102">
        <v>44959</v>
      </c>
      <c r="G138" s="29">
        <v>38</v>
      </c>
      <c r="H138" s="102">
        <f t="shared" si="8"/>
        <v>45012</v>
      </c>
      <c r="I138" s="71">
        <v>0</v>
      </c>
      <c r="J138"/>
      <c r="K138" s="50"/>
      <c r="L138" s="4"/>
      <c r="M138" s="4"/>
      <c r="N138" s="4"/>
      <c r="O138" s="4"/>
      <c r="P138" s="4"/>
      <c r="Q138" s="4"/>
      <c r="R138" s="4"/>
      <c r="S138" s="4"/>
      <c r="T138" s="4"/>
      <c r="U138" s="4"/>
      <c r="V138" s="4"/>
      <c r="W138" s="4"/>
      <c r="X138" s="4"/>
      <c r="Y138" s="4"/>
      <c r="Z138" s="4"/>
      <c r="AA138" s="4"/>
      <c r="AB138" s="7"/>
      <c r="AC138" s="7"/>
      <c r="AD138" s="7"/>
      <c r="AE138" s="7"/>
      <c r="AF138" s="7"/>
      <c r="AG138" s="7"/>
      <c r="AH138" s="7"/>
      <c r="AI138" s="7"/>
      <c r="AJ138" s="7"/>
      <c r="AK138" s="7"/>
      <c r="AL138" s="7"/>
      <c r="AM138" s="7"/>
      <c r="AN138" s="7"/>
      <c r="AO138" s="7"/>
      <c r="AP138" s="7"/>
      <c r="AQ138" s="7"/>
      <c r="AR138" s="7"/>
      <c r="AS138" s="7"/>
      <c r="AT138" s="7"/>
      <c r="AU138" s="7"/>
      <c r="AV138" s="7"/>
      <c r="AW138" s="7"/>
      <c r="AX138" s="7"/>
      <c r="AY138" s="7"/>
      <c r="AZ138" s="7"/>
      <c r="BA138" s="7"/>
      <c r="BB138" s="7"/>
      <c r="BC138" s="7"/>
      <c r="BD138" s="7"/>
      <c r="BE138" s="7"/>
      <c r="BF138" s="7"/>
      <c r="BG138" s="7"/>
      <c r="BH138" s="7"/>
      <c r="BI138" s="7"/>
      <c r="BJ138" s="7"/>
      <c r="BK138" s="51"/>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c r="DO138" s="2"/>
      <c r="DP138" s="2"/>
      <c r="DQ138" s="2"/>
      <c r="DR138" s="2"/>
      <c r="DS138" s="2"/>
      <c r="DT138" s="2"/>
      <c r="DU138" s="2"/>
      <c r="DV138" s="2"/>
      <c r="DW138" s="2"/>
      <c r="DX138" s="2"/>
      <c r="DY138" s="2"/>
      <c r="DZ138" s="2"/>
      <c r="EA138" s="2"/>
      <c r="EB138" s="2"/>
      <c r="EC138" s="2"/>
      <c r="ED138" s="2"/>
      <c r="EE138" s="2"/>
      <c r="EF138" s="2"/>
      <c r="EG138" s="2"/>
      <c r="EH138" s="2"/>
      <c r="EI138" s="2"/>
      <c r="EJ138" s="2"/>
      <c r="EK138" s="2"/>
      <c r="EL138" s="2"/>
      <c r="EM138" s="2"/>
      <c r="EN138" s="2"/>
      <c r="EO138" s="2"/>
      <c r="EP138" s="2"/>
      <c r="EQ138" s="2"/>
      <c r="ER138" s="2"/>
      <c r="ES138" s="2"/>
      <c r="ET138" s="2"/>
      <c r="EU138" s="2"/>
      <c r="EV138" s="2"/>
      <c r="EW138" s="2"/>
      <c r="EX138" s="2"/>
      <c r="EY138" s="2"/>
      <c r="EZ138" s="2"/>
      <c r="FA138" s="2"/>
      <c r="FB138" s="2"/>
      <c r="FC138" s="2"/>
      <c r="FD138" s="2"/>
      <c r="FE138" s="2"/>
      <c r="FF138" s="2"/>
      <c r="FG138" s="2"/>
      <c r="FH138" s="2"/>
      <c r="FI138" s="2"/>
      <c r="FJ138" s="2"/>
      <c r="FK138" s="2"/>
      <c r="FL138" s="2"/>
      <c r="FM138" s="2"/>
      <c r="FN138" s="2"/>
      <c r="FO138" s="2"/>
      <c r="FP138" s="2"/>
      <c r="FQ138" s="2"/>
      <c r="FR138" s="2"/>
      <c r="FS138" s="2"/>
      <c r="FT138" s="2"/>
      <c r="FU138" s="2"/>
      <c r="FV138" s="2"/>
      <c r="FW138" s="2"/>
      <c r="FX138" s="2"/>
      <c r="FY138" s="2"/>
      <c r="FZ138" s="2"/>
      <c r="GA138" s="2"/>
      <c r="GB138" s="2"/>
      <c r="GC138" s="2"/>
      <c r="GD138" s="2"/>
      <c r="GE138" s="2"/>
      <c r="GF138" s="2"/>
      <c r="GG138" s="2"/>
      <c r="GH138" s="2"/>
      <c r="GI138" s="2"/>
      <c r="GJ138" s="2"/>
      <c r="GK138" s="2"/>
      <c r="GL138" s="2"/>
      <c r="GM138" s="2"/>
      <c r="GN138" s="2"/>
      <c r="GO138" s="2"/>
      <c r="GP138" s="2"/>
      <c r="GQ138" s="2"/>
      <c r="GR138" s="2"/>
      <c r="GS138" s="2"/>
      <c r="GT138" s="2"/>
      <c r="GU138" s="2"/>
      <c r="GV138" s="2"/>
      <c r="GW138" s="2"/>
    </row>
    <row r="139" spans="1:205" s="5" customFormat="1" ht="15.6" x14ac:dyDescent="0.3">
      <c r="A139" s="60" t="s">
        <v>325</v>
      </c>
      <c r="B139" s="23" t="s">
        <v>324</v>
      </c>
      <c r="C139" s="37" t="s">
        <v>303</v>
      </c>
      <c r="D139" s="31" t="s">
        <v>137</v>
      </c>
      <c r="E139" s="30"/>
      <c r="F139" s="102">
        <v>44959</v>
      </c>
      <c r="G139" s="29">
        <v>38</v>
      </c>
      <c r="H139" s="102">
        <f t="shared" si="8"/>
        <v>45012</v>
      </c>
      <c r="I139" s="71">
        <v>0</v>
      </c>
      <c r="J139"/>
      <c r="K139" s="50"/>
      <c r="L139" s="4"/>
      <c r="M139" s="4"/>
      <c r="N139" s="4"/>
      <c r="O139" s="4"/>
      <c r="P139" s="4"/>
      <c r="Q139" s="4"/>
      <c r="R139" s="4"/>
      <c r="S139" s="4"/>
      <c r="T139" s="4"/>
      <c r="U139" s="4"/>
      <c r="V139" s="4"/>
      <c r="W139" s="4"/>
      <c r="X139" s="4"/>
      <c r="Y139" s="4"/>
      <c r="Z139" s="4"/>
      <c r="AA139" s="4"/>
      <c r="AB139" s="7"/>
      <c r="AC139" s="7"/>
      <c r="AD139" s="7"/>
      <c r="AE139" s="7"/>
      <c r="AF139" s="7"/>
      <c r="AG139" s="7"/>
      <c r="AH139" s="7"/>
      <c r="AI139" s="7"/>
      <c r="AJ139" s="7"/>
      <c r="AK139" s="7"/>
      <c r="AL139" s="7"/>
      <c r="AM139" s="7"/>
      <c r="AN139" s="7"/>
      <c r="AO139" s="7"/>
      <c r="AP139" s="7"/>
      <c r="AQ139" s="7"/>
      <c r="AR139" s="7"/>
      <c r="AS139" s="7"/>
      <c r="AT139" s="7"/>
      <c r="AU139" s="7"/>
      <c r="AV139" s="7"/>
      <c r="AW139" s="7"/>
      <c r="AX139" s="7"/>
      <c r="AY139" s="7"/>
      <c r="AZ139" s="7"/>
      <c r="BA139" s="7"/>
      <c r="BB139" s="7"/>
      <c r="BC139" s="7"/>
      <c r="BD139" s="7"/>
      <c r="BE139" s="7"/>
      <c r="BF139" s="7"/>
      <c r="BG139" s="7"/>
      <c r="BH139" s="7"/>
      <c r="BI139" s="7"/>
      <c r="BJ139" s="7"/>
      <c r="BK139" s="51"/>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c r="DO139" s="2"/>
      <c r="DP139" s="2"/>
      <c r="DQ139" s="2"/>
      <c r="DR139" s="2"/>
      <c r="DS139" s="2"/>
      <c r="DT139" s="2"/>
      <c r="DU139" s="2"/>
      <c r="DV139" s="2"/>
      <c r="DW139" s="2"/>
      <c r="DX139" s="2"/>
      <c r="DY139" s="2"/>
      <c r="DZ139" s="2"/>
      <c r="EA139" s="2"/>
      <c r="EB139" s="2"/>
      <c r="EC139" s="2"/>
      <c r="ED139" s="2"/>
      <c r="EE139" s="2"/>
      <c r="EF139" s="2"/>
      <c r="EG139" s="2"/>
      <c r="EH139" s="2"/>
      <c r="EI139" s="2"/>
      <c r="EJ139" s="2"/>
      <c r="EK139" s="2"/>
      <c r="EL139" s="2"/>
      <c r="EM139" s="2"/>
      <c r="EN139" s="2"/>
      <c r="EO139" s="2"/>
      <c r="EP139" s="2"/>
      <c r="EQ139" s="2"/>
      <c r="ER139" s="2"/>
      <c r="ES139" s="2"/>
      <c r="ET139" s="2"/>
      <c r="EU139" s="2"/>
      <c r="EV139" s="2"/>
      <c r="EW139" s="2"/>
      <c r="EX139" s="2"/>
      <c r="EY139" s="2"/>
      <c r="EZ139" s="2"/>
      <c r="FA139" s="2"/>
      <c r="FB139" s="2"/>
      <c r="FC139" s="2"/>
      <c r="FD139" s="2"/>
      <c r="FE139" s="2"/>
      <c r="FF139" s="2"/>
      <c r="FG139" s="2"/>
      <c r="FH139" s="2"/>
      <c r="FI139" s="2"/>
      <c r="FJ139" s="2"/>
      <c r="FK139" s="2"/>
      <c r="FL139" s="2"/>
      <c r="FM139" s="2"/>
      <c r="FN139" s="2"/>
      <c r="FO139" s="2"/>
      <c r="FP139" s="2"/>
      <c r="FQ139" s="2"/>
      <c r="FR139" s="2"/>
      <c r="FS139" s="2"/>
      <c r="FT139" s="2"/>
      <c r="FU139" s="2"/>
      <c r="FV139" s="2"/>
      <c r="FW139" s="2"/>
      <c r="FX139" s="2"/>
      <c r="FY139" s="2"/>
      <c r="FZ139" s="2"/>
      <c r="GA139" s="2"/>
      <c r="GB139" s="2"/>
      <c r="GC139" s="2"/>
      <c r="GD139" s="2"/>
      <c r="GE139" s="2"/>
      <c r="GF139" s="2"/>
      <c r="GG139" s="2"/>
      <c r="GH139" s="2"/>
      <c r="GI139" s="2"/>
      <c r="GJ139" s="2"/>
      <c r="GK139" s="2"/>
      <c r="GL139" s="2"/>
      <c r="GM139" s="2"/>
      <c r="GN139" s="2"/>
      <c r="GO139" s="2"/>
      <c r="GP139" s="2"/>
      <c r="GQ139" s="2"/>
      <c r="GR139" s="2"/>
      <c r="GS139" s="2"/>
      <c r="GT139" s="2"/>
      <c r="GU139" s="2"/>
      <c r="GV139" s="2"/>
      <c r="GW139" s="2"/>
    </row>
    <row r="140" spans="1:205" s="5" customFormat="1" ht="15.6" x14ac:dyDescent="0.3">
      <c r="A140" s="60" t="s">
        <v>326</v>
      </c>
      <c r="B140" s="23" t="s">
        <v>327</v>
      </c>
      <c r="C140" s="37" t="s">
        <v>303</v>
      </c>
      <c r="D140" s="31" t="s">
        <v>143</v>
      </c>
      <c r="E140" s="30"/>
      <c r="F140" s="102">
        <v>44959</v>
      </c>
      <c r="G140" s="29">
        <v>38</v>
      </c>
      <c r="H140" s="102">
        <f t="shared" si="8"/>
        <v>45012</v>
      </c>
      <c r="I140" s="71">
        <v>0</v>
      </c>
      <c r="J140"/>
      <c r="K140" s="50"/>
      <c r="L140" s="4"/>
      <c r="M140" s="4"/>
      <c r="N140" s="4"/>
      <c r="O140" s="4"/>
      <c r="P140" s="4"/>
      <c r="Q140" s="4"/>
      <c r="R140" s="4"/>
      <c r="S140" s="4"/>
      <c r="T140" s="4"/>
      <c r="U140" s="4"/>
      <c r="V140" s="4"/>
      <c r="W140" s="4"/>
      <c r="X140" s="4"/>
      <c r="Y140" s="4"/>
      <c r="Z140" s="4"/>
      <c r="AA140" s="4"/>
      <c r="AB140" s="7"/>
      <c r="AC140" s="7"/>
      <c r="AD140" s="7"/>
      <c r="AE140" s="7"/>
      <c r="AF140" s="7"/>
      <c r="AG140" s="7"/>
      <c r="AH140" s="7"/>
      <c r="AI140" s="7"/>
      <c r="AJ140" s="7"/>
      <c r="AK140" s="7"/>
      <c r="AL140" s="7"/>
      <c r="AM140" s="7"/>
      <c r="AN140" s="7"/>
      <c r="AO140" s="7"/>
      <c r="AP140" s="7"/>
      <c r="AQ140" s="7"/>
      <c r="AR140" s="7"/>
      <c r="AS140" s="7"/>
      <c r="AT140" s="7"/>
      <c r="AU140" s="7"/>
      <c r="AV140" s="7"/>
      <c r="AW140" s="7"/>
      <c r="AX140" s="7"/>
      <c r="AY140" s="7"/>
      <c r="AZ140" s="7"/>
      <c r="BA140" s="7"/>
      <c r="BB140" s="7"/>
      <c r="BC140" s="7"/>
      <c r="BD140" s="7"/>
      <c r="BE140" s="7"/>
      <c r="BF140" s="7"/>
      <c r="BG140" s="7"/>
      <c r="BH140" s="7"/>
      <c r="BI140" s="7"/>
      <c r="BJ140" s="7"/>
      <c r="BK140" s="51"/>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c r="DO140" s="2"/>
      <c r="DP140" s="2"/>
      <c r="DQ140" s="2"/>
      <c r="DR140" s="2"/>
      <c r="DS140" s="2"/>
      <c r="DT140" s="2"/>
      <c r="DU140" s="2"/>
      <c r="DV140" s="2"/>
      <c r="DW140" s="2"/>
      <c r="DX140" s="2"/>
      <c r="DY140" s="2"/>
      <c r="DZ140" s="2"/>
      <c r="EA140" s="2"/>
      <c r="EB140" s="2"/>
      <c r="EC140" s="2"/>
      <c r="ED140" s="2"/>
      <c r="EE140" s="2"/>
      <c r="EF140" s="2"/>
      <c r="EG140" s="2"/>
      <c r="EH140" s="2"/>
      <c r="EI140" s="2"/>
      <c r="EJ140" s="2"/>
      <c r="EK140" s="2"/>
      <c r="EL140" s="2"/>
      <c r="EM140" s="2"/>
      <c r="EN140" s="2"/>
      <c r="EO140" s="2"/>
      <c r="EP140" s="2"/>
      <c r="EQ140" s="2"/>
      <c r="ER140" s="2"/>
      <c r="ES140" s="2"/>
      <c r="ET140" s="2"/>
      <c r="EU140" s="2"/>
      <c r="EV140" s="2"/>
      <c r="EW140" s="2"/>
      <c r="EX140" s="2"/>
      <c r="EY140" s="2"/>
      <c r="EZ140" s="2"/>
      <c r="FA140" s="2"/>
      <c r="FB140" s="2"/>
      <c r="FC140" s="2"/>
      <c r="FD140" s="2"/>
      <c r="FE140" s="2"/>
      <c r="FF140" s="2"/>
      <c r="FG140" s="2"/>
      <c r="FH140" s="2"/>
      <c r="FI140" s="2"/>
      <c r="FJ140" s="2"/>
      <c r="FK140" s="2"/>
      <c r="FL140" s="2"/>
      <c r="FM140" s="2"/>
      <c r="FN140" s="2"/>
      <c r="FO140" s="2"/>
      <c r="FP140" s="2"/>
      <c r="FQ140" s="2"/>
      <c r="FR140" s="2"/>
      <c r="FS140" s="2"/>
      <c r="FT140" s="2"/>
      <c r="FU140" s="2"/>
      <c r="FV140" s="2"/>
      <c r="FW140" s="2"/>
      <c r="FX140" s="2"/>
      <c r="FY140" s="2"/>
      <c r="FZ140" s="2"/>
      <c r="GA140" s="2"/>
      <c r="GB140" s="2"/>
      <c r="GC140" s="2"/>
      <c r="GD140" s="2"/>
      <c r="GE140" s="2"/>
      <c r="GF140" s="2"/>
      <c r="GG140" s="2"/>
      <c r="GH140" s="2"/>
      <c r="GI140" s="2"/>
      <c r="GJ140" s="2"/>
      <c r="GK140" s="2"/>
      <c r="GL140" s="2"/>
      <c r="GM140" s="2"/>
      <c r="GN140" s="2"/>
      <c r="GO140" s="2"/>
      <c r="GP140" s="2"/>
      <c r="GQ140" s="2"/>
      <c r="GR140" s="2"/>
      <c r="GS140" s="2"/>
      <c r="GT140" s="2"/>
      <c r="GU140" s="2"/>
      <c r="GV140" s="2"/>
      <c r="GW140" s="2"/>
    </row>
    <row r="141" spans="1:205" s="5" customFormat="1" ht="15.6" x14ac:dyDescent="0.3">
      <c r="A141" s="60" t="s">
        <v>328</v>
      </c>
      <c r="B141" s="23" t="s">
        <v>329</v>
      </c>
      <c r="C141" s="37" t="s">
        <v>330</v>
      </c>
      <c r="D141" s="31" t="s">
        <v>305</v>
      </c>
      <c r="E141" s="30"/>
      <c r="F141" s="102">
        <v>45010</v>
      </c>
      <c r="G141" s="29">
        <v>4</v>
      </c>
      <c r="H141" s="102">
        <f t="shared" si="8"/>
        <v>45015</v>
      </c>
      <c r="I141" s="71">
        <v>0</v>
      </c>
      <c r="J141"/>
      <c r="K141" s="50"/>
      <c r="L141" s="4"/>
      <c r="M141" s="4"/>
      <c r="N141" s="4"/>
      <c r="O141" s="4"/>
      <c r="P141" s="4"/>
      <c r="Q141" s="4"/>
      <c r="R141" s="4"/>
      <c r="S141" s="4"/>
      <c r="T141" s="4"/>
      <c r="U141" s="4"/>
      <c r="V141" s="4"/>
      <c r="W141" s="4"/>
      <c r="X141" s="4"/>
      <c r="Y141" s="4"/>
      <c r="Z141" s="4"/>
      <c r="AA141" s="4"/>
      <c r="AB141" s="7"/>
      <c r="AC141" s="7"/>
      <c r="AD141" s="7"/>
      <c r="AE141" s="7"/>
      <c r="AF141" s="7"/>
      <c r="AG141" s="7"/>
      <c r="AH141" s="7"/>
      <c r="AI141" s="7"/>
      <c r="AJ141" s="7"/>
      <c r="AK141" s="7"/>
      <c r="AL141" s="7"/>
      <c r="AM141" s="7"/>
      <c r="AN141" s="7"/>
      <c r="AO141" s="7"/>
      <c r="AP141" s="7"/>
      <c r="AQ141" s="7"/>
      <c r="AR141" s="7"/>
      <c r="AS141" s="7"/>
      <c r="AT141" s="7"/>
      <c r="AU141" s="7"/>
      <c r="AV141" s="7"/>
      <c r="AW141" s="7"/>
      <c r="AX141" s="7"/>
      <c r="AY141" s="7"/>
      <c r="AZ141" s="7"/>
      <c r="BA141" s="7"/>
      <c r="BB141" s="7"/>
      <c r="BC141" s="7"/>
      <c r="BD141" s="7"/>
      <c r="BE141" s="7"/>
      <c r="BF141" s="7"/>
      <c r="BG141" s="7"/>
      <c r="BH141" s="7"/>
      <c r="BI141" s="7"/>
      <c r="BJ141" s="7"/>
      <c r="BK141" s="51"/>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c r="DO141" s="2"/>
      <c r="DP141" s="2"/>
      <c r="DQ141" s="2"/>
      <c r="DR141" s="2"/>
      <c r="DS141" s="2"/>
      <c r="DT141" s="2"/>
      <c r="DU141" s="2"/>
      <c r="DV141" s="2"/>
      <c r="DW141" s="2"/>
      <c r="DX141" s="2"/>
      <c r="DY141" s="2"/>
      <c r="DZ141" s="2"/>
      <c r="EA141" s="2"/>
      <c r="EB141" s="2"/>
      <c r="EC141" s="2"/>
      <c r="ED141" s="2"/>
      <c r="EE141" s="2"/>
      <c r="EF141" s="2"/>
      <c r="EG141" s="2"/>
      <c r="EH141" s="2"/>
      <c r="EI141" s="2"/>
      <c r="EJ141" s="2"/>
      <c r="EK141" s="2"/>
      <c r="EL141" s="2"/>
      <c r="EM141" s="2"/>
      <c r="EN141" s="2"/>
      <c r="EO141" s="2"/>
      <c r="EP141" s="2"/>
      <c r="EQ141" s="2"/>
      <c r="ER141" s="2"/>
      <c r="ES141" s="2"/>
      <c r="ET141" s="2"/>
      <c r="EU141" s="2"/>
      <c r="EV141" s="2"/>
      <c r="EW141" s="2"/>
      <c r="EX141" s="2"/>
      <c r="EY141" s="2"/>
      <c r="EZ141" s="2"/>
      <c r="FA141" s="2"/>
      <c r="FB141" s="2"/>
      <c r="FC141" s="2"/>
      <c r="FD141" s="2"/>
      <c r="FE141" s="2"/>
      <c r="FF141" s="2"/>
      <c r="FG141" s="2"/>
      <c r="FH141" s="2"/>
      <c r="FI141" s="2"/>
      <c r="FJ141" s="2"/>
      <c r="FK141" s="2"/>
      <c r="FL141" s="2"/>
      <c r="FM141" s="2"/>
      <c r="FN141" s="2"/>
      <c r="FO141" s="2"/>
      <c r="FP141" s="2"/>
      <c r="FQ141" s="2"/>
      <c r="FR141" s="2"/>
      <c r="FS141" s="2"/>
      <c r="FT141" s="2"/>
      <c r="FU141" s="2"/>
      <c r="FV141" s="2"/>
      <c r="FW141" s="2"/>
      <c r="FX141" s="2"/>
      <c r="FY141" s="2"/>
      <c r="FZ141" s="2"/>
      <c r="GA141" s="2"/>
      <c r="GB141" s="2"/>
      <c r="GC141" s="2"/>
      <c r="GD141" s="2"/>
      <c r="GE141" s="2"/>
      <c r="GF141" s="2"/>
      <c r="GG141" s="2"/>
      <c r="GH141" s="2"/>
      <c r="GI141" s="2"/>
      <c r="GJ141" s="2"/>
      <c r="GK141" s="2"/>
      <c r="GL141" s="2"/>
      <c r="GM141" s="2"/>
      <c r="GN141" s="2"/>
      <c r="GO141" s="2"/>
      <c r="GP141" s="2"/>
      <c r="GQ141" s="2"/>
      <c r="GR141" s="2"/>
      <c r="GS141" s="2"/>
      <c r="GT141" s="2"/>
      <c r="GU141" s="2"/>
      <c r="GV141" s="2"/>
      <c r="GW141" s="2"/>
    </row>
    <row r="142" spans="1:205" s="5" customFormat="1" ht="15.6" x14ac:dyDescent="0.3">
      <c r="A142" s="60" t="s">
        <v>331</v>
      </c>
      <c r="B142" s="23" t="s">
        <v>332</v>
      </c>
      <c r="C142" s="37" t="s">
        <v>333</v>
      </c>
      <c r="D142" s="31" t="s">
        <v>305</v>
      </c>
      <c r="E142" s="30"/>
      <c r="F142" s="102">
        <v>45015</v>
      </c>
      <c r="G142" s="29">
        <v>4</v>
      </c>
      <c r="H142" s="102">
        <f t="shared" si="8"/>
        <v>45020</v>
      </c>
      <c r="I142" s="71">
        <v>0</v>
      </c>
      <c r="J142"/>
      <c r="K142" s="50"/>
      <c r="L142" s="4"/>
      <c r="M142" s="4"/>
      <c r="N142" s="4"/>
      <c r="O142" s="4"/>
      <c r="P142" s="4"/>
      <c r="Q142" s="4"/>
      <c r="R142" s="4"/>
      <c r="S142" s="4"/>
      <c r="T142" s="4"/>
      <c r="U142" s="4"/>
      <c r="V142" s="4"/>
      <c r="W142" s="4"/>
      <c r="X142" s="4"/>
      <c r="Y142" s="4"/>
      <c r="Z142" s="4"/>
      <c r="AA142" s="4"/>
      <c r="AB142" s="7"/>
      <c r="AC142" s="7"/>
      <c r="AD142" s="7"/>
      <c r="AE142" s="7"/>
      <c r="AF142" s="7"/>
      <c r="AG142" s="7"/>
      <c r="AH142" s="7"/>
      <c r="AI142" s="7"/>
      <c r="AJ142" s="7"/>
      <c r="AK142" s="7"/>
      <c r="AL142" s="7"/>
      <c r="AM142" s="7"/>
      <c r="AN142" s="7"/>
      <c r="AO142" s="7"/>
      <c r="AP142" s="7"/>
      <c r="AQ142" s="7"/>
      <c r="AR142" s="7"/>
      <c r="AS142" s="7"/>
      <c r="AT142" s="7"/>
      <c r="AU142" s="7"/>
      <c r="AV142" s="7"/>
      <c r="AW142" s="7"/>
      <c r="AX142" s="7"/>
      <c r="AY142" s="7"/>
      <c r="AZ142" s="7"/>
      <c r="BA142" s="7"/>
      <c r="BB142" s="7"/>
      <c r="BC142" s="7"/>
      <c r="BD142" s="7"/>
      <c r="BE142" s="7"/>
      <c r="BF142" s="7"/>
      <c r="BG142" s="7"/>
      <c r="BH142" s="7"/>
      <c r="BI142" s="7"/>
      <c r="BJ142" s="7"/>
      <c r="BK142" s="51"/>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c r="DO142" s="2"/>
      <c r="DP142" s="2"/>
      <c r="DQ142" s="2"/>
      <c r="DR142" s="2"/>
      <c r="DS142" s="2"/>
      <c r="DT142" s="2"/>
      <c r="DU142" s="2"/>
      <c r="DV142" s="2"/>
      <c r="DW142" s="2"/>
      <c r="DX142" s="2"/>
      <c r="DY142" s="2"/>
      <c r="DZ142" s="2"/>
      <c r="EA142" s="2"/>
      <c r="EB142" s="2"/>
      <c r="EC142" s="2"/>
      <c r="ED142" s="2"/>
      <c r="EE142" s="2"/>
      <c r="EF142" s="2"/>
      <c r="EG142" s="2"/>
      <c r="EH142" s="2"/>
      <c r="EI142" s="2"/>
      <c r="EJ142" s="2"/>
      <c r="EK142" s="2"/>
      <c r="EL142" s="2"/>
      <c r="EM142" s="2"/>
      <c r="EN142" s="2"/>
      <c r="EO142" s="2"/>
      <c r="EP142" s="2"/>
      <c r="EQ142" s="2"/>
      <c r="ER142" s="2"/>
      <c r="ES142" s="2"/>
      <c r="ET142" s="2"/>
      <c r="EU142" s="2"/>
      <c r="EV142" s="2"/>
      <c r="EW142" s="2"/>
      <c r="EX142" s="2"/>
      <c r="EY142" s="2"/>
      <c r="EZ142" s="2"/>
      <c r="FA142" s="2"/>
      <c r="FB142" s="2"/>
      <c r="FC142" s="2"/>
      <c r="FD142" s="2"/>
      <c r="FE142" s="2"/>
      <c r="FF142" s="2"/>
      <c r="FG142" s="2"/>
      <c r="FH142" s="2"/>
      <c r="FI142" s="2"/>
      <c r="FJ142" s="2"/>
      <c r="FK142" s="2"/>
      <c r="FL142" s="2"/>
      <c r="FM142" s="2"/>
      <c r="FN142" s="2"/>
      <c r="FO142" s="2"/>
      <c r="FP142" s="2"/>
      <c r="FQ142" s="2"/>
      <c r="FR142" s="2"/>
      <c r="FS142" s="2"/>
      <c r="FT142" s="2"/>
      <c r="FU142" s="2"/>
      <c r="FV142" s="2"/>
      <c r="FW142" s="2"/>
      <c r="FX142" s="2"/>
      <c r="FY142" s="2"/>
      <c r="FZ142" s="2"/>
      <c r="GA142" s="2"/>
      <c r="GB142" s="2"/>
      <c r="GC142" s="2"/>
      <c r="GD142" s="2"/>
      <c r="GE142" s="2"/>
      <c r="GF142" s="2"/>
      <c r="GG142" s="2"/>
      <c r="GH142" s="2"/>
      <c r="GI142" s="2"/>
      <c r="GJ142" s="2"/>
      <c r="GK142" s="2"/>
      <c r="GL142" s="2"/>
      <c r="GM142" s="2"/>
      <c r="GN142" s="2"/>
      <c r="GO142" s="2"/>
      <c r="GP142" s="2"/>
      <c r="GQ142" s="2"/>
      <c r="GR142" s="2"/>
      <c r="GS142" s="2"/>
      <c r="GT142" s="2"/>
      <c r="GU142" s="2"/>
      <c r="GV142" s="2"/>
      <c r="GW142" s="2"/>
    </row>
    <row r="143" spans="1:205" s="5" customFormat="1" ht="15.6" x14ac:dyDescent="0.3">
      <c r="A143" s="60" t="s">
        <v>334</v>
      </c>
      <c r="B143" s="23" t="s">
        <v>335</v>
      </c>
      <c r="C143" s="37" t="s">
        <v>336</v>
      </c>
      <c r="D143" s="31" t="s">
        <v>87</v>
      </c>
      <c r="E143" s="30" t="s">
        <v>163</v>
      </c>
      <c r="F143" s="102">
        <v>44933</v>
      </c>
      <c r="G143" s="29">
        <v>0</v>
      </c>
      <c r="H143" s="102">
        <f t="shared" si="8"/>
        <v>44932</v>
      </c>
      <c r="I143" s="71">
        <v>0</v>
      </c>
      <c r="J143"/>
      <c r="K143" s="50"/>
      <c r="L143" s="4"/>
      <c r="M143" s="4"/>
      <c r="N143" s="4"/>
      <c r="O143" s="4"/>
      <c r="P143" s="4"/>
      <c r="Q143" s="4"/>
      <c r="R143" s="4"/>
      <c r="S143" s="4"/>
      <c r="T143" s="4"/>
      <c r="U143" s="4"/>
      <c r="V143" s="4"/>
      <c r="W143" s="4"/>
      <c r="X143" s="4"/>
      <c r="Y143" s="4"/>
      <c r="Z143" s="4"/>
      <c r="AA143" s="4"/>
      <c r="AB143" s="7"/>
      <c r="AC143" s="7"/>
      <c r="AD143" s="7"/>
      <c r="AE143" s="7"/>
      <c r="AF143" s="7"/>
      <c r="AG143" s="7"/>
      <c r="AH143" s="7"/>
      <c r="AI143" s="7"/>
      <c r="AJ143" s="7"/>
      <c r="AK143" s="7"/>
      <c r="AL143" s="7"/>
      <c r="AM143" s="7"/>
      <c r="AN143" s="7"/>
      <c r="AO143" s="7"/>
      <c r="AP143" s="7"/>
      <c r="AQ143" s="7"/>
      <c r="AR143" s="7"/>
      <c r="AS143" s="7"/>
      <c r="AT143" s="7"/>
      <c r="AU143" s="7"/>
      <c r="AV143" s="7"/>
      <c r="AW143" s="7"/>
      <c r="AX143" s="7"/>
      <c r="AY143" s="7"/>
      <c r="AZ143" s="7"/>
      <c r="BA143" s="7"/>
      <c r="BB143" s="7"/>
      <c r="BC143" s="7"/>
      <c r="BD143" s="7"/>
      <c r="BE143" s="7"/>
      <c r="BF143" s="7"/>
      <c r="BG143" s="7"/>
      <c r="BH143" s="7"/>
      <c r="BI143" s="7"/>
      <c r="BJ143" s="7"/>
      <c r="BK143" s="51"/>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c r="DO143" s="2"/>
      <c r="DP143" s="2"/>
      <c r="DQ143" s="2"/>
      <c r="DR143" s="2"/>
      <c r="DS143" s="2"/>
      <c r="DT143" s="2"/>
      <c r="DU143" s="2"/>
      <c r="DV143" s="2"/>
      <c r="DW143" s="2"/>
      <c r="DX143" s="2"/>
      <c r="DY143" s="2"/>
      <c r="DZ143" s="2"/>
      <c r="EA143" s="2"/>
      <c r="EB143" s="2"/>
      <c r="EC143" s="2"/>
      <c r="ED143" s="2"/>
      <c r="EE143" s="2"/>
      <c r="EF143" s="2"/>
      <c r="EG143" s="2"/>
      <c r="EH143" s="2"/>
      <c r="EI143" s="2"/>
      <c r="EJ143" s="2"/>
      <c r="EK143" s="2"/>
      <c r="EL143" s="2"/>
      <c r="EM143" s="2"/>
      <c r="EN143" s="2"/>
      <c r="EO143" s="2"/>
      <c r="EP143" s="2"/>
      <c r="EQ143" s="2"/>
      <c r="ER143" s="2"/>
      <c r="ES143" s="2"/>
      <c r="ET143" s="2"/>
      <c r="EU143" s="2"/>
      <c r="EV143" s="2"/>
      <c r="EW143" s="2"/>
      <c r="EX143" s="2"/>
      <c r="EY143" s="2"/>
      <c r="EZ143" s="2"/>
      <c r="FA143" s="2"/>
      <c r="FB143" s="2"/>
      <c r="FC143" s="2"/>
      <c r="FD143" s="2"/>
      <c r="FE143" s="2"/>
      <c r="FF143" s="2"/>
      <c r="FG143" s="2"/>
      <c r="FH143" s="2"/>
      <c r="FI143" s="2"/>
      <c r="FJ143" s="2"/>
      <c r="FK143" s="2"/>
      <c r="FL143" s="2"/>
      <c r="FM143" s="2"/>
      <c r="FN143" s="2"/>
      <c r="FO143" s="2"/>
      <c r="FP143" s="2"/>
      <c r="FQ143" s="2"/>
      <c r="FR143" s="2"/>
      <c r="FS143" s="2"/>
      <c r="FT143" s="2"/>
      <c r="FU143" s="2"/>
      <c r="FV143" s="2"/>
      <c r="FW143" s="2"/>
      <c r="FX143" s="2"/>
      <c r="FY143" s="2"/>
      <c r="FZ143" s="2"/>
      <c r="GA143" s="2"/>
      <c r="GB143" s="2"/>
      <c r="GC143" s="2"/>
      <c r="GD143" s="2"/>
      <c r="GE143" s="2"/>
      <c r="GF143" s="2"/>
      <c r="GG143" s="2"/>
      <c r="GH143" s="2"/>
      <c r="GI143" s="2"/>
      <c r="GJ143" s="2"/>
      <c r="GK143" s="2"/>
      <c r="GL143" s="2"/>
      <c r="GM143" s="2"/>
      <c r="GN143" s="2"/>
      <c r="GO143" s="2"/>
      <c r="GP143" s="2"/>
      <c r="GQ143" s="2"/>
      <c r="GR143" s="2"/>
      <c r="GS143" s="2"/>
      <c r="GT143" s="2"/>
      <c r="GU143" s="2"/>
      <c r="GV143" s="2"/>
      <c r="GW143" s="2"/>
    </row>
    <row r="144" spans="1:205" ht="15.6" x14ac:dyDescent="0.3">
      <c r="A144" s="59">
        <v>5</v>
      </c>
      <c r="B144" s="41" t="s">
        <v>337</v>
      </c>
      <c r="C144" s="42" t="s">
        <v>47</v>
      </c>
      <c r="D144" s="43"/>
      <c r="E144" s="44"/>
      <c r="F144" s="107">
        <f>MIN(F145:F158)</f>
        <v>45070</v>
      </c>
      <c r="G144" s="109">
        <f>NETWORKDAYS(F144,H144)</f>
        <v>10</v>
      </c>
      <c r="H144" s="107">
        <f>MAX(H145:H158)</f>
        <v>45083</v>
      </c>
      <c r="I144" s="70">
        <f>SUMIF(A145:A158,A144&amp;"*",I145:I158)/(COUNTIF(A144:A158,A144&amp;".*"))</f>
        <v>0</v>
      </c>
      <c r="K144" s="50"/>
      <c r="L144" s="4"/>
      <c r="M144" s="4"/>
      <c r="N144" s="4"/>
      <c r="O144" s="4"/>
      <c r="P144" s="4"/>
      <c r="Q144" s="4"/>
      <c r="R144" s="4"/>
      <c r="S144" s="4"/>
      <c r="T144" s="4"/>
      <c r="U144" s="4"/>
      <c r="V144" s="4"/>
      <c r="W144" s="4"/>
      <c r="X144" s="4"/>
      <c r="Y144" s="4"/>
      <c r="Z144" s="4"/>
      <c r="AA144" s="4"/>
      <c r="AB144" s="7"/>
      <c r="AC144" s="7"/>
      <c r="AD144" s="7"/>
      <c r="AE144" s="7"/>
      <c r="AF144" s="7"/>
      <c r="AG144" s="7"/>
      <c r="AH144" s="7"/>
      <c r="AI144" s="7"/>
      <c r="AJ144" s="7"/>
      <c r="AK144" s="7"/>
      <c r="AL144" s="7"/>
      <c r="AM144" s="7"/>
      <c r="AN144" s="7"/>
      <c r="AO144" s="7"/>
      <c r="AP144" s="7"/>
      <c r="AQ144" s="7"/>
      <c r="AR144" s="7"/>
      <c r="AS144" s="7"/>
      <c r="AT144" s="7"/>
      <c r="AU144" s="7"/>
      <c r="AV144" s="7"/>
      <c r="AW144" s="7"/>
      <c r="AX144" s="7"/>
      <c r="AY144" s="7"/>
      <c r="AZ144" s="7"/>
      <c r="BA144" s="7"/>
      <c r="BB144" s="7"/>
      <c r="BC144" s="7"/>
      <c r="BD144" s="7"/>
      <c r="BE144" s="7"/>
      <c r="BF144" s="7"/>
      <c r="BG144" s="7"/>
      <c r="BH144" s="7"/>
      <c r="BI144" s="7"/>
      <c r="BJ144" s="7"/>
      <c r="BK144" s="51"/>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c r="DO144" s="2"/>
      <c r="DP144" s="2"/>
      <c r="DQ144" s="2"/>
      <c r="DR144" s="2"/>
      <c r="DS144" s="2"/>
      <c r="DT144" s="2"/>
      <c r="DU144" s="2"/>
      <c r="DV144" s="2"/>
      <c r="DW144" s="2"/>
      <c r="DX144" s="2"/>
      <c r="DY144" s="2"/>
      <c r="DZ144" s="2"/>
      <c r="EA144" s="2"/>
      <c r="EB144" s="2"/>
      <c r="EC144" s="2"/>
      <c r="ED144" s="2"/>
      <c r="EE144" s="2"/>
      <c r="EF144" s="2"/>
      <c r="EG144" s="2"/>
      <c r="EH144" s="2"/>
      <c r="EI144" s="2"/>
      <c r="EJ144" s="2"/>
      <c r="EK144" s="2"/>
      <c r="EL144" s="2"/>
      <c r="EM144" s="2"/>
      <c r="EN144" s="2"/>
      <c r="EO144" s="2"/>
      <c r="EP144" s="2"/>
      <c r="EQ144" s="2"/>
      <c r="ER144" s="2"/>
      <c r="ES144" s="2"/>
      <c r="ET144" s="2"/>
      <c r="EU144" s="2"/>
      <c r="EV144" s="2"/>
      <c r="EW144" s="2"/>
      <c r="EX144" s="2"/>
      <c r="EY144" s="2"/>
      <c r="EZ144" s="2"/>
      <c r="FA144" s="2"/>
      <c r="FB144" s="2"/>
      <c r="FC144" s="2"/>
      <c r="FD144" s="2"/>
      <c r="FE144" s="2"/>
      <c r="FF144" s="2"/>
      <c r="FG144" s="2"/>
      <c r="FH144" s="2"/>
      <c r="FI144" s="2"/>
      <c r="FJ144" s="2"/>
      <c r="FK144" s="2"/>
      <c r="FL144" s="2"/>
      <c r="FM144" s="2"/>
      <c r="FN144" s="2"/>
      <c r="FO144" s="2"/>
      <c r="FP144" s="2"/>
      <c r="FQ144" s="2"/>
      <c r="FR144" s="2"/>
      <c r="FS144" s="2"/>
      <c r="FT144" s="2"/>
      <c r="FU144" s="2"/>
      <c r="FV144" s="2"/>
      <c r="FW144" s="2"/>
      <c r="FX144" s="2"/>
      <c r="FY144" s="2"/>
      <c r="FZ144" s="2"/>
      <c r="GA144" s="2"/>
      <c r="GB144" s="2"/>
      <c r="GC144" s="2"/>
      <c r="GD144" s="2"/>
      <c r="GE144" s="2"/>
      <c r="GF144" s="2"/>
      <c r="GG144" s="2"/>
      <c r="GH144" s="2"/>
      <c r="GI144" s="2"/>
      <c r="GJ144" s="2"/>
      <c r="GK144" s="2"/>
      <c r="GL144" s="2"/>
      <c r="GM144" s="2"/>
      <c r="GN144" s="2"/>
      <c r="GO144" s="2"/>
      <c r="GP144" s="2"/>
      <c r="GQ144" s="2"/>
      <c r="GR144" s="2"/>
      <c r="GS144" s="2"/>
      <c r="GT144" s="2"/>
      <c r="GU144" s="2"/>
      <c r="GV144" s="2"/>
      <c r="GW144" s="2"/>
    </row>
    <row r="145" spans="1:205" s="5" customFormat="1" ht="15.6" x14ac:dyDescent="0.3">
      <c r="A145" s="60" t="s">
        <v>40</v>
      </c>
      <c r="B145" s="23" t="s">
        <v>338</v>
      </c>
      <c r="C145" s="37">
        <v>4</v>
      </c>
      <c r="D145" s="31" t="s">
        <v>96</v>
      </c>
      <c r="E145" s="30"/>
      <c r="F145" s="101">
        <v>45070</v>
      </c>
      <c r="G145" s="29">
        <v>10</v>
      </c>
      <c r="H145" s="102">
        <f>IF(F145="","",WORKDAY(IF(WEEKDAY(F145,1)=7,F145+2,IF(WEEKDAY(F145,1)=1,F145+1,F145)),G145-1,))</f>
        <v>45083</v>
      </c>
      <c r="I145" s="71">
        <v>0</v>
      </c>
      <c r="J145"/>
      <c r="K145" s="50"/>
      <c r="L145" s="4"/>
      <c r="M145" s="4"/>
      <c r="N145" s="4"/>
      <c r="O145" s="4"/>
      <c r="P145" s="4"/>
      <c r="Q145" s="4"/>
      <c r="R145" s="4"/>
      <c r="S145" s="4"/>
      <c r="T145" s="4"/>
      <c r="U145" s="4"/>
      <c r="V145" s="4"/>
      <c r="W145" s="4"/>
      <c r="X145" s="4"/>
      <c r="Y145" s="4"/>
      <c r="Z145" s="4"/>
      <c r="AA145" s="4"/>
      <c r="AB145" s="7"/>
      <c r="AC145" s="7"/>
      <c r="AD145" s="7"/>
      <c r="AE145" s="7"/>
      <c r="AF145" s="7"/>
      <c r="AG145" s="7"/>
      <c r="AH145" s="7"/>
      <c r="AI145" s="7"/>
      <c r="AJ145" s="7"/>
      <c r="AK145" s="7"/>
      <c r="AL145" s="7"/>
      <c r="AM145" s="7"/>
      <c r="AN145" s="7"/>
      <c r="AO145" s="7"/>
      <c r="AP145" s="7"/>
      <c r="AQ145" s="7"/>
      <c r="AR145" s="7"/>
      <c r="AS145" s="7"/>
      <c r="AT145" s="7"/>
      <c r="AU145" s="7"/>
      <c r="AV145" s="7"/>
      <c r="AW145" s="7"/>
      <c r="AX145" s="7"/>
      <c r="AY145" s="7"/>
      <c r="AZ145" s="7"/>
      <c r="BA145" s="7"/>
      <c r="BB145" s="7"/>
      <c r="BC145" s="7"/>
      <c r="BD145" s="7"/>
      <c r="BE145" s="7"/>
      <c r="BF145" s="7"/>
      <c r="BG145" s="7"/>
      <c r="BH145" s="7"/>
      <c r="BI145" s="7"/>
      <c r="BJ145" s="7"/>
      <c r="BK145" s="51"/>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c r="DO145" s="2"/>
      <c r="DP145" s="2"/>
      <c r="DQ145" s="2"/>
      <c r="DR145" s="2"/>
      <c r="DS145" s="2"/>
      <c r="DT145" s="2"/>
      <c r="DU145" s="2"/>
      <c r="DV145" s="2"/>
      <c r="DW145" s="2"/>
      <c r="DX145" s="2"/>
      <c r="DY145" s="2"/>
      <c r="DZ145" s="2"/>
      <c r="EA145" s="2"/>
      <c r="EB145" s="2"/>
      <c r="EC145" s="2"/>
      <c r="ED145" s="2"/>
      <c r="EE145" s="2"/>
      <c r="EF145" s="2"/>
      <c r="EG145" s="2"/>
      <c r="EH145" s="2"/>
      <c r="EI145" s="2"/>
      <c r="EJ145" s="2"/>
      <c r="EK145" s="2"/>
      <c r="EL145" s="2"/>
      <c r="EM145" s="2"/>
      <c r="EN145" s="2"/>
      <c r="EO145" s="2"/>
      <c r="EP145" s="2"/>
      <c r="EQ145" s="2"/>
      <c r="ER145" s="2"/>
      <c r="ES145" s="2"/>
      <c r="ET145" s="2"/>
      <c r="EU145" s="2"/>
      <c r="EV145" s="2"/>
      <c r="EW145" s="2"/>
      <c r="EX145" s="2"/>
      <c r="EY145" s="2"/>
      <c r="EZ145" s="2"/>
      <c r="FA145" s="2"/>
      <c r="FB145" s="2"/>
      <c r="FC145" s="2"/>
      <c r="FD145" s="2"/>
      <c r="FE145" s="2"/>
      <c r="FF145" s="2"/>
      <c r="FG145" s="2"/>
      <c r="FH145" s="2"/>
      <c r="FI145" s="2"/>
      <c r="FJ145" s="2"/>
      <c r="FK145" s="2"/>
      <c r="FL145" s="2"/>
      <c r="FM145" s="2"/>
      <c r="FN145" s="2"/>
      <c r="FO145" s="2"/>
      <c r="FP145" s="2"/>
      <c r="FQ145" s="2"/>
      <c r="FR145" s="2"/>
      <c r="FS145" s="2"/>
      <c r="FT145" s="2"/>
      <c r="FU145" s="2"/>
      <c r="FV145" s="2"/>
      <c r="FW145" s="2"/>
      <c r="FX145" s="2"/>
      <c r="FY145" s="2"/>
      <c r="FZ145" s="2"/>
      <c r="GA145" s="2"/>
      <c r="GB145" s="2"/>
      <c r="GC145" s="2"/>
      <c r="GD145" s="2"/>
      <c r="GE145" s="2"/>
      <c r="GF145" s="2"/>
      <c r="GG145" s="2"/>
      <c r="GH145" s="2"/>
      <c r="GI145" s="2"/>
      <c r="GJ145" s="2"/>
      <c r="GK145" s="2"/>
      <c r="GL145" s="2"/>
      <c r="GM145" s="2"/>
      <c r="GN145" s="2"/>
      <c r="GO145" s="2"/>
      <c r="GP145" s="2"/>
      <c r="GQ145" s="2"/>
      <c r="GR145" s="2"/>
      <c r="GS145" s="2"/>
      <c r="GT145" s="2"/>
      <c r="GU145" s="2"/>
      <c r="GV145" s="2"/>
      <c r="GW145" s="2"/>
    </row>
    <row r="146" spans="1:205" s="5" customFormat="1" ht="15.6" x14ac:dyDescent="0.3">
      <c r="A146" s="60" t="s">
        <v>41</v>
      </c>
      <c r="B146" s="23" t="s">
        <v>339</v>
      </c>
      <c r="C146" s="37">
        <v>4</v>
      </c>
      <c r="D146" s="31" t="s">
        <v>99</v>
      </c>
      <c r="E146" s="30"/>
      <c r="F146" s="101">
        <v>45070</v>
      </c>
      <c r="G146" s="29">
        <v>10</v>
      </c>
      <c r="H146" s="102">
        <f t="shared" ref="H146:H157" si="9">IF(F146="","",WORKDAY(IF(WEEKDAY(F146,1)=7,F146+2,IF(WEEKDAY(F146,1)=1,F146+1,F146)),G146-1,))</f>
        <v>45083</v>
      </c>
      <c r="I146" s="71">
        <v>0</v>
      </c>
      <c r="J146"/>
      <c r="K146" s="50"/>
      <c r="L146" s="4"/>
      <c r="M146" s="4"/>
      <c r="N146" s="4"/>
      <c r="O146" s="4"/>
      <c r="P146" s="4"/>
      <c r="Q146" s="4"/>
      <c r="R146" s="4"/>
      <c r="S146" s="4"/>
      <c r="T146" s="4"/>
      <c r="U146" s="4"/>
      <c r="V146" s="4"/>
      <c r="W146" s="4"/>
      <c r="X146" s="4"/>
      <c r="Y146" s="4"/>
      <c r="Z146" s="4"/>
      <c r="AA146" s="4"/>
      <c r="AB146" s="7"/>
      <c r="AC146" s="7"/>
      <c r="AD146" s="7"/>
      <c r="AE146" s="7"/>
      <c r="AF146" s="7"/>
      <c r="AG146" s="7"/>
      <c r="AH146" s="7"/>
      <c r="AI146" s="7"/>
      <c r="AJ146" s="7"/>
      <c r="AK146" s="7"/>
      <c r="AL146" s="7"/>
      <c r="AM146" s="7"/>
      <c r="AN146" s="7"/>
      <c r="AO146" s="7"/>
      <c r="AP146" s="7"/>
      <c r="AQ146" s="7"/>
      <c r="AR146" s="7"/>
      <c r="AS146" s="7"/>
      <c r="AT146" s="7"/>
      <c r="AU146" s="7"/>
      <c r="AV146" s="7"/>
      <c r="AW146" s="7"/>
      <c r="AX146" s="7"/>
      <c r="AY146" s="7"/>
      <c r="AZ146" s="7"/>
      <c r="BA146" s="7"/>
      <c r="BB146" s="7"/>
      <c r="BC146" s="7"/>
      <c r="BD146" s="7"/>
      <c r="BE146" s="7"/>
      <c r="BF146" s="7"/>
      <c r="BG146" s="7"/>
      <c r="BH146" s="7"/>
      <c r="BI146" s="7"/>
      <c r="BJ146" s="7"/>
      <c r="BK146" s="51"/>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c r="DO146" s="2"/>
      <c r="DP146" s="2"/>
      <c r="DQ146" s="2"/>
      <c r="DR146" s="2"/>
      <c r="DS146" s="2"/>
      <c r="DT146" s="2"/>
      <c r="DU146" s="2"/>
      <c r="DV146" s="2"/>
      <c r="DW146" s="2"/>
      <c r="DX146" s="2"/>
      <c r="DY146" s="2"/>
      <c r="DZ146" s="2"/>
      <c r="EA146" s="2"/>
      <c r="EB146" s="2"/>
      <c r="EC146" s="2"/>
      <c r="ED146" s="2"/>
      <c r="EE146" s="2"/>
      <c r="EF146" s="2"/>
      <c r="EG146" s="2"/>
      <c r="EH146" s="2"/>
      <c r="EI146" s="2"/>
      <c r="EJ146" s="2"/>
      <c r="EK146" s="2"/>
      <c r="EL146" s="2"/>
      <c r="EM146" s="2"/>
      <c r="EN146" s="2"/>
      <c r="EO146" s="2"/>
      <c r="EP146" s="2"/>
      <c r="EQ146" s="2"/>
      <c r="ER146" s="2"/>
      <c r="ES146" s="2"/>
      <c r="ET146" s="2"/>
      <c r="EU146" s="2"/>
      <c r="EV146" s="2"/>
      <c r="EW146" s="2"/>
      <c r="EX146" s="2"/>
      <c r="EY146" s="2"/>
      <c r="EZ146" s="2"/>
      <c r="FA146" s="2"/>
      <c r="FB146" s="2"/>
      <c r="FC146" s="2"/>
      <c r="FD146" s="2"/>
      <c r="FE146" s="2"/>
      <c r="FF146" s="2"/>
      <c r="FG146" s="2"/>
      <c r="FH146" s="2"/>
      <c r="FI146" s="2"/>
      <c r="FJ146" s="2"/>
      <c r="FK146" s="2"/>
      <c r="FL146" s="2"/>
      <c r="FM146" s="2"/>
      <c r="FN146" s="2"/>
      <c r="FO146" s="2"/>
      <c r="FP146" s="2"/>
      <c r="FQ146" s="2"/>
      <c r="FR146" s="2"/>
      <c r="FS146" s="2"/>
      <c r="FT146" s="2"/>
      <c r="FU146" s="2"/>
      <c r="FV146" s="2"/>
      <c r="FW146" s="2"/>
      <c r="FX146" s="2"/>
      <c r="FY146" s="2"/>
      <c r="FZ146" s="2"/>
      <c r="GA146" s="2"/>
      <c r="GB146" s="2"/>
      <c r="GC146" s="2"/>
      <c r="GD146" s="2"/>
      <c r="GE146" s="2"/>
      <c r="GF146" s="2"/>
      <c r="GG146" s="2"/>
      <c r="GH146" s="2"/>
      <c r="GI146" s="2"/>
      <c r="GJ146" s="2"/>
      <c r="GK146" s="2"/>
      <c r="GL146" s="2"/>
      <c r="GM146" s="2"/>
      <c r="GN146" s="2"/>
      <c r="GO146" s="2"/>
      <c r="GP146" s="2"/>
      <c r="GQ146" s="2"/>
      <c r="GR146" s="2"/>
      <c r="GS146" s="2"/>
      <c r="GT146" s="2"/>
      <c r="GU146" s="2"/>
      <c r="GV146" s="2"/>
      <c r="GW146" s="2"/>
    </row>
    <row r="147" spans="1:205" s="5" customFormat="1" ht="15.6" x14ac:dyDescent="0.3">
      <c r="A147" s="60" t="s">
        <v>42</v>
      </c>
      <c r="B147" s="23" t="s">
        <v>340</v>
      </c>
      <c r="C147" s="37">
        <v>4</v>
      </c>
      <c r="D147" s="31" t="s">
        <v>102</v>
      </c>
      <c r="E147" s="30"/>
      <c r="F147" s="101">
        <v>45070</v>
      </c>
      <c r="G147" s="29">
        <v>10</v>
      </c>
      <c r="H147" s="102">
        <f t="shared" si="9"/>
        <v>45083</v>
      </c>
      <c r="I147" s="71">
        <v>0</v>
      </c>
      <c r="J147"/>
      <c r="K147" s="50"/>
      <c r="L147" s="4"/>
      <c r="M147" s="4"/>
      <c r="N147" s="4"/>
      <c r="O147" s="4"/>
      <c r="P147" s="4"/>
      <c r="Q147" s="4"/>
      <c r="R147" s="4"/>
      <c r="S147" s="4"/>
      <c r="T147" s="4"/>
      <c r="U147" s="4"/>
      <c r="V147" s="4"/>
      <c r="W147" s="4"/>
      <c r="X147" s="4"/>
      <c r="Y147" s="4"/>
      <c r="Z147" s="4"/>
      <c r="AA147" s="4"/>
      <c r="AB147" s="7"/>
      <c r="AC147" s="7"/>
      <c r="AD147" s="7"/>
      <c r="AE147" s="7"/>
      <c r="AF147" s="7"/>
      <c r="AG147" s="7"/>
      <c r="AH147" s="7"/>
      <c r="AI147" s="7"/>
      <c r="AJ147" s="7"/>
      <c r="AK147" s="7"/>
      <c r="AL147" s="7"/>
      <c r="AM147" s="7"/>
      <c r="AN147" s="7"/>
      <c r="AO147" s="7"/>
      <c r="AP147" s="7"/>
      <c r="AQ147" s="7"/>
      <c r="AR147" s="7"/>
      <c r="AS147" s="7"/>
      <c r="AT147" s="7"/>
      <c r="AU147" s="7"/>
      <c r="AV147" s="7"/>
      <c r="AW147" s="7"/>
      <c r="AX147" s="7"/>
      <c r="AY147" s="7"/>
      <c r="AZ147" s="7"/>
      <c r="BA147" s="7"/>
      <c r="BB147" s="7"/>
      <c r="BC147" s="7"/>
      <c r="BD147" s="7"/>
      <c r="BE147" s="7"/>
      <c r="BF147" s="7"/>
      <c r="BG147" s="7"/>
      <c r="BH147" s="7"/>
      <c r="BI147" s="7"/>
      <c r="BJ147" s="7"/>
      <c r="BK147" s="51"/>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c r="DO147" s="2"/>
      <c r="DP147" s="2"/>
      <c r="DQ147" s="2"/>
      <c r="DR147" s="2"/>
      <c r="DS147" s="2"/>
      <c r="DT147" s="2"/>
      <c r="DU147" s="2"/>
      <c r="DV147" s="2"/>
      <c r="DW147" s="2"/>
      <c r="DX147" s="2"/>
      <c r="DY147" s="2"/>
      <c r="DZ147" s="2"/>
      <c r="EA147" s="2"/>
      <c r="EB147" s="2"/>
      <c r="EC147" s="2"/>
      <c r="ED147" s="2"/>
      <c r="EE147" s="2"/>
      <c r="EF147" s="2"/>
      <c r="EG147" s="2"/>
      <c r="EH147" s="2"/>
      <c r="EI147" s="2"/>
      <c r="EJ147" s="2"/>
      <c r="EK147" s="2"/>
      <c r="EL147" s="2"/>
      <c r="EM147" s="2"/>
      <c r="EN147" s="2"/>
      <c r="EO147" s="2"/>
      <c r="EP147" s="2"/>
      <c r="EQ147" s="2"/>
      <c r="ER147" s="2"/>
      <c r="ES147" s="2"/>
      <c r="ET147" s="2"/>
      <c r="EU147" s="2"/>
      <c r="EV147" s="2"/>
      <c r="EW147" s="2"/>
      <c r="EX147" s="2"/>
      <c r="EY147" s="2"/>
      <c r="EZ147" s="2"/>
      <c r="FA147" s="2"/>
      <c r="FB147" s="2"/>
      <c r="FC147" s="2"/>
      <c r="FD147" s="2"/>
      <c r="FE147" s="2"/>
      <c r="FF147" s="2"/>
      <c r="FG147" s="2"/>
      <c r="FH147" s="2"/>
      <c r="FI147" s="2"/>
      <c r="FJ147" s="2"/>
      <c r="FK147" s="2"/>
      <c r="FL147" s="2"/>
      <c r="FM147" s="2"/>
      <c r="FN147" s="2"/>
      <c r="FO147" s="2"/>
      <c r="FP147" s="2"/>
      <c r="FQ147" s="2"/>
      <c r="FR147" s="2"/>
      <c r="FS147" s="2"/>
      <c r="FT147" s="2"/>
      <c r="FU147" s="2"/>
      <c r="FV147" s="2"/>
      <c r="FW147" s="2"/>
      <c r="FX147" s="2"/>
      <c r="FY147" s="2"/>
      <c r="FZ147" s="2"/>
      <c r="GA147" s="2"/>
      <c r="GB147" s="2"/>
      <c r="GC147" s="2"/>
      <c r="GD147" s="2"/>
      <c r="GE147" s="2"/>
      <c r="GF147" s="2"/>
      <c r="GG147" s="2"/>
      <c r="GH147" s="2"/>
      <c r="GI147" s="2"/>
      <c r="GJ147" s="2"/>
      <c r="GK147" s="2"/>
      <c r="GL147" s="2"/>
      <c r="GM147" s="2"/>
      <c r="GN147" s="2"/>
      <c r="GO147" s="2"/>
      <c r="GP147" s="2"/>
      <c r="GQ147" s="2"/>
      <c r="GR147" s="2"/>
      <c r="GS147" s="2"/>
      <c r="GT147" s="2"/>
      <c r="GU147" s="2"/>
      <c r="GV147" s="2"/>
      <c r="GW147" s="2"/>
    </row>
    <row r="148" spans="1:205" s="5" customFormat="1" ht="15.6" x14ac:dyDescent="0.3">
      <c r="A148" s="60" t="s">
        <v>43</v>
      </c>
      <c r="B148" s="23" t="s">
        <v>341</v>
      </c>
      <c r="C148" s="37">
        <v>4</v>
      </c>
      <c r="D148" s="31" t="s">
        <v>105</v>
      </c>
      <c r="E148" s="30"/>
      <c r="F148" s="101">
        <v>45070</v>
      </c>
      <c r="G148" s="29">
        <v>10</v>
      </c>
      <c r="H148" s="102">
        <f t="shared" si="9"/>
        <v>45083</v>
      </c>
      <c r="I148" s="71">
        <v>0</v>
      </c>
      <c r="J148"/>
      <c r="K148" s="50"/>
      <c r="L148" s="4"/>
      <c r="M148" s="4"/>
      <c r="N148" s="4"/>
      <c r="O148" s="4"/>
      <c r="P148" s="4"/>
      <c r="Q148" s="4"/>
      <c r="R148" s="4"/>
      <c r="S148" s="4"/>
      <c r="T148" s="4"/>
      <c r="U148" s="4"/>
      <c r="V148" s="4"/>
      <c r="W148" s="4"/>
      <c r="X148" s="4"/>
      <c r="Y148" s="4"/>
      <c r="Z148" s="4"/>
      <c r="AA148" s="4"/>
      <c r="AB148" s="7"/>
      <c r="AC148" s="7"/>
      <c r="AD148" s="7"/>
      <c r="AE148" s="7"/>
      <c r="AF148" s="7"/>
      <c r="AG148" s="7"/>
      <c r="AH148" s="7"/>
      <c r="AI148" s="7"/>
      <c r="AJ148" s="7"/>
      <c r="AK148" s="7"/>
      <c r="AL148" s="7"/>
      <c r="AM148" s="7"/>
      <c r="AN148" s="7"/>
      <c r="AO148" s="7"/>
      <c r="AP148" s="7"/>
      <c r="AQ148" s="7"/>
      <c r="AR148" s="7"/>
      <c r="AS148" s="7"/>
      <c r="AT148" s="7"/>
      <c r="AU148" s="7"/>
      <c r="AV148" s="7"/>
      <c r="AW148" s="7"/>
      <c r="AX148" s="7"/>
      <c r="AY148" s="7"/>
      <c r="AZ148" s="7"/>
      <c r="BA148" s="7"/>
      <c r="BB148" s="7"/>
      <c r="BC148" s="7"/>
      <c r="BD148" s="7"/>
      <c r="BE148" s="7"/>
      <c r="BF148" s="7"/>
      <c r="BG148" s="7"/>
      <c r="BH148" s="7"/>
      <c r="BI148" s="7"/>
      <c r="BJ148" s="7"/>
      <c r="BK148" s="51"/>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c r="DO148" s="2"/>
      <c r="DP148" s="2"/>
      <c r="DQ148" s="2"/>
      <c r="DR148" s="2"/>
      <c r="DS148" s="2"/>
      <c r="DT148" s="2"/>
      <c r="DU148" s="2"/>
      <c r="DV148" s="2"/>
      <c r="DW148" s="2"/>
      <c r="DX148" s="2"/>
      <c r="DY148" s="2"/>
      <c r="DZ148" s="2"/>
      <c r="EA148" s="2"/>
      <c r="EB148" s="2"/>
      <c r="EC148" s="2"/>
      <c r="ED148" s="2"/>
      <c r="EE148" s="2"/>
      <c r="EF148" s="2"/>
      <c r="EG148" s="2"/>
      <c r="EH148" s="2"/>
      <c r="EI148" s="2"/>
      <c r="EJ148" s="2"/>
      <c r="EK148" s="2"/>
      <c r="EL148" s="2"/>
      <c r="EM148" s="2"/>
      <c r="EN148" s="2"/>
      <c r="EO148" s="2"/>
      <c r="EP148" s="2"/>
      <c r="EQ148" s="2"/>
      <c r="ER148" s="2"/>
      <c r="ES148" s="2"/>
      <c r="ET148" s="2"/>
      <c r="EU148" s="2"/>
      <c r="EV148" s="2"/>
      <c r="EW148" s="2"/>
      <c r="EX148" s="2"/>
      <c r="EY148" s="2"/>
      <c r="EZ148" s="2"/>
      <c r="FA148" s="2"/>
      <c r="FB148" s="2"/>
      <c r="FC148" s="2"/>
      <c r="FD148" s="2"/>
      <c r="FE148" s="2"/>
      <c r="FF148" s="2"/>
      <c r="FG148" s="2"/>
      <c r="FH148" s="2"/>
      <c r="FI148" s="2"/>
      <c r="FJ148" s="2"/>
      <c r="FK148" s="2"/>
      <c r="FL148" s="2"/>
      <c r="FM148" s="2"/>
      <c r="FN148" s="2"/>
      <c r="FO148" s="2"/>
      <c r="FP148" s="2"/>
      <c r="FQ148" s="2"/>
      <c r="FR148" s="2"/>
      <c r="FS148" s="2"/>
      <c r="FT148" s="2"/>
      <c r="FU148" s="2"/>
      <c r="FV148" s="2"/>
      <c r="FW148" s="2"/>
      <c r="FX148" s="2"/>
      <c r="FY148" s="2"/>
      <c r="FZ148" s="2"/>
      <c r="GA148" s="2"/>
      <c r="GB148" s="2"/>
      <c r="GC148" s="2"/>
      <c r="GD148" s="2"/>
      <c r="GE148" s="2"/>
      <c r="GF148" s="2"/>
      <c r="GG148" s="2"/>
      <c r="GH148" s="2"/>
      <c r="GI148" s="2"/>
      <c r="GJ148" s="2"/>
      <c r="GK148" s="2"/>
      <c r="GL148" s="2"/>
      <c r="GM148" s="2"/>
      <c r="GN148" s="2"/>
      <c r="GO148" s="2"/>
      <c r="GP148" s="2"/>
      <c r="GQ148" s="2"/>
      <c r="GR148" s="2"/>
      <c r="GS148" s="2"/>
      <c r="GT148" s="2"/>
      <c r="GU148" s="2"/>
      <c r="GV148" s="2"/>
      <c r="GW148" s="2"/>
    </row>
    <row r="149" spans="1:205" s="5" customFormat="1" ht="15.6" x14ac:dyDescent="0.3">
      <c r="A149" s="60" t="s">
        <v>44</v>
      </c>
      <c r="B149" s="23" t="s">
        <v>342</v>
      </c>
      <c r="C149" s="37">
        <v>4</v>
      </c>
      <c r="D149" s="31" t="s">
        <v>93</v>
      </c>
      <c r="E149" s="30"/>
      <c r="F149" s="101">
        <v>45070</v>
      </c>
      <c r="G149" s="29">
        <v>10</v>
      </c>
      <c r="H149" s="102">
        <f t="shared" si="9"/>
        <v>45083</v>
      </c>
      <c r="I149" s="71">
        <v>0</v>
      </c>
      <c r="J149"/>
      <c r="K149" s="50"/>
      <c r="L149" s="4"/>
      <c r="M149" s="4"/>
      <c r="N149" s="4"/>
      <c r="O149" s="4"/>
      <c r="P149" s="4"/>
      <c r="Q149" s="4"/>
      <c r="R149" s="4"/>
      <c r="S149" s="4"/>
      <c r="T149" s="4"/>
      <c r="U149" s="4"/>
      <c r="V149" s="4"/>
      <c r="W149" s="4"/>
      <c r="X149" s="4"/>
      <c r="Y149" s="4"/>
      <c r="Z149" s="4"/>
      <c r="AA149" s="4"/>
      <c r="AB149" s="7"/>
      <c r="AC149" s="7"/>
      <c r="AD149" s="7"/>
      <c r="AE149" s="7"/>
      <c r="AF149" s="7"/>
      <c r="AG149" s="7"/>
      <c r="AH149" s="7"/>
      <c r="AI149" s="7"/>
      <c r="AJ149" s="7"/>
      <c r="AK149" s="7"/>
      <c r="AL149" s="7"/>
      <c r="AM149" s="7"/>
      <c r="AN149" s="7"/>
      <c r="AO149" s="7"/>
      <c r="AP149" s="7"/>
      <c r="AQ149" s="7"/>
      <c r="AR149" s="7"/>
      <c r="AS149" s="7"/>
      <c r="AT149" s="7"/>
      <c r="AU149" s="7"/>
      <c r="AV149" s="7"/>
      <c r="AW149" s="7"/>
      <c r="AX149" s="7"/>
      <c r="AY149" s="7"/>
      <c r="AZ149" s="7"/>
      <c r="BA149" s="7"/>
      <c r="BB149" s="7"/>
      <c r="BC149" s="7"/>
      <c r="BD149" s="7"/>
      <c r="BE149" s="7"/>
      <c r="BF149" s="7"/>
      <c r="BG149" s="7"/>
      <c r="BH149" s="7"/>
      <c r="BI149" s="7"/>
      <c r="BJ149" s="7"/>
      <c r="BK149" s="51"/>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c r="DO149" s="2"/>
      <c r="DP149" s="2"/>
      <c r="DQ149" s="2"/>
      <c r="DR149" s="2"/>
      <c r="DS149" s="2"/>
      <c r="DT149" s="2"/>
      <c r="DU149" s="2"/>
      <c r="DV149" s="2"/>
      <c r="DW149" s="2"/>
      <c r="DX149" s="2"/>
      <c r="DY149" s="2"/>
      <c r="DZ149" s="2"/>
      <c r="EA149" s="2"/>
      <c r="EB149" s="2"/>
      <c r="EC149" s="2"/>
      <c r="ED149" s="2"/>
      <c r="EE149" s="2"/>
      <c r="EF149" s="2"/>
      <c r="EG149" s="2"/>
      <c r="EH149" s="2"/>
      <c r="EI149" s="2"/>
      <c r="EJ149" s="2"/>
      <c r="EK149" s="2"/>
      <c r="EL149" s="2"/>
      <c r="EM149" s="2"/>
      <c r="EN149" s="2"/>
      <c r="EO149" s="2"/>
      <c r="EP149" s="2"/>
      <c r="EQ149" s="2"/>
      <c r="ER149" s="2"/>
      <c r="ES149" s="2"/>
      <c r="ET149" s="2"/>
      <c r="EU149" s="2"/>
      <c r="EV149" s="2"/>
      <c r="EW149" s="2"/>
      <c r="EX149" s="2"/>
      <c r="EY149" s="2"/>
      <c r="EZ149" s="2"/>
      <c r="FA149" s="2"/>
      <c r="FB149" s="2"/>
      <c r="FC149" s="2"/>
      <c r="FD149" s="2"/>
      <c r="FE149" s="2"/>
      <c r="FF149" s="2"/>
      <c r="FG149" s="2"/>
      <c r="FH149" s="2"/>
      <c r="FI149" s="2"/>
      <c r="FJ149" s="2"/>
      <c r="FK149" s="2"/>
      <c r="FL149" s="2"/>
      <c r="FM149" s="2"/>
      <c r="FN149" s="2"/>
      <c r="FO149" s="2"/>
      <c r="FP149" s="2"/>
      <c r="FQ149" s="2"/>
      <c r="FR149" s="2"/>
      <c r="FS149" s="2"/>
      <c r="FT149" s="2"/>
      <c r="FU149" s="2"/>
      <c r="FV149" s="2"/>
      <c r="FW149" s="2"/>
      <c r="FX149" s="2"/>
      <c r="FY149" s="2"/>
      <c r="FZ149" s="2"/>
      <c r="GA149" s="2"/>
      <c r="GB149" s="2"/>
      <c r="GC149" s="2"/>
      <c r="GD149" s="2"/>
      <c r="GE149" s="2"/>
      <c r="GF149" s="2"/>
      <c r="GG149" s="2"/>
      <c r="GH149" s="2"/>
      <c r="GI149" s="2"/>
      <c r="GJ149" s="2"/>
      <c r="GK149" s="2"/>
      <c r="GL149" s="2"/>
      <c r="GM149" s="2"/>
      <c r="GN149" s="2"/>
      <c r="GO149" s="2"/>
      <c r="GP149" s="2"/>
      <c r="GQ149" s="2"/>
      <c r="GR149" s="2"/>
      <c r="GS149" s="2"/>
      <c r="GT149" s="2"/>
      <c r="GU149" s="2"/>
      <c r="GV149" s="2"/>
      <c r="GW149" s="2"/>
    </row>
    <row r="150" spans="1:205" s="5" customFormat="1" ht="15.6" x14ac:dyDescent="0.3">
      <c r="A150" s="60" t="s">
        <v>343</v>
      </c>
      <c r="B150" s="23" t="s">
        <v>344</v>
      </c>
      <c r="C150" s="37">
        <v>4</v>
      </c>
      <c r="D150" s="31" t="s">
        <v>96</v>
      </c>
      <c r="E150" s="30" t="s">
        <v>345</v>
      </c>
      <c r="F150" s="101">
        <v>45070</v>
      </c>
      <c r="G150" s="29">
        <v>10</v>
      </c>
      <c r="H150" s="102">
        <f t="shared" si="9"/>
        <v>45083</v>
      </c>
      <c r="I150" s="71">
        <v>0</v>
      </c>
      <c r="J150"/>
      <c r="K150" s="50"/>
      <c r="L150" s="4"/>
      <c r="M150" s="4"/>
      <c r="N150" s="4"/>
      <c r="O150" s="4"/>
      <c r="P150" s="4"/>
      <c r="Q150" s="4"/>
      <c r="R150" s="4"/>
      <c r="S150" s="4"/>
      <c r="T150" s="4"/>
      <c r="U150" s="4"/>
      <c r="V150" s="4"/>
      <c r="W150" s="4"/>
      <c r="X150" s="4"/>
      <c r="Y150" s="4"/>
      <c r="Z150" s="4"/>
      <c r="AA150" s="4"/>
      <c r="AB150" s="7"/>
      <c r="AC150" s="7"/>
      <c r="AD150" s="7"/>
      <c r="AE150" s="7"/>
      <c r="AF150" s="7"/>
      <c r="AG150" s="7"/>
      <c r="AH150" s="7"/>
      <c r="AI150" s="7"/>
      <c r="AJ150" s="7"/>
      <c r="AK150" s="7"/>
      <c r="AL150" s="7"/>
      <c r="AM150" s="7"/>
      <c r="AN150" s="7"/>
      <c r="AO150" s="7"/>
      <c r="AP150" s="7"/>
      <c r="AQ150" s="7"/>
      <c r="AR150" s="7"/>
      <c r="AS150" s="7"/>
      <c r="AT150" s="7"/>
      <c r="AU150" s="7"/>
      <c r="AV150" s="7"/>
      <c r="AW150" s="7"/>
      <c r="AX150" s="7"/>
      <c r="AY150" s="7"/>
      <c r="AZ150" s="7"/>
      <c r="BA150" s="7"/>
      <c r="BB150" s="7"/>
      <c r="BC150" s="7"/>
      <c r="BD150" s="7"/>
      <c r="BE150" s="7"/>
      <c r="BF150" s="7"/>
      <c r="BG150" s="7"/>
      <c r="BH150" s="7"/>
      <c r="BI150" s="7"/>
      <c r="BJ150" s="7"/>
      <c r="BK150" s="51"/>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c r="DO150" s="2"/>
      <c r="DP150" s="2"/>
      <c r="DQ150" s="2"/>
      <c r="DR150" s="2"/>
      <c r="DS150" s="2"/>
      <c r="DT150" s="2"/>
      <c r="DU150" s="2"/>
      <c r="DV150" s="2"/>
      <c r="DW150" s="2"/>
      <c r="DX150" s="2"/>
      <c r="DY150" s="2"/>
      <c r="DZ150" s="2"/>
      <c r="EA150" s="2"/>
      <c r="EB150" s="2"/>
      <c r="EC150" s="2"/>
      <c r="ED150" s="2"/>
      <c r="EE150" s="2"/>
      <c r="EF150" s="2"/>
      <c r="EG150" s="2"/>
      <c r="EH150" s="2"/>
      <c r="EI150" s="2"/>
      <c r="EJ150" s="2"/>
      <c r="EK150" s="2"/>
      <c r="EL150" s="2"/>
      <c r="EM150" s="2"/>
      <c r="EN150" s="2"/>
      <c r="EO150" s="2"/>
      <c r="EP150" s="2"/>
      <c r="EQ150" s="2"/>
      <c r="ER150" s="2"/>
      <c r="ES150" s="2"/>
      <c r="ET150" s="2"/>
      <c r="EU150" s="2"/>
      <c r="EV150" s="2"/>
      <c r="EW150" s="2"/>
      <c r="EX150" s="2"/>
      <c r="EY150" s="2"/>
      <c r="EZ150" s="2"/>
      <c r="FA150" s="2"/>
      <c r="FB150" s="2"/>
      <c r="FC150" s="2"/>
      <c r="FD150" s="2"/>
      <c r="FE150" s="2"/>
      <c r="FF150" s="2"/>
      <c r="FG150" s="2"/>
      <c r="FH150" s="2"/>
      <c r="FI150" s="2"/>
      <c r="FJ150" s="2"/>
      <c r="FK150" s="2"/>
      <c r="FL150" s="2"/>
      <c r="FM150" s="2"/>
      <c r="FN150" s="2"/>
      <c r="FO150" s="2"/>
      <c r="FP150" s="2"/>
      <c r="FQ150" s="2"/>
      <c r="FR150" s="2"/>
      <c r="FS150" s="2"/>
      <c r="FT150" s="2"/>
      <c r="FU150" s="2"/>
      <c r="FV150" s="2"/>
      <c r="FW150" s="2"/>
      <c r="FX150" s="2"/>
      <c r="FY150" s="2"/>
      <c r="FZ150" s="2"/>
      <c r="GA150" s="2"/>
      <c r="GB150" s="2"/>
      <c r="GC150" s="2"/>
      <c r="GD150" s="2"/>
      <c r="GE150" s="2"/>
      <c r="GF150" s="2"/>
      <c r="GG150" s="2"/>
      <c r="GH150" s="2"/>
      <c r="GI150" s="2"/>
      <c r="GJ150" s="2"/>
      <c r="GK150" s="2"/>
      <c r="GL150" s="2"/>
      <c r="GM150" s="2"/>
      <c r="GN150" s="2"/>
      <c r="GO150" s="2"/>
      <c r="GP150" s="2"/>
      <c r="GQ150" s="2"/>
      <c r="GR150" s="2"/>
      <c r="GS150" s="2"/>
      <c r="GT150" s="2"/>
      <c r="GU150" s="2"/>
      <c r="GV150" s="2"/>
      <c r="GW150" s="2"/>
    </row>
    <row r="151" spans="1:205" s="5" customFormat="1" ht="15.6" x14ac:dyDescent="0.3">
      <c r="A151" s="60" t="s">
        <v>346</v>
      </c>
      <c r="B151" s="23" t="s">
        <v>347</v>
      </c>
      <c r="C151" s="37">
        <v>4</v>
      </c>
      <c r="D151" s="31" t="s">
        <v>99</v>
      </c>
      <c r="E151" s="30" t="s">
        <v>345</v>
      </c>
      <c r="F151" s="101">
        <v>45070</v>
      </c>
      <c r="G151" s="29">
        <v>10</v>
      </c>
      <c r="H151" s="102">
        <f t="shared" si="9"/>
        <v>45083</v>
      </c>
      <c r="I151" s="71">
        <v>0</v>
      </c>
      <c r="J151"/>
      <c r="K151" s="50"/>
      <c r="L151" s="4"/>
      <c r="M151" s="4"/>
      <c r="N151" s="4"/>
      <c r="O151" s="4"/>
      <c r="P151" s="4"/>
      <c r="Q151" s="4"/>
      <c r="R151" s="4"/>
      <c r="S151" s="4"/>
      <c r="T151" s="4"/>
      <c r="U151" s="4"/>
      <c r="V151" s="4"/>
      <c r="W151" s="4"/>
      <c r="X151" s="4"/>
      <c r="Y151" s="4"/>
      <c r="Z151" s="4"/>
      <c r="AA151" s="4"/>
      <c r="AB151" s="7"/>
      <c r="AC151" s="7"/>
      <c r="AD151" s="7"/>
      <c r="AE151" s="7"/>
      <c r="AF151" s="7"/>
      <c r="AG151" s="7"/>
      <c r="AH151" s="7"/>
      <c r="AI151" s="7"/>
      <c r="AJ151" s="7"/>
      <c r="AK151" s="7"/>
      <c r="AL151" s="7"/>
      <c r="AM151" s="7"/>
      <c r="AN151" s="7"/>
      <c r="AO151" s="7"/>
      <c r="AP151" s="7"/>
      <c r="AQ151" s="7"/>
      <c r="AR151" s="7"/>
      <c r="AS151" s="7"/>
      <c r="AT151" s="7"/>
      <c r="AU151" s="7"/>
      <c r="AV151" s="7"/>
      <c r="AW151" s="7"/>
      <c r="AX151" s="7"/>
      <c r="AY151" s="7"/>
      <c r="AZ151" s="7"/>
      <c r="BA151" s="7"/>
      <c r="BB151" s="7"/>
      <c r="BC151" s="7"/>
      <c r="BD151" s="7"/>
      <c r="BE151" s="7"/>
      <c r="BF151" s="7"/>
      <c r="BG151" s="7"/>
      <c r="BH151" s="7"/>
      <c r="BI151" s="7"/>
      <c r="BJ151" s="7"/>
      <c r="BK151" s="51"/>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c r="DO151" s="2"/>
      <c r="DP151" s="2"/>
      <c r="DQ151" s="2"/>
      <c r="DR151" s="2"/>
      <c r="DS151" s="2"/>
      <c r="DT151" s="2"/>
      <c r="DU151" s="2"/>
      <c r="DV151" s="2"/>
      <c r="DW151" s="2"/>
      <c r="DX151" s="2"/>
      <c r="DY151" s="2"/>
      <c r="DZ151" s="2"/>
      <c r="EA151" s="2"/>
      <c r="EB151" s="2"/>
      <c r="EC151" s="2"/>
      <c r="ED151" s="2"/>
      <c r="EE151" s="2"/>
      <c r="EF151" s="2"/>
      <c r="EG151" s="2"/>
      <c r="EH151" s="2"/>
      <c r="EI151" s="2"/>
      <c r="EJ151" s="2"/>
      <c r="EK151" s="2"/>
      <c r="EL151" s="2"/>
      <c r="EM151" s="2"/>
      <c r="EN151" s="2"/>
      <c r="EO151" s="2"/>
      <c r="EP151" s="2"/>
      <c r="EQ151" s="2"/>
      <c r="ER151" s="2"/>
      <c r="ES151" s="2"/>
      <c r="ET151" s="2"/>
      <c r="EU151" s="2"/>
      <c r="EV151" s="2"/>
      <c r="EW151" s="2"/>
      <c r="EX151" s="2"/>
      <c r="EY151" s="2"/>
      <c r="EZ151" s="2"/>
      <c r="FA151" s="2"/>
      <c r="FB151" s="2"/>
      <c r="FC151" s="2"/>
      <c r="FD151" s="2"/>
      <c r="FE151" s="2"/>
      <c r="FF151" s="2"/>
      <c r="FG151" s="2"/>
      <c r="FH151" s="2"/>
      <c r="FI151" s="2"/>
      <c r="FJ151" s="2"/>
      <c r="FK151" s="2"/>
      <c r="FL151" s="2"/>
      <c r="FM151" s="2"/>
      <c r="FN151" s="2"/>
      <c r="FO151" s="2"/>
      <c r="FP151" s="2"/>
      <c r="FQ151" s="2"/>
      <c r="FR151" s="2"/>
      <c r="FS151" s="2"/>
      <c r="FT151" s="2"/>
      <c r="FU151" s="2"/>
      <c r="FV151" s="2"/>
      <c r="FW151" s="2"/>
      <c r="FX151" s="2"/>
      <c r="FY151" s="2"/>
      <c r="FZ151" s="2"/>
      <c r="GA151" s="2"/>
      <c r="GB151" s="2"/>
      <c r="GC151" s="2"/>
      <c r="GD151" s="2"/>
      <c r="GE151" s="2"/>
      <c r="GF151" s="2"/>
      <c r="GG151" s="2"/>
      <c r="GH151" s="2"/>
      <c r="GI151" s="2"/>
      <c r="GJ151" s="2"/>
      <c r="GK151" s="2"/>
      <c r="GL151" s="2"/>
      <c r="GM151" s="2"/>
      <c r="GN151" s="2"/>
      <c r="GO151" s="2"/>
      <c r="GP151" s="2"/>
      <c r="GQ151" s="2"/>
      <c r="GR151" s="2"/>
      <c r="GS151" s="2"/>
      <c r="GT151" s="2"/>
      <c r="GU151" s="2"/>
      <c r="GV151" s="2"/>
      <c r="GW151" s="2"/>
    </row>
    <row r="152" spans="1:205" s="5" customFormat="1" ht="15.6" x14ac:dyDescent="0.3">
      <c r="A152" s="60" t="s">
        <v>348</v>
      </c>
      <c r="B152" s="23" t="s">
        <v>349</v>
      </c>
      <c r="C152" s="37">
        <v>4</v>
      </c>
      <c r="D152" s="31" t="s">
        <v>102</v>
      </c>
      <c r="E152" s="30" t="s">
        <v>345</v>
      </c>
      <c r="F152" s="101">
        <v>45070</v>
      </c>
      <c r="G152" s="29">
        <v>10</v>
      </c>
      <c r="H152" s="102">
        <f t="shared" si="9"/>
        <v>45083</v>
      </c>
      <c r="I152" s="71">
        <v>0</v>
      </c>
      <c r="J152"/>
      <c r="K152" s="50"/>
      <c r="L152" s="4"/>
      <c r="M152" s="4"/>
      <c r="N152" s="4"/>
      <c r="O152" s="4"/>
      <c r="P152" s="4"/>
      <c r="Q152" s="4"/>
      <c r="R152" s="4"/>
      <c r="S152" s="4"/>
      <c r="T152" s="4"/>
      <c r="U152" s="4"/>
      <c r="V152" s="4"/>
      <c r="W152" s="4"/>
      <c r="X152" s="4"/>
      <c r="Y152" s="4"/>
      <c r="Z152" s="4"/>
      <c r="AA152" s="4"/>
      <c r="AB152" s="7"/>
      <c r="AC152" s="7"/>
      <c r="AD152" s="7"/>
      <c r="AE152" s="7"/>
      <c r="AF152" s="7"/>
      <c r="AG152" s="7"/>
      <c r="AH152" s="7"/>
      <c r="AI152" s="7"/>
      <c r="AJ152" s="7"/>
      <c r="AK152" s="7"/>
      <c r="AL152" s="7"/>
      <c r="AM152" s="7"/>
      <c r="AN152" s="7"/>
      <c r="AO152" s="7"/>
      <c r="AP152" s="7"/>
      <c r="AQ152" s="7"/>
      <c r="AR152" s="7"/>
      <c r="AS152" s="7"/>
      <c r="AT152" s="7"/>
      <c r="AU152" s="7"/>
      <c r="AV152" s="7"/>
      <c r="AW152" s="7"/>
      <c r="AX152" s="7"/>
      <c r="AY152" s="7"/>
      <c r="AZ152" s="7"/>
      <c r="BA152" s="7"/>
      <c r="BB152" s="7"/>
      <c r="BC152" s="7"/>
      <c r="BD152" s="7"/>
      <c r="BE152" s="7"/>
      <c r="BF152" s="7"/>
      <c r="BG152" s="7"/>
      <c r="BH152" s="7"/>
      <c r="BI152" s="7"/>
      <c r="BJ152" s="7"/>
      <c r="BK152" s="51"/>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c r="DO152" s="2"/>
      <c r="DP152" s="2"/>
      <c r="DQ152" s="2"/>
      <c r="DR152" s="2"/>
      <c r="DS152" s="2"/>
      <c r="DT152" s="2"/>
      <c r="DU152" s="2"/>
      <c r="DV152" s="2"/>
      <c r="DW152" s="2"/>
      <c r="DX152" s="2"/>
      <c r="DY152" s="2"/>
      <c r="DZ152" s="2"/>
      <c r="EA152" s="2"/>
      <c r="EB152" s="2"/>
      <c r="EC152" s="2"/>
      <c r="ED152" s="2"/>
      <c r="EE152" s="2"/>
      <c r="EF152" s="2"/>
      <c r="EG152" s="2"/>
      <c r="EH152" s="2"/>
      <c r="EI152" s="2"/>
      <c r="EJ152" s="2"/>
      <c r="EK152" s="2"/>
      <c r="EL152" s="2"/>
      <c r="EM152" s="2"/>
      <c r="EN152" s="2"/>
      <c r="EO152" s="2"/>
      <c r="EP152" s="2"/>
      <c r="EQ152" s="2"/>
      <c r="ER152" s="2"/>
      <c r="ES152" s="2"/>
      <c r="ET152" s="2"/>
      <c r="EU152" s="2"/>
      <c r="EV152" s="2"/>
      <c r="EW152" s="2"/>
      <c r="EX152" s="2"/>
      <c r="EY152" s="2"/>
      <c r="EZ152" s="2"/>
      <c r="FA152" s="2"/>
      <c r="FB152" s="2"/>
      <c r="FC152" s="2"/>
      <c r="FD152" s="2"/>
      <c r="FE152" s="2"/>
      <c r="FF152" s="2"/>
      <c r="FG152" s="2"/>
      <c r="FH152" s="2"/>
      <c r="FI152" s="2"/>
      <c r="FJ152" s="2"/>
      <c r="FK152" s="2"/>
      <c r="FL152" s="2"/>
      <c r="FM152" s="2"/>
      <c r="FN152" s="2"/>
      <c r="FO152" s="2"/>
      <c r="FP152" s="2"/>
      <c r="FQ152" s="2"/>
      <c r="FR152" s="2"/>
      <c r="FS152" s="2"/>
      <c r="FT152" s="2"/>
      <c r="FU152" s="2"/>
      <c r="FV152" s="2"/>
      <c r="FW152" s="2"/>
      <c r="FX152" s="2"/>
      <c r="FY152" s="2"/>
      <c r="FZ152" s="2"/>
      <c r="GA152" s="2"/>
      <c r="GB152" s="2"/>
      <c r="GC152" s="2"/>
      <c r="GD152" s="2"/>
      <c r="GE152" s="2"/>
      <c r="GF152" s="2"/>
      <c r="GG152" s="2"/>
      <c r="GH152" s="2"/>
      <c r="GI152" s="2"/>
      <c r="GJ152" s="2"/>
      <c r="GK152" s="2"/>
      <c r="GL152" s="2"/>
      <c r="GM152" s="2"/>
      <c r="GN152" s="2"/>
      <c r="GO152" s="2"/>
      <c r="GP152" s="2"/>
      <c r="GQ152" s="2"/>
      <c r="GR152" s="2"/>
      <c r="GS152" s="2"/>
      <c r="GT152" s="2"/>
      <c r="GU152" s="2"/>
      <c r="GV152" s="2"/>
      <c r="GW152" s="2"/>
    </row>
    <row r="153" spans="1:205" s="5" customFormat="1" ht="15.6" x14ac:dyDescent="0.3">
      <c r="A153" s="60" t="s">
        <v>350</v>
      </c>
      <c r="B153" s="23" t="s">
        <v>351</v>
      </c>
      <c r="C153" s="37">
        <v>4</v>
      </c>
      <c r="D153" s="31" t="s">
        <v>105</v>
      </c>
      <c r="E153" s="30" t="s">
        <v>345</v>
      </c>
      <c r="F153" s="101">
        <v>45070</v>
      </c>
      <c r="G153" s="29">
        <v>10</v>
      </c>
      <c r="H153" s="102">
        <f t="shared" si="9"/>
        <v>45083</v>
      </c>
      <c r="I153" s="71">
        <v>0</v>
      </c>
      <c r="J153"/>
      <c r="K153" s="50"/>
      <c r="L153" s="4"/>
      <c r="M153" s="4"/>
      <c r="N153" s="4"/>
      <c r="O153" s="4"/>
      <c r="P153" s="4"/>
      <c r="Q153" s="4"/>
      <c r="R153" s="4"/>
      <c r="S153" s="4"/>
      <c r="T153" s="4"/>
      <c r="U153" s="4"/>
      <c r="V153" s="4"/>
      <c r="W153" s="4"/>
      <c r="X153" s="4"/>
      <c r="Y153" s="4"/>
      <c r="Z153" s="4"/>
      <c r="AA153" s="4"/>
      <c r="AB153" s="7"/>
      <c r="AC153" s="7"/>
      <c r="AD153" s="7"/>
      <c r="AE153" s="7"/>
      <c r="AF153" s="7"/>
      <c r="AG153" s="7"/>
      <c r="AH153" s="7"/>
      <c r="AI153" s="7"/>
      <c r="AJ153" s="7"/>
      <c r="AK153" s="7"/>
      <c r="AL153" s="7"/>
      <c r="AM153" s="7"/>
      <c r="AN153" s="7"/>
      <c r="AO153" s="7"/>
      <c r="AP153" s="7"/>
      <c r="AQ153" s="7"/>
      <c r="AR153" s="7"/>
      <c r="AS153" s="7"/>
      <c r="AT153" s="7"/>
      <c r="AU153" s="7"/>
      <c r="AV153" s="7"/>
      <c r="AW153" s="7"/>
      <c r="AX153" s="7"/>
      <c r="AY153" s="7"/>
      <c r="AZ153" s="7"/>
      <c r="BA153" s="7"/>
      <c r="BB153" s="7"/>
      <c r="BC153" s="7"/>
      <c r="BD153" s="7"/>
      <c r="BE153" s="7"/>
      <c r="BF153" s="7"/>
      <c r="BG153" s="7"/>
      <c r="BH153" s="7"/>
      <c r="BI153" s="7"/>
      <c r="BJ153" s="7"/>
      <c r="BK153" s="51"/>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c r="DO153" s="2"/>
      <c r="DP153" s="2"/>
      <c r="DQ153" s="2"/>
      <c r="DR153" s="2"/>
      <c r="DS153" s="2"/>
      <c r="DT153" s="2"/>
      <c r="DU153" s="2"/>
      <c r="DV153" s="2"/>
      <c r="DW153" s="2"/>
      <c r="DX153" s="2"/>
      <c r="DY153" s="2"/>
      <c r="DZ153" s="2"/>
      <c r="EA153" s="2"/>
      <c r="EB153" s="2"/>
      <c r="EC153" s="2"/>
      <c r="ED153" s="2"/>
      <c r="EE153" s="2"/>
      <c r="EF153" s="2"/>
      <c r="EG153" s="2"/>
      <c r="EH153" s="2"/>
      <c r="EI153" s="2"/>
      <c r="EJ153" s="2"/>
      <c r="EK153" s="2"/>
      <c r="EL153" s="2"/>
      <c r="EM153" s="2"/>
      <c r="EN153" s="2"/>
      <c r="EO153" s="2"/>
      <c r="EP153" s="2"/>
      <c r="EQ153" s="2"/>
      <c r="ER153" s="2"/>
      <c r="ES153" s="2"/>
      <c r="ET153" s="2"/>
      <c r="EU153" s="2"/>
      <c r="EV153" s="2"/>
      <c r="EW153" s="2"/>
      <c r="EX153" s="2"/>
      <c r="EY153" s="2"/>
      <c r="EZ153" s="2"/>
      <c r="FA153" s="2"/>
      <c r="FB153" s="2"/>
      <c r="FC153" s="2"/>
      <c r="FD153" s="2"/>
      <c r="FE153" s="2"/>
      <c r="FF153" s="2"/>
      <c r="FG153" s="2"/>
      <c r="FH153" s="2"/>
      <c r="FI153" s="2"/>
      <c r="FJ153" s="2"/>
      <c r="FK153" s="2"/>
      <c r="FL153" s="2"/>
      <c r="FM153" s="2"/>
      <c r="FN153" s="2"/>
      <c r="FO153" s="2"/>
      <c r="FP153" s="2"/>
      <c r="FQ153" s="2"/>
      <c r="FR153" s="2"/>
      <c r="FS153" s="2"/>
      <c r="FT153" s="2"/>
      <c r="FU153" s="2"/>
      <c r="FV153" s="2"/>
      <c r="FW153" s="2"/>
      <c r="FX153" s="2"/>
      <c r="FY153" s="2"/>
      <c r="FZ153" s="2"/>
      <c r="GA153" s="2"/>
      <c r="GB153" s="2"/>
      <c r="GC153" s="2"/>
      <c r="GD153" s="2"/>
      <c r="GE153" s="2"/>
      <c r="GF153" s="2"/>
      <c r="GG153" s="2"/>
      <c r="GH153" s="2"/>
      <c r="GI153" s="2"/>
      <c r="GJ153" s="2"/>
      <c r="GK153" s="2"/>
      <c r="GL153" s="2"/>
      <c r="GM153" s="2"/>
      <c r="GN153" s="2"/>
      <c r="GO153" s="2"/>
      <c r="GP153" s="2"/>
      <c r="GQ153" s="2"/>
      <c r="GR153" s="2"/>
      <c r="GS153" s="2"/>
      <c r="GT153" s="2"/>
      <c r="GU153" s="2"/>
      <c r="GV153" s="2"/>
      <c r="GW153" s="2"/>
    </row>
    <row r="154" spans="1:205" s="5" customFormat="1" ht="15.6" x14ac:dyDescent="0.3">
      <c r="A154" s="60" t="s">
        <v>352</v>
      </c>
      <c r="B154" s="23" t="s">
        <v>353</v>
      </c>
      <c r="C154" s="37">
        <v>4</v>
      </c>
      <c r="D154" s="31" t="s">
        <v>93</v>
      </c>
      <c r="E154" s="30" t="s">
        <v>345</v>
      </c>
      <c r="F154" s="101">
        <v>45070</v>
      </c>
      <c r="G154" s="29">
        <v>10</v>
      </c>
      <c r="H154" s="102">
        <f t="shared" si="9"/>
        <v>45083</v>
      </c>
      <c r="I154" s="71">
        <v>0</v>
      </c>
      <c r="J154"/>
      <c r="K154" s="50"/>
      <c r="L154" s="4"/>
      <c r="M154" s="4"/>
      <c r="N154" s="4"/>
      <c r="O154" s="4"/>
      <c r="P154" s="4"/>
      <c r="Q154" s="4"/>
      <c r="R154" s="4"/>
      <c r="S154" s="4"/>
      <c r="T154" s="4"/>
      <c r="U154" s="4"/>
      <c r="V154" s="4"/>
      <c r="W154" s="4"/>
      <c r="X154" s="4"/>
      <c r="Y154" s="4"/>
      <c r="Z154" s="4"/>
      <c r="AA154" s="4"/>
      <c r="AB154" s="7"/>
      <c r="AC154" s="7"/>
      <c r="AD154" s="7"/>
      <c r="AE154" s="7"/>
      <c r="AF154" s="7"/>
      <c r="AG154" s="7"/>
      <c r="AH154" s="7"/>
      <c r="AI154" s="7"/>
      <c r="AJ154" s="7"/>
      <c r="AK154" s="7"/>
      <c r="AL154" s="7"/>
      <c r="AM154" s="7"/>
      <c r="AN154" s="7"/>
      <c r="AO154" s="7"/>
      <c r="AP154" s="7"/>
      <c r="AQ154" s="7"/>
      <c r="AR154" s="7"/>
      <c r="AS154" s="7"/>
      <c r="AT154" s="7"/>
      <c r="AU154" s="7"/>
      <c r="AV154" s="7"/>
      <c r="AW154" s="7"/>
      <c r="AX154" s="7"/>
      <c r="AY154" s="7"/>
      <c r="AZ154" s="7"/>
      <c r="BA154" s="7"/>
      <c r="BB154" s="7"/>
      <c r="BC154" s="7"/>
      <c r="BD154" s="7"/>
      <c r="BE154" s="7"/>
      <c r="BF154" s="7"/>
      <c r="BG154" s="7"/>
      <c r="BH154" s="7"/>
      <c r="BI154" s="7"/>
      <c r="BJ154" s="7"/>
      <c r="BK154" s="51"/>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c r="DO154" s="2"/>
      <c r="DP154" s="2"/>
      <c r="DQ154" s="2"/>
      <c r="DR154" s="2"/>
      <c r="DS154" s="2"/>
      <c r="DT154" s="2"/>
      <c r="DU154" s="2"/>
      <c r="DV154" s="2"/>
      <c r="DW154" s="2"/>
      <c r="DX154" s="2"/>
      <c r="DY154" s="2"/>
      <c r="DZ154" s="2"/>
      <c r="EA154" s="2"/>
      <c r="EB154" s="2"/>
      <c r="EC154" s="2"/>
      <c r="ED154" s="2"/>
      <c r="EE154" s="2"/>
      <c r="EF154" s="2"/>
      <c r="EG154" s="2"/>
      <c r="EH154" s="2"/>
      <c r="EI154" s="2"/>
      <c r="EJ154" s="2"/>
      <c r="EK154" s="2"/>
      <c r="EL154" s="2"/>
      <c r="EM154" s="2"/>
      <c r="EN154" s="2"/>
      <c r="EO154" s="2"/>
      <c r="EP154" s="2"/>
      <c r="EQ154" s="2"/>
      <c r="ER154" s="2"/>
      <c r="ES154" s="2"/>
      <c r="ET154" s="2"/>
      <c r="EU154" s="2"/>
      <c r="EV154" s="2"/>
      <c r="EW154" s="2"/>
      <c r="EX154" s="2"/>
      <c r="EY154" s="2"/>
      <c r="EZ154" s="2"/>
      <c r="FA154" s="2"/>
      <c r="FB154" s="2"/>
      <c r="FC154" s="2"/>
      <c r="FD154" s="2"/>
      <c r="FE154" s="2"/>
      <c r="FF154" s="2"/>
      <c r="FG154" s="2"/>
      <c r="FH154" s="2"/>
      <c r="FI154" s="2"/>
      <c r="FJ154" s="2"/>
      <c r="FK154" s="2"/>
      <c r="FL154" s="2"/>
      <c r="FM154" s="2"/>
      <c r="FN154" s="2"/>
      <c r="FO154" s="2"/>
      <c r="FP154" s="2"/>
      <c r="FQ154" s="2"/>
      <c r="FR154" s="2"/>
      <c r="FS154" s="2"/>
      <c r="FT154" s="2"/>
      <c r="FU154" s="2"/>
      <c r="FV154" s="2"/>
      <c r="FW154" s="2"/>
      <c r="FX154" s="2"/>
      <c r="FY154" s="2"/>
      <c r="FZ154" s="2"/>
      <c r="GA154" s="2"/>
      <c r="GB154" s="2"/>
      <c r="GC154" s="2"/>
      <c r="GD154" s="2"/>
      <c r="GE154" s="2"/>
      <c r="GF154" s="2"/>
      <c r="GG154" s="2"/>
      <c r="GH154" s="2"/>
      <c r="GI154" s="2"/>
      <c r="GJ154" s="2"/>
      <c r="GK154" s="2"/>
      <c r="GL154" s="2"/>
      <c r="GM154" s="2"/>
      <c r="GN154" s="2"/>
      <c r="GO154" s="2"/>
      <c r="GP154" s="2"/>
      <c r="GQ154" s="2"/>
      <c r="GR154" s="2"/>
      <c r="GS154" s="2"/>
      <c r="GT154" s="2"/>
      <c r="GU154" s="2"/>
      <c r="GV154" s="2"/>
      <c r="GW154" s="2"/>
    </row>
    <row r="155" spans="1:205" ht="15.6" x14ac:dyDescent="0.3">
      <c r="A155" s="60" t="s">
        <v>354</v>
      </c>
      <c r="B155" s="23" t="s">
        <v>355</v>
      </c>
      <c r="C155" s="37">
        <v>4</v>
      </c>
      <c r="D155" s="31" t="s">
        <v>87</v>
      </c>
      <c r="E155" s="30"/>
      <c r="F155" s="101">
        <v>45070</v>
      </c>
      <c r="G155" s="29">
        <v>10</v>
      </c>
      <c r="H155" s="102">
        <f t="shared" si="9"/>
        <v>45083</v>
      </c>
      <c r="I155" s="71">
        <v>0</v>
      </c>
      <c r="K155" s="50"/>
      <c r="L155" s="4"/>
      <c r="M155" s="4"/>
      <c r="N155" s="4"/>
      <c r="O155" s="4"/>
      <c r="P155" s="4"/>
      <c r="Q155" s="4"/>
      <c r="R155" s="4"/>
      <c r="S155" s="4"/>
      <c r="T155" s="4"/>
      <c r="U155" s="4"/>
      <c r="V155" s="4"/>
      <c r="W155" s="4"/>
      <c r="X155" s="4"/>
      <c r="Y155" s="4"/>
      <c r="Z155" s="4"/>
      <c r="AA155" s="4"/>
      <c r="AB155" s="7"/>
      <c r="AC155" s="7"/>
      <c r="AD155" s="7"/>
      <c r="AE155" s="7"/>
      <c r="AF155" s="7"/>
      <c r="AG155" s="7"/>
      <c r="AH155" s="7"/>
      <c r="AI155" s="7"/>
      <c r="AJ155" s="7"/>
      <c r="AK155" s="7"/>
      <c r="AL155" s="7"/>
      <c r="AM155" s="7"/>
      <c r="AN155" s="7"/>
      <c r="AO155" s="7"/>
      <c r="AP155" s="7"/>
      <c r="AQ155" s="7"/>
      <c r="AR155" s="7"/>
      <c r="AS155" s="7"/>
      <c r="AT155" s="7"/>
      <c r="AU155" s="7"/>
      <c r="AV155" s="7"/>
      <c r="AW155" s="7"/>
      <c r="AX155" s="7"/>
      <c r="AY155" s="7"/>
      <c r="AZ155" s="7"/>
      <c r="BA155" s="7"/>
      <c r="BB155" s="7"/>
      <c r="BC155" s="7"/>
      <c r="BD155" s="7"/>
      <c r="BE155" s="7"/>
      <c r="BF155" s="7"/>
      <c r="BG155" s="7"/>
      <c r="BH155" s="7"/>
      <c r="BI155" s="7"/>
      <c r="BJ155" s="7"/>
      <c r="BK155" s="51"/>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c r="DO155" s="2"/>
      <c r="DP155" s="2"/>
      <c r="DQ155" s="2"/>
      <c r="DR155" s="2"/>
      <c r="DS155" s="2"/>
      <c r="DT155" s="2"/>
      <c r="DU155" s="2"/>
      <c r="DV155" s="2"/>
      <c r="DW155" s="2"/>
      <c r="DX155" s="2"/>
      <c r="DY155" s="2"/>
      <c r="DZ155" s="2"/>
      <c r="EA155" s="2"/>
      <c r="EB155" s="2"/>
      <c r="EC155" s="2"/>
      <c r="ED155" s="2"/>
      <c r="EE155" s="2"/>
      <c r="EF155" s="2"/>
      <c r="EG155" s="2"/>
      <c r="EH155" s="2"/>
      <c r="EI155" s="2"/>
      <c r="EJ155" s="2"/>
      <c r="EK155" s="2"/>
      <c r="EL155" s="2"/>
      <c r="EM155" s="2"/>
      <c r="EN155" s="2"/>
      <c r="EO155" s="2"/>
      <c r="EP155" s="2"/>
      <c r="EQ155" s="2"/>
      <c r="ER155" s="2"/>
      <c r="ES155" s="2"/>
      <c r="ET155" s="2"/>
      <c r="EU155" s="2"/>
      <c r="EV155" s="2"/>
      <c r="EW155" s="2"/>
      <c r="EX155" s="2"/>
      <c r="EY155" s="2"/>
      <c r="EZ155" s="2"/>
      <c r="FA155" s="2"/>
      <c r="FB155" s="2"/>
      <c r="FC155" s="2"/>
      <c r="FD155" s="2"/>
      <c r="FE155" s="2"/>
      <c r="FF155" s="2"/>
      <c r="FG155" s="2"/>
      <c r="FH155" s="2"/>
      <c r="FI155" s="2"/>
      <c r="FJ155" s="2"/>
      <c r="FK155" s="2"/>
      <c r="FL155" s="2"/>
      <c r="FM155" s="2"/>
      <c r="FN155" s="2"/>
      <c r="FO155" s="2"/>
      <c r="FP155" s="2"/>
      <c r="FQ155" s="2"/>
      <c r="FR155" s="2"/>
      <c r="FS155" s="2"/>
      <c r="FT155" s="2"/>
      <c r="FU155" s="2"/>
      <c r="FV155" s="2"/>
      <c r="FW155" s="2"/>
      <c r="FX155" s="2"/>
      <c r="FY155" s="2"/>
      <c r="FZ155" s="2"/>
      <c r="GA155" s="2"/>
      <c r="GB155" s="2"/>
      <c r="GC155" s="2"/>
      <c r="GD155" s="2"/>
      <c r="GE155" s="2"/>
      <c r="GF155" s="2"/>
      <c r="GG155" s="2"/>
      <c r="GH155" s="2"/>
      <c r="GI155" s="2"/>
      <c r="GJ155" s="2"/>
      <c r="GK155" s="2"/>
      <c r="GL155" s="2"/>
      <c r="GM155" s="2"/>
      <c r="GN155" s="2"/>
      <c r="GO155" s="2"/>
      <c r="GP155" s="2"/>
      <c r="GQ155" s="2"/>
      <c r="GR155" s="2"/>
      <c r="GS155" s="2"/>
      <c r="GT155" s="2"/>
      <c r="GU155" s="2"/>
      <c r="GV155" s="2"/>
      <c r="GW155" s="2"/>
    </row>
    <row r="156" spans="1:205" ht="15.6" x14ac:dyDescent="0.3">
      <c r="A156" s="60" t="s">
        <v>356</v>
      </c>
      <c r="B156" s="23" t="s">
        <v>357</v>
      </c>
      <c r="C156" s="37">
        <v>4</v>
      </c>
      <c r="D156" s="31" t="s">
        <v>87</v>
      </c>
      <c r="E156" s="30"/>
      <c r="F156" s="101">
        <v>45070</v>
      </c>
      <c r="G156" s="29">
        <v>10</v>
      </c>
      <c r="H156" s="102">
        <f t="shared" si="9"/>
        <v>45083</v>
      </c>
      <c r="I156" s="71">
        <v>0</v>
      </c>
      <c r="K156" s="50"/>
      <c r="L156" s="4"/>
      <c r="M156" s="4"/>
      <c r="N156" s="4"/>
      <c r="O156" s="4"/>
      <c r="P156" s="4"/>
      <c r="Q156" s="4"/>
      <c r="R156" s="4"/>
      <c r="S156" s="4"/>
      <c r="T156" s="4"/>
      <c r="U156" s="4"/>
      <c r="V156" s="4"/>
      <c r="W156" s="4"/>
      <c r="X156" s="4"/>
      <c r="Y156" s="4"/>
      <c r="Z156" s="4"/>
      <c r="AA156" s="4"/>
      <c r="AB156" s="7"/>
      <c r="AC156" s="7"/>
      <c r="AD156" s="7"/>
      <c r="AE156" s="7"/>
      <c r="AF156" s="7"/>
      <c r="AG156" s="7"/>
      <c r="AH156" s="7"/>
      <c r="AI156" s="7"/>
      <c r="AJ156" s="7"/>
      <c r="AK156" s="7"/>
      <c r="AL156" s="7"/>
      <c r="AM156" s="7"/>
      <c r="AN156" s="7"/>
      <c r="AO156" s="7"/>
      <c r="AP156" s="7"/>
      <c r="AQ156" s="7"/>
      <c r="AR156" s="7"/>
      <c r="AS156" s="7"/>
      <c r="AT156" s="7"/>
      <c r="AU156" s="7"/>
      <c r="AV156" s="7"/>
      <c r="AW156" s="7"/>
      <c r="AX156" s="7"/>
      <c r="AY156" s="7"/>
      <c r="AZ156" s="7"/>
      <c r="BA156" s="7"/>
      <c r="BB156" s="7"/>
      <c r="BC156" s="7"/>
      <c r="BD156" s="7"/>
      <c r="BE156" s="7"/>
      <c r="BF156" s="7"/>
      <c r="BG156" s="7"/>
      <c r="BH156" s="7"/>
      <c r="BI156" s="7"/>
      <c r="BJ156" s="7"/>
      <c r="BK156" s="51"/>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c r="DO156" s="2"/>
      <c r="DP156" s="2"/>
      <c r="DQ156" s="2"/>
      <c r="DR156" s="2"/>
      <c r="DS156" s="2"/>
      <c r="DT156" s="2"/>
      <c r="DU156" s="2"/>
      <c r="DV156" s="2"/>
      <c r="DW156" s="2"/>
      <c r="DX156" s="2"/>
      <c r="DY156" s="2"/>
      <c r="DZ156" s="2"/>
      <c r="EA156" s="2"/>
      <c r="EB156" s="2"/>
      <c r="EC156" s="2"/>
      <c r="ED156" s="2"/>
      <c r="EE156" s="2"/>
      <c r="EF156" s="2"/>
      <c r="EG156" s="2"/>
      <c r="EH156" s="2"/>
      <c r="EI156" s="2"/>
      <c r="EJ156" s="2"/>
      <c r="EK156" s="2"/>
      <c r="EL156" s="2"/>
      <c r="EM156" s="2"/>
      <c r="EN156" s="2"/>
      <c r="EO156" s="2"/>
      <c r="EP156" s="2"/>
      <c r="EQ156" s="2"/>
      <c r="ER156" s="2"/>
      <c r="ES156" s="2"/>
      <c r="ET156" s="2"/>
      <c r="EU156" s="2"/>
      <c r="EV156" s="2"/>
      <c r="EW156" s="2"/>
      <c r="EX156" s="2"/>
      <c r="EY156" s="2"/>
      <c r="EZ156" s="2"/>
      <c r="FA156" s="2"/>
      <c r="FB156" s="2"/>
      <c r="FC156" s="2"/>
      <c r="FD156" s="2"/>
      <c r="FE156" s="2"/>
      <c r="FF156" s="2"/>
      <c r="FG156" s="2"/>
      <c r="FH156" s="2"/>
      <c r="FI156" s="2"/>
      <c r="FJ156" s="2"/>
      <c r="FK156" s="2"/>
      <c r="FL156" s="2"/>
      <c r="FM156" s="2"/>
      <c r="FN156" s="2"/>
      <c r="FO156" s="2"/>
      <c r="FP156" s="2"/>
      <c r="FQ156" s="2"/>
      <c r="FR156" s="2"/>
      <c r="FS156" s="2"/>
      <c r="FT156" s="2"/>
      <c r="FU156" s="2"/>
      <c r="FV156" s="2"/>
      <c r="FW156" s="2"/>
      <c r="FX156" s="2"/>
      <c r="FY156" s="2"/>
      <c r="FZ156" s="2"/>
      <c r="GA156" s="2"/>
      <c r="GB156" s="2"/>
      <c r="GC156" s="2"/>
      <c r="GD156" s="2"/>
      <c r="GE156" s="2"/>
      <c r="GF156" s="2"/>
      <c r="GG156" s="2"/>
      <c r="GH156" s="2"/>
      <c r="GI156" s="2"/>
      <c r="GJ156" s="2"/>
      <c r="GK156" s="2"/>
      <c r="GL156" s="2"/>
      <c r="GM156" s="2"/>
      <c r="GN156" s="2"/>
      <c r="GO156" s="2"/>
      <c r="GP156" s="2"/>
      <c r="GQ156" s="2"/>
      <c r="GR156" s="2"/>
      <c r="GS156" s="2"/>
      <c r="GT156" s="2"/>
      <c r="GU156" s="2"/>
      <c r="GV156" s="2"/>
      <c r="GW156" s="2"/>
    </row>
    <row r="157" spans="1:205" ht="15.6" x14ac:dyDescent="0.3">
      <c r="A157" s="60" t="s">
        <v>358</v>
      </c>
      <c r="B157" s="23" t="s">
        <v>359</v>
      </c>
      <c r="C157" s="37">
        <v>4</v>
      </c>
      <c r="D157" s="31" t="s">
        <v>108</v>
      </c>
      <c r="E157" s="30" t="s">
        <v>360</v>
      </c>
      <c r="F157" s="101">
        <v>45070</v>
      </c>
      <c r="G157" s="29">
        <v>8</v>
      </c>
      <c r="H157" s="102">
        <f t="shared" si="9"/>
        <v>45079</v>
      </c>
      <c r="I157" s="71">
        <v>0</v>
      </c>
      <c r="K157" s="50"/>
      <c r="L157" s="4"/>
      <c r="M157" s="4"/>
      <c r="N157" s="4"/>
      <c r="O157" s="4"/>
      <c r="P157" s="4"/>
      <c r="Q157" s="4"/>
      <c r="R157" s="4"/>
      <c r="S157" s="4"/>
      <c r="T157" s="4"/>
      <c r="U157" s="4"/>
      <c r="V157" s="4"/>
      <c r="W157" s="4"/>
      <c r="X157" s="4"/>
      <c r="Y157" s="4"/>
      <c r="Z157" s="4"/>
      <c r="AA157" s="4"/>
      <c r="AB157" s="7"/>
      <c r="AC157" s="7"/>
      <c r="AD157" s="7"/>
      <c r="AE157" s="7"/>
      <c r="AF157" s="7"/>
      <c r="AG157" s="7"/>
      <c r="AH157" s="7"/>
      <c r="AI157" s="7"/>
      <c r="AJ157" s="7"/>
      <c r="AK157" s="7"/>
      <c r="AL157" s="7"/>
      <c r="AM157" s="7"/>
      <c r="AN157" s="7"/>
      <c r="AO157" s="7"/>
      <c r="AP157" s="7"/>
      <c r="AQ157" s="7"/>
      <c r="AR157" s="7"/>
      <c r="AS157" s="7"/>
      <c r="AT157" s="7"/>
      <c r="AU157" s="7"/>
      <c r="AV157" s="7"/>
      <c r="AW157" s="7"/>
      <c r="AX157" s="7"/>
      <c r="AY157" s="7"/>
      <c r="AZ157" s="7"/>
      <c r="BA157" s="7"/>
      <c r="BB157" s="7"/>
      <c r="BC157" s="7"/>
      <c r="BD157" s="7"/>
      <c r="BE157" s="7"/>
      <c r="BF157" s="7"/>
      <c r="BG157" s="7"/>
      <c r="BH157" s="7"/>
      <c r="BI157" s="7"/>
      <c r="BJ157" s="7"/>
      <c r="BK157" s="51"/>
      <c r="BL157" s="2"/>
      <c r="BM157" s="2"/>
      <c r="BN157" s="2"/>
      <c r="BO157" s="2"/>
      <c r="BP157" s="2"/>
      <c r="BQ157" s="2"/>
      <c r="BR157" s="2"/>
      <c r="BS157" s="2"/>
      <c r="BT157" s="2"/>
      <c r="BU157" s="2"/>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c r="DA157" s="2"/>
      <c r="DB157" s="2"/>
      <c r="DC157" s="2"/>
      <c r="DD157" s="2"/>
      <c r="DE157" s="2"/>
      <c r="DF157" s="2"/>
      <c r="DG157" s="2"/>
      <c r="DH157" s="2"/>
      <c r="DI157" s="2"/>
      <c r="DJ157" s="2"/>
      <c r="DK157" s="2"/>
      <c r="DL157" s="2"/>
      <c r="DM157" s="2"/>
      <c r="DN157" s="2"/>
      <c r="DO157" s="2"/>
      <c r="DP157" s="2"/>
      <c r="DQ157" s="2"/>
      <c r="DR157" s="2"/>
      <c r="DS157" s="2"/>
      <c r="DT157" s="2"/>
      <c r="DU157" s="2"/>
      <c r="DV157" s="2"/>
      <c r="DW157" s="2"/>
      <c r="DX157" s="2"/>
      <c r="DY157" s="2"/>
      <c r="DZ157" s="2"/>
      <c r="EA157" s="2"/>
      <c r="EB157" s="2"/>
      <c r="EC157" s="2"/>
      <c r="ED157" s="2"/>
      <c r="EE157" s="2"/>
      <c r="EF157" s="2"/>
      <c r="EG157" s="2"/>
      <c r="EH157" s="2"/>
      <c r="EI157" s="2"/>
      <c r="EJ157" s="2"/>
      <c r="EK157" s="2"/>
      <c r="EL157" s="2"/>
      <c r="EM157" s="2"/>
      <c r="EN157" s="2"/>
      <c r="EO157" s="2"/>
      <c r="EP157" s="2"/>
      <c r="EQ157" s="2"/>
      <c r="ER157" s="2"/>
      <c r="ES157" s="2"/>
      <c r="ET157" s="2"/>
      <c r="EU157" s="2"/>
      <c r="EV157" s="2"/>
      <c r="EW157" s="2"/>
      <c r="EX157" s="2"/>
      <c r="EY157" s="2"/>
      <c r="EZ157" s="2"/>
      <c r="FA157" s="2"/>
      <c r="FB157" s="2"/>
      <c r="FC157" s="2"/>
      <c r="FD157" s="2"/>
      <c r="FE157" s="2"/>
      <c r="FF157" s="2"/>
      <c r="FG157" s="2"/>
      <c r="FH157" s="2"/>
      <c r="FI157" s="2"/>
      <c r="FJ157" s="2"/>
      <c r="FK157" s="2"/>
      <c r="FL157" s="2"/>
      <c r="FM157" s="2"/>
      <c r="FN157" s="2"/>
      <c r="FO157" s="2"/>
      <c r="FP157" s="2"/>
      <c r="FQ157" s="2"/>
      <c r="FR157" s="2"/>
      <c r="FS157" s="2"/>
      <c r="FT157" s="2"/>
      <c r="FU157" s="2"/>
      <c r="FV157" s="2"/>
      <c r="FW157" s="2"/>
      <c r="FX157" s="2"/>
      <c r="FY157" s="2"/>
      <c r="FZ157" s="2"/>
      <c r="GA157" s="2"/>
      <c r="GB157" s="2"/>
      <c r="GC157" s="2"/>
      <c r="GD157" s="2"/>
      <c r="GE157" s="2"/>
      <c r="GF157" s="2"/>
      <c r="GG157" s="2"/>
      <c r="GH157" s="2"/>
      <c r="GI157" s="2"/>
      <c r="GJ157" s="2"/>
      <c r="GK157" s="2"/>
      <c r="GL157" s="2"/>
      <c r="GM157" s="2"/>
      <c r="GN157" s="2"/>
      <c r="GO157" s="2"/>
      <c r="GP157" s="2"/>
      <c r="GQ157" s="2"/>
      <c r="GR157" s="2"/>
      <c r="GS157" s="2"/>
      <c r="GT157" s="2"/>
      <c r="GU157" s="2"/>
      <c r="GV157" s="2"/>
      <c r="GW157" s="2"/>
    </row>
    <row r="158" spans="1:205" ht="16.2" thickBot="1" x14ac:dyDescent="0.35">
      <c r="A158" s="60" t="s">
        <v>361</v>
      </c>
      <c r="B158" s="61" t="s">
        <v>362</v>
      </c>
      <c r="C158" s="62" t="s">
        <v>363</v>
      </c>
      <c r="D158" s="63" t="s">
        <v>305</v>
      </c>
      <c r="E158" s="64"/>
      <c r="F158" s="101">
        <v>45083</v>
      </c>
      <c r="G158" s="69">
        <v>0</v>
      </c>
      <c r="H158" s="102">
        <f>IF(F158="","",WORKDAY(IF(WEEKDAY(F158,1)=7,F158+2,IF(WEEKDAY(F158,1)=1,F158+1,F158)),G158-1,))</f>
        <v>45082</v>
      </c>
      <c r="I158" s="72">
        <v>0</v>
      </c>
      <c r="K158" s="52"/>
      <c r="L158" s="53"/>
      <c r="M158" s="53"/>
      <c r="N158" s="53"/>
      <c r="O158" s="53"/>
      <c r="P158" s="53"/>
      <c r="Q158" s="53"/>
      <c r="R158" s="53"/>
      <c r="S158" s="53"/>
      <c r="T158" s="53"/>
      <c r="U158" s="53"/>
      <c r="V158" s="53"/>
      <c r="W158" s="53"/>
      <c r="X158" s="53"/>
      <c r="Y158" s="53"/>
      <c r="Z158" s="53"/>
      <c r="AA158" s="53"/>
      <c r="AB158" s="54"/>
      <c r="AC158" s="54"/>
      <c r="AD158" s="54"/>
      <c r="AE158" s="54"/>
      <c r="AF158" s="54"/>
      <c r="AG158" s="54"/>
      <c r="AH158" s="54"/>
      <c r="AI158" s="54"/>
      <c r="AJ158" s="54"/>
      <c r="AK158" s="54"/>
      <c r="AL158" s="54"/>
      <c r="AM158" s="54"/>
      <c r="AN158" s="54"/>
      <c r="AO158" s="54"/>
      <c r="AP158" s="54"/>
      <c r="AQ158" s="54"/>
      <c r="AR158" s="54"/>
      <c r="AS158" s="54"/>
      <c r="AT158" s="54"/>
      <c r="AU158" s="54"/>
      <c r="AV158" s="54"/>
      <c r="AW158" s="54"/>
      <c r="AX158" s="54"/>
      <c r="AY158" s="54"/>
      <c r="AZ158" s="54"/>
      <c r="BA158" s="54"/>
      <c r="BB158" s="54"/>
      <c r="BC158" s="54"/>
      <c r="BD158" s="54"/>
      <c r="BE158" s="54"/>
      <c r="BF158" s="54"/>
      <c r="BG158" s="54"/>
      <c r="BH158" s="54"/>
      <c r="BI158" s="54"/>
      <c r="BJ158" s="54"/>
      <c r="BK158" s="55"/>
      <c r="BL158" s="2"/>
      <c r="BM158" s="2"/>
      <c r="BN158" s="2"/>
      <c r="BO158" s="2"/>
      <c r="BP158" s="2"/>
      <c r="BQ158" s="2"/>
      <c r="BR158" s="2"/>
      <c r="BS158" s="2"/>
      <c r="BT158" s="2"/>
      <c r="BU158" s="2"/>
      <c r="BV158" s="2"/>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c r="DA158" s="2"/>
      <c r="DB158" s="2"/>
      <c r="DC158" s="2"/>
      <c r="DD158" s="2"/>
      <c r="DE158" s="2"/>
      <c r="DF158" s="2"/>
      <c r="DG158" s="2"/>
      <c r="DH158" s="2"/>
      <c r="DI158" s="2"/>
      <c r="DJ158" s="2"/>
      <c r="DK158" s="2"/>
      <c r="DL158" s="2"/>
      <c r="DM158" s="2"/>
      <c r="DN158" s="2"/>
      <c r="DO158" s="2"/>
      <c r="DP158" s="2"/>
      <c r="DQ158" s="2"/>
      <c r="DR158" s="2"/>
      <c r="DS158" s="2"/>
      <c r="DT158" s="2"/>
      <c r="DU158" s="2"/>
      <c r="DV158" s="2"/>
      <c r="DW158" s="2"/>
      <c r="DX158" s="2"/>
      <c r="DY158" s="2"/>
      <c r="DZ158" s="2"/>
      <c r="EA158" s="2"/>
      <c r="EB158" s="2"/>
      <c r="EC158" s="2"/>
      <c r="ED158" s="2"/>
      <c r="EE158" s="2"/>
      <c r="EF158" s="2"/>
      <c r="EG158" s="2"/>
      <c r="EH158" s="2"/>
      <c r="EI158" s="2"/>
      <c r="EJ158" s="2"/>
      <c r="EK158" s="2"/>
      <c r="EL158" s="2"/>
      <c r="EM158" s="2"/>
      <c r="EN158" s="2"/>
      <c r="EO158" s="2"/>
      <c r="EP158" s="2"/>
      <c r="EQ158" s="2"/>
      <c r="ER158" s="2"/>
      <c r="ES158" s="2"/>
      <c r="ET158" s="2"/>
      <c r="EU158" s="2"/>
      <c r="EV158" s="2"/>
      <c r="EW158" s="2"/>
      <c r="EX158" s="2"/>
      <c r="EY158" s="2"/>
      <c r="EZ158" s="2"/>
      <c r="FA158" s="2"/>
      <c r="FB158" s="2"/>
      <c r="FC158" s="2"/>
      <c r="FD158" s="2"/>
      <c r="FE158" s="2"/>
      <c r="FF158" s="2"/>
      <c r="FG158" s="2"/>
      <c r="FH158" s="2"/>
      <c r="FI158" s="2"/>
      <c r="FJ158" s="2"/>
      <c r="FK158" s="2"/>
      <c r="FL158" s="2"/>
      <c r="FM158" s="2"/>
      <c r="FN158" s="2"/>
      <c r="FO158" s="2"/>
      <c r="FP158" s="2"/>
      <c r="FQ158" s="2"/>
      <c r="FR158" s="2"/>
      <c r="FS158" s="2"/>
      <c r="FT158" s="2"/>
      <c r="FU158" s="2"/>
      <c r="FV158" s="2"/>
      <c r="FW158" s="2"/>
      <c r="FX158" s="2"/>
      <c r="FY158" s="2"/>
      <c r="FZ158" s="2"/>
      <c r="GA158" s="2"/>
      <c r="GB158" s="2"/>
      <c r="GC158" s="2"/>
      <c r="GD158" s="2"/>
      <c r="GE158" s="2"/>
      <c r="GF158" s="2"/>
      <c r="GG158" s="2"/>
      <c r="GH158" s="2"/>
      <c r="GI158" s="2"/>
      <c r="GJ158" s="2"/>
      <c r="GK158" s="2"/>
      <c r="GL158" s="2"/>
      <c r="GM158" s="2"/>
      <c r="GN158" s="2"/>
      <c r="GO158" s="2"/>
      <c r="GP158" s="2"/>
      <c r="GQ158" s="2"/>
      <c r="GR158" s="2"/>
      <c r="GS158" s="2"/>
      <c r="GT158" s="2"/>
      <c r="GU158" s="2"/>
      <c r="GV158" s="2"/>
      <c r="GW158" s="2"/>
    </row>
    <row r="159" spans="1:205" ht="15" thickBot="1" x14ac:dyDescent="0.35">
      <c r="G159" s="151" t="s">
        <v>36</v>
      </c>
      <c r="H159" s="152"/>
      <c r="I159" s="73">
        <f ca="1">AVERAGE(I19,I30,I41,I61,I144)</f>
        <v>0.19400000000000001</v>
      </c>
      <c r="K159" s="56"/>
      <c r="L159" s="10"/>
      <c r="M159" s="10"/>
      <c r="N159" s="10"/>
      <c r="O159" s="10"/>
      <c r="P159" s="10"/>
      <c r="Q159" s="10"/>
      <c r="R159" s="10"/>
      <c r="S159" s="10"/>
      <c r="T159" s="10"/>
      <c r="U159" s="10"/>
      <c r="V159" s="10"/>
      <c r="W159" s="10"/>
      <c r="X159" s="10"/>
      <c r="Y159" s="10"/>
      <c r="Z159" s="10"/>
      <c r="AA159" s="10"/>
      <c r="AB159" s="10"/>
      <c r="AC159" s="10"/>
      <c r="AD159" s="10"/>
      <c r="AE159" s="10"/>
      <c r="AF159" s="10"/>
      <c r="AG159" s="10"/>
      <c r="AH159" s="10"/>
      <c r="AI159" s="10"/>
      <c r="AJ159" s="10"/>
      <c r="AK159" s="10"/>
      <c r="AL159" s="10"/>
      <c r="AM159" s="10"/>
      <c r="AN159" s="10"/>
      <c r="AO159" s="10"/>
      <c r="AP159" s="10"/>
      <c r="AQ159" s="10"/>
      <c r="AR159" s="10"/>
      <c r="AS159" s="10"/>
      <c r="AT159" s="10"/>
      <c r="AU159" s="10"/>
      <c r="AV159" s="10"/>
      <c r="AW159" s="10"/>
      <c r="AX159" s="10"/>
      <c r="AY159" s="10"/>
      <c r="AZ159" s="10"/>
      <c r="BA159" s="10"/>
      <c r="BB159" s="10"/>
      <c r="BC159" s="10"/>
      <c r="BD159" s="10"/>
      <c r="BE159" s="10"/>
      <c r="BF159" s="10"/>
      <c r="BG159" s="10"/>
      <c r="BH159" s="10"/>
      <c r="BI159" s="10"/>
      <c r="BJ159" s="10"/>
      <c r="BK159" s="10"/>
      <c r="BL159" s="2"/>
      <c r="BM159" s="2"/>
      <c r="BN159" s="2"/>
      <c r="BO159" s="2"/>
      <c r="BP159" s="2"/>
      <c r="BQ159" s="2"/>
      <c r="BR159" s="2"/>
      <c r="BS159" s="2"/>
      <c r="BT159" s="2"/>
      <c r="BU159" s="2"/>
      <c r="BV159" s="2"/>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c r="DA159" s="2"/>
      <c r="DB159" s="2"/>
      <c r="DC159" s="2"/>
      <c r="DD159" s="2"/>
      <c r="DE159" s="2"/>
      <c r="DF159" s="2"/>
      <c r="DG159" s="2"/>
      <c r="DH159" s="2"/>
      <c r="DI159" s="2"/>
      <c r="DJ159" s="2"/>
      <c r="DK159" s="2"/>
      <c r="DL159" s="2"/>
      <c r="DM159" s="2"/>
      <c r="DN159" s="2"/>
      <c r="DO159" s="2"/>
      <c r="DP159" s="2"/>
      <c r="DQ159" s="2"/>
      <c r="DR159" s="2"/>
      <c r="DS159" s="2"/>
      <c r="DT159" s="2"/>
      <c r="DU159" s="2"/>
      <c r="DV159" s="2"/>
      <c r="DW159" s="2"/>
      <c r="DX159" s="2"/>
      <c r="DY159" s="2"/>
      <c r="DZ159" s="2"/>
      <c r="EA159" s="2"/>
      <c r="EB159" s="2"/>
      <c r="EC159" s="2"/>
      <c r="ED159" s="2"/>
      <c r="EE159" s="2"/>
      <c r="EF159" s="2"/>
      <c r="EG159" s="2"/>
      <c r="EH159" s="2"/>
      <c r="EI159" s="2"/>
      <c r="EJ159" s="2"/>
      <c r="EK159" s="2"/>
      <c r="EL159" s="2"/>
      <c r="EM159" s="2"/>
      <c r="EN159" s="2"/>
      <c r="EO159" s="2"/>
      <c r="EP159" s="2"/>
      <c r="EQ159" s="2"/>
      <c r="ER159" s="2"/>
      <c r="ES159" s="2"/>
      <c r="ET159" s="2"/>
      <c r="EU159" s="2"/>
      <c r="EV159" s="2"/>
      <c r="EW159" s="2"/>
      <c r="EX159" s="2"/>
      <c r="EY159" s="2"/>
      <c r="EZ159" s="2"/>
      <c r="FA159" s="2"/>
      <c r="FB159" s="2"/>
      <c r="FC159" s="2"/>
      <c r="FD159" s="2"/>
      <c r="FE159" s="2"/>
      <c r="FF159" s="2"/>
      <c r="FG159" s="2"/>
      <c r="FH159" s="2"/>
      <c r="FI159" s="2"/>
      <c r="FJ159" s="2"/>
      <c r="FK159" s="2"/>
      <c r="FL159" s="2"/>
      <c r="FM159" s="2"/>
      <c r="FN159" s="2"/>
      <c r="FO159" s="2"/>
      <c r="FP159" s="2"/>
      <c r="FQ159" s="2"/>
      <c r="FR159" s="2"/>
      <c r="FS159" s="2"/>
      <c r="FT159" s="2"/>
      <c r="FU159" s="2"/>
      <c r="FV159" s="2"/>
      <c r="FW159" s="2"/>
      <c r="FX159" s="2"/>
      <c r="FY159" s="2"/>
      <c r="FZ159" s="2"/>
      <c r="GA159" s="2"/>
      <c r="GB159" s="2"/>
      <c r="GC159" s="2"/>
      <c r="GD159" s="2"/>
      <c r="GE159" s="2"/>
      <c r="GF159" s="2"/>
      <c r="GG159" s="2"/>
      <c r="GH159" s="2"/>
      <c r="GI159" s="2"/>
      <c r="GJ159" s="2"/>
      <c r="GK159" s="2"/>
      <c r="GL159" s="2"/>
      <c r="GM159" s="2"/>
      <c r="GN159" s="2"/>
      <c r="GO159" s="2"/>
      <c r="GP159" s="2"/>
      <c r="GQ159" s="2"/>
      <c r="GR159" s="2"/>
      <c r="GS159" s="2"/>
      <c r="GT159" s="2"/>
      <c r="GU159" s="2"/>
      <c r="GV159" s="2"/>
      <c r="GW159" s="2"/>
    </row>
    <row r="160" spans="1:205" x14ac:dyDescent="0.3">
      <c r="H160" s="8"/>
      <c r="I160" s="57"/>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0"/>
      <c r="AH160" s="10"/>
      <c r="AI160" s="10"/>
      <c r="AJ160" s="10"/>
      <c r="AK160" s="10"/>
      <c r="AL160" s="10"/>
      <c r="AM160" s="10"/>
      <c r="AN160" s="10"/>
      <c r="AO160" s="10"/>
      <c r="AP160" s="10"/>
      <c r="AQ160" s="10"/>
      <c r="AR160" s="10"/>
      <c r="AS160" s="10"/>
      <c r="AT160" s="10"/>
      <c r="AU160" s="10"/>
      <c r="AV160" s="10"/>
      <c r="AW160" s="10"/>
      <c r="AX160" s="10"/>
      <c r="AY160" s="10"/>
      <c r="AZ160" s="10"/>
      <c r="BA160" s="10"/>
      <c r="BB160" s="10"/>
      <c r="BC160" s="10"/>
      <c r="BD160" s="10"/>
      <c r="BE160" s="10"/>
      <c r="BF160" s="10"/>
      <c r="BG160" s="10"/>
      <c r="BH160" s="10"/>
      <c r="BI160" s="10"/>
      <c r="BJ160" s="10"/>
      <c r="BK160" s="10"/>
    </row>
    <row r="161" spans="8:63" x14ac:dyDescent="0.3">
      <c r="H161" s="8"/>
      <c r="I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0"/>
      <c r="AH161" s="10"/>
      <c r="AI161" s="10"/>
      <c r="AJ161" s="10"/>
      <c r="AK161" s="10"/>
      <c r="AL161" s="10"/>
      <c r="AM161" s="10"/>
      <c r="AN161" s="10"/>
      <c r="AO161" s="10"/>
      <c r="AP161" s="10"/>
      <c r="AQ161" s="10"/>
      <c r="AR161" s="10"/>
      <c r="AS161" s="10"/>
      <c r="AT161" s="10"/>
      <c r="AU161" s="10"/>
      <c r="AV161" s="10"/>
      <c r="AW161" s="10"/>
      <c r="AX161" s="10"/>
      <c r="AY161" s="10"/>
      <c r="AZ161" s="10"/>
      <c r="BA161" s="10"/>
      <c r="BB161" s="10"/>
      <c r="BC161" s="10"/>
      <c r="BD161" s="10"/>
      <c r="BE161" s="10"/>
      <c r="BF161" s="10"/>
      <c r="BG161" s="10"/>
      <c r="BH161" s="10"/>
      <c r="BI161" s="10"/>
      <c r="BJ161" s="10"/>
      <c r="BK161" s="10"/>
    </row>
    <row r="162" spans="8:63" x14ac:dyDescent="0.3">
      <c r="H162" s="8"/>
      <c r="I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0"/>
      <c r="AH162" s="10"/>
      <c r="AI162" s="10"/>
      <c r="AJ162" s="10"/>
      <c r="AK162" s="10"/>
      <c r="AL162" s="10"/>
      <c r="AM162" s="10"/>
      <c r="AN162" s="10"/>
      <c r="AO162" s="10"/>
      <c r="AP162" s="10"/>
      <c r="AQ162" s="10"/>
      <c r="AR162" s="10"/>
      <c r="AS162" s="10"/>
      <c r="AT162" s="10"/>
      <c r="AU162" s="10"/>
      <c r="AV162" s="10"/>
      <c r="AW162" s="10"/>
      <c r="AX162" s="10"/>
      <c r="AY162" s="10"/>
      <c r="AZ162" s="10"/>
      <c r="BA162" s="10"/>
      <c r="BB162" s="10"/>
      <c r="BC162" s="10"/>
      <c r="BD162" s="10"/>
      <c r="BE162" s="10"/>
      <c r="BF162" s="10"/>
      <c r="BG162" s="10"/>
      <c r="BH162" s="10"/>
      <c r="BI162" s="10"/>
      <c r="BJ162" s="10"/>
      <c r="BK162" s="10"/>
    </row>
    <row r="163" spans="8:63" x14ac:dyDescent="0.3">
      <c r="H163" s="8"/>
      <c r="I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0"/>
      <c r="AH163" s="10"/>
      <c r="AI163" s="10"/>
      <c r="AJ163" s="10"/>
      <c r="AK163" s="10"/>
      <c r="AL163" s="10"/>
      <c r="AM163" s="10"/>
      <c r="AN163" s="10"/>
      <c r="AO163" s="10"/>
      <c r="AP163" s="10"/>
      <c r="AQ163" s="10"/>
      <c r="AR163" s="10"/>
      <c r="AS163" s="10"/>
      <c r="AT163" s="10"/>
      <c r="AU163" s="10"/>
      <c r="AV163" s="10"/>
      <c r="AW163" s="10"/>
      <c r="AX163" s="10"/>
      <c r="AY163" s="10"/>
      <c r="AZ163" s="10"/>
      <c r="BA163" s="10"/>
      <c r="BB163" s="10"/>
      <c r="BC163" s="10"/>
      <c r="BD163" s="10"/>
      <c r="BE163" s="10"/>
      <c r="BF163" s="10"/>
      <c r="BG163" s="10"/>
      <c r="BH163" s="10"/>
      <c r="BI163" s="10"/>
      <c r="BJ163" s="10"/>
      <c r="BK163" s="10"/>
    </row>
    <row r="164" spans="8:63" x14ac:dyDescent="0.3">
      <c r="H164" s="8"/>
      <c r="I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0"/>
      <c r="AH164" s="10"/>
      <c r="AI164" s="10"/>
      <c r="AJ164" s="10"/>
      <c r="AK164" s="10"/>
      <c r="AL164" s="10"/>
      <c r="AM164" s="10"/>
      <c r="AN164" s="10"/>
      <c r="AO164" s="10"/>
      <c r="AP164" s="10"/>
      <c r="AQ164" s="10"/>
      <c r="AR164" s="10"/>
      <c r="AS164" s="10"/>
      <c r="AT164" s="10"/>
      <c r="AU164" s="10"/>
      <c r="AV164" s="10"/>
      <c r="AW164" s="10"/>
      <c r="AX164" s="10"/>
      <c r="AY164" s="10"/>
      <c r="AZ164" s="10"/>
      <c r="BA164" s="10"/>
      <c r="BB164" s="10"/>
      <c r="BC164" s="10"/>
      <c r="BD164" s="10"/>
      <c r="BE164" s="10"/>
      <c r="BF164" s="10"/>
      <c r="BG164" s="10"/>
      <c r="BH164" s="10"/>
      <c r="BI164" s="10"/>
      <c r="BJ164" s="10"/>
      <c r="BK164" s="10"/>
    </row>
    <row r="165" spans="8:63" x14ac:dyDescent="0.3">
      <c r="H165" s="8"/>
      <c r="I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0"/>
      <c r="AH165" s="10"/>
      <c r="AI165" s="10"/>
      <c r="AJ165" s="10"/>
      <c r="AK165" s="10"/>
      <c r="AL165" s="10"/>
      <c r="AM165" s="10"/>
      <c r="AN165" s="10"/>
      <c r="AO165" s="10"/>
      <c r="AP165" s="10"/>
      <c r="AQ165" s="10"/>
      <c r="AR165" s="10"/>
      <c r="AS165" s="10"/>
      <c r="AT165" s="10"/>
      <c r="AU165" s="10"/>
      <c r="AV165" s="10"/>
      <c r="AW165" s="10"/>
      <c r="AX165" s="10"/>
      <c r="AY165" s="10"/>
      <c r="AZ165" s="10"/>
      <c r="BA165" s="10"/>
      <c r="BB165" s="10"/>
      <c r="BC165" s="10"/>
      <c r="BD165" s="10"/>
      <c r="BE165" s="10"/>
      <c r="BF165" s="10"/>
      <c r="BG165" s="10"/>
      <c r="BH165" s="10"/>
      <c r="BI165" s="10"/>
      <c r="BJ165" s="10"/>
      <c r="BK165" s="10"/>
    </row>
    <row r="166" spans="8:63" x14ac:dyDescent="0.3">
      <c r="H166" s="8"/>
      <c r="I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10"/>
      <c r="AH166" s="10"/>
      <c r="AI166" s="10"/>
      <c r="AJ166" s="10"/>
      <c r="AK166" s="10"/>
      <c r="AL166" s="10"/>
      <c r="AM166" s="10"/>
      <c r="AN166" s="10"/>
      <c r="AO166" s="10"/>
      <c r="AP166" s="10"/>
      <c r="AQ166" s="10"/>
      <c r="AR166" s="10"/>
      <c r="AS166" s="10"/>
      <c r="AT166" s="10"/>
      <c r="AU166" s="10"/>
      <c r="AV166" s="10"/>
      <c r="AW166" s="10"/>
      <c r="AX166" s="10"/>
      <c r="AY166" s="10"/>
      <c r="AZ166" s="10"/>
      <c r="BA166" s="10"/>
      <c r="BB166" s="10"/>
      <c r="BC166" s="10"/>
      <c r="BD166" s="10"/>
      <c r="BE166" s="10"/>
      <c r="BF166" s="10"/>
      <c r="BG166" s="10"/>
      <c r="BH166" s="10"/>
      <c r="BI166" s="10"/>
      <c r="BJ166" s="10"/>
      <c r="BK166" s="10"/>
    </row>
    <row r="167" spans="8:63" x14ac:dyDescent="0.3">
      <c r="H167" s="8"/>
      <c r="I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0"/>
      <c r="AH167" s="10"/>
      <c r="AI167" s="10"/>
      <c r="AJ167" s="10"/>
      <c r="AK167" s="10"/>
      <c r="AL167" s="10"/>
      <c r="AM167" s="10"/>
      <c r="AN167" s="10"/>
      <c r="AO167" s="10"/>
      <c r="AP167" s="10"/>
      <c r="AQ167" s="10"/>
      <c r="AR167" s="10"/>
      <c r="AS167" s="10"/>
      <c r="AT167" s="10"/>
      <c r="AU167" s="10"/>
      <c r="AV167" s="10"/>
      <c r="AW167" s="10"/>
      <c r="AX167" s="10"/>
      <c r="AY167" s="10"/>
      <c r="AZ167" s="10"/>
      <c r="BA167" s="10"/>
      <c r="BB167" s="10"/>
      <c r="BC167" s="10"/>
      <c r="BD167" s="10"/>
      <c r="BE167" s="10"/>
      <c r="BF167" s="10"/>
      <c r="BG167" s="10"/>
      <c r="BH167" s="10"/>
      <c r="BI167" s="10"/>
      <c r="BJ167" s="10"/>
      <c r="BK167" s="10"/>
    </row>
    <row r="168" spans="8:63" x14ac:dyDescent="0.3">
      <c r="H168" s="8"/>
      <c r="I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0"/>
      <c r="AH168" s="10"/>
      <c r="AI168" s="10"/>
      <c r="AJ168" s="10"/>
      <c r="AK168" s="10"/>
      <c r="AL168" s="10"/>
      <c r="AM168" s="10"/>
      <c r="AN168" s="10"/>
      <c r="AO168" s="10"/>
      <c r="AP168" s="10"/>
      <c r="AQ168" s="10"/>
      <c r="AR168" s="10"/>
      <c r="AS168" s="10"/>
      <c r="AT168" s="10"/>
      <c r="AU168" s="10"/>
      <c r="AV168" s="10"/>
      <c r="AW168" s="10"/>
      <c r="AX168" s="10"/>
      <c r="AY168" s="10"/>
      <c r="AZ168" s="10"/>
      <c r="BA168" s="10"/>
      <c r="BB168" s="10"/>
      <c r="BC168" s="10"/>
      <c r="BD168" s="10"/>
      <c r="BE168" s="10"/>
      <c r="BF168" s="10"/>
      <c r="BG168" s="10"/>
      <c r="BH168" s="10"/>
      <c r="BI168" s="10"/>
      <c r="BJ168" s="10"/>
      <c r="BK168" s="10"/>
    </row>
    <row r="169" spans="8:63" x14ac:dyDescent="0.3">
      <c r="H169" s="8"/>
      <c r="I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0"/>
      <c r="AH169" s="10"/>
      <c r="AI169" s="10"/>
      <c r="AJ169" s="10"/>
      <c r="AK169" s="10"/>
      <c r="AL169" s="10"/>
      <c r="AM169" s="10"/>
      <c r="AN169" s="10"/>
      <c r="AO169" s="10"/>
      <c r="AP169" s="10"/>
      <c r="AQ169" s="10"/>
      <c r="AR169" s="10"/>
      <c r="AS169" s="10"/>
      <c r="AT169" s="10"/>
      <c r="AU169" s="10"/>
      <c r="AV169" s="10"/>
      <c r="AW169" s="10"/>
      <c r="AX169" s="10"/>
      <c r="AY169" s="10"/>
      <c r="AZ169" s="10"/>
      <c r="BA169" s="10"/>
      <c r="BB169" s="10"/>
      <c r="BC169" s="10"/>
      <c r="BD169" s="10"/>
      <c r="BE169" s="10"/>
      <c r="BF169" s="10"/>
      <c r="BG169" s="10"/>
      <c r="BH169" s="10"/>
      <c r="BI169" s="10"/>
      <c r="BJ169" s="10"/>
      <c r="BK169" s="10"/>
    </row>
    <row r="170" spans="8:63" x14ac:dyDescent="0.3">
      <c r="H170" s="8"/>
      <c r="I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0"/>
      <c r="AH170" s="10"/>
      <c r="AI170" s="10"/>
      <c r="AJ170" s="10"/>
      <c r="AK170" s="10"/>
      <c r="AL170" s="10"/>
      <c r="AM170" s="10"/>
      <c r="AN170" s="10"/>
      <c r="AO170" s="10"/>
      <c r="AP170" s="10"/>
      <c r="AQ170" s="10"/>
      <c r="AR170" s="10"/>
      <c r="AS170" s="10"/>
      <c r="AT170" s="10"/>
      <c r="AU170" s="10"/>
      <c r="AV170" s="10"/>
      <c r="AW170" s="10"/>
      <c r="AX170" s="10"/>
      <c r="AY170" s="10"/>
      <c r="AZ170" s="10"/>
      <c r="BA170" s="10"/>
      <c r="BB170" s="10"/>
      <c r="BC170" s="10"/>
      <c r="BD170" s="10"/>
      <c r="BE170" s="10"/>
      <c r="BF170" s="10"/>
      <c r="BG170" s="10"/>
      <c r="BH170" s="10"/>
      <c r="BI170" s="10"/>
      <c r="BJ170" s="10"/>
      <c r="BK170" s="10"/>
    </row>
    <row r="171" spans="8:63" x14ac:dyDescent="0.3">
      <c r="H171" s="8"/>
      <c r="I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0"/>
      <c r="AH171" s="10"/>
      <c r="AI171" s="10"/>
      <c r="AJ171" s="10"/>
      <c r="AK171" s="10"/>
      <c r="AL171" s="10"/>
      <c r="AM171" s="10"/>
      <c r="AN171" s="10"/>
      <c r="AO171" s="10"/>
      <c r="AP171" s="10"/>
      <c r="AQ171" s="10"/>
      <c r="AR171" s="10"/>
      <c r="AS171" s="10"/>
      <c r="AT171" s="10"/>
      <c r="AU171" s="10"/>
      <c r="AV171" s="10"/>
      <c r="AW171" s="10"/>
      <c r="AX171" s="10"/>
      <c r="AY171" s="10"/>
      <c r="AZ171" s="10"/>
      <c r="BA171" s="10"/>
      <c r="BB171" s="10"/>
      <c r="BC171" s="10"/>
      <c r="BD171" s="10"/>
      <c r="BE171" s="10"/>
      <c r="BF171" s="10"/>
      <c r="BG171" s="10"/>
      <c r="BH171" s="10"/>
      <c r="BI171" s="10"/>
      <c r="BJ171" s="10"/>
      <c r="BK171" s="10"/>
    </row>
    <row r="172" spans="8:63" x14ac:dyDescent="0.3">
      <c r="H172" s="8"/>
      <c r="I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10"/>
      <c r="AH172" s="10"/>
      <c r="AI172" s="10"/>
      <c r="AJ172" s="10"/>
      <c r="AK172" s="10"/>
      <c r="AL172" s="10"/>
      <c r="AM172" s="10"/>
      <c r="AN172" s="10"/>
      <c r="AO172" s="10"/>
      <c r="AP172" s="10"/>
      <c r="AQ172" s="10"/>
      <c r="AR172" s="10"/>
      <c r="AS172" s="10"/>
      <c r="AT172" s="10"/>
      <c r="AU172" s="10"/>
      <c r="AV172" s="10"/>
      <c r="AW172" s="10"/>
      <c r="AX172" s="10"/>
      <c r="AY172" s="10"/>
      <c r="AZ172" s="10"/>
      <c r="BA172" s="10"/>
      <c r="BB172" s="10"/>
      <c r="BC172" s="10"/>
      <c r="BD172" s="10"/>
      <c r="BE172" s="10"/>
      <c r="BF172" s="10"/>
      <c r="BG172" s="10"/>
      <c r="BH172" s="10"/>
      <c r="BI172" s="10"/>
      <c r="BJ172" s="10"/>
      <c r="BK172" s="10"/>
    </row>
    <row r="173" spans="8:63" x14ac:dyDescent="0.3">
      <c r="H173" s="8"/>
      <c r="I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0"/>
      <c r="AH173" s="10"/>
      <c r="AI173" s="10"/>
      <c r="AJ173" s="10"/>
      <c r="AK173" s="10"/>
      <c r="AL173" s="10"/>
      <c r="AM173" s="10"/>
      <c r="AN173" s="10"/>
      <c r="AO173" s="10"/>
      <c r="AP173" s="10"/>
      <c r="AQ173" s="10"/>
      <c r="AR173" s="10"/>
      <c r="AS173" s="10"/>
      <c r="AT173" s="10"/>
      <c r="AU173" s="10"/>
      <c r="AV173" s="10"/>
      <c r="AW173" s="10"/>
      <c r="AX173" s="10"/>
      <c r="AY173" s="10"/>
      <c r="AZ173" s="10"/>
      <c r="BA173" s="10"/>
      <c r="BB173" s="10"/>
      <c r="BC173" s="10"/>
      <c r="BD173" s="10"/>
      <c r="BE173" s="10"/>
      <c r="BF173" s="10"/>
      <c r="BG173" s="10"/>
      <c r="BH173" s="10"/>
      <c r="BI173" s="10"/>
      <c r="BJ173" s="10"/>
      <c r="BK173" s="10"/>
    </row>
    <row r="174" spans="8:63" x14ac:dyDescent="0.3">
      <c r="H174" s="8"/>
      <c r="I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0"/>
      <c r="AH174" s="10"/>
      <c r="AI174" s="10"/>
      <c r="AJ174" s="10"/>
      <c r="AK174" s="10"/>
      <c r="AL174" s="10"/>
      <c r="AM174" s="10"/>
      <c r="AN174" s="10"/>
      <c r="AO174" s="10"/>
      <c r="AP174" s="10"/>
      <c r="AQ174" s="10"/>
      <c r="AR174" s="10"/>
      <c r="AS174" s="10"/>
      <c r="AT174" s="10"/>
      <c r="AU174" s="10"/>
      <c r="AV174" s="10"/>
      <c r="AW174" s="10"/>
      <c r="AX174" s="10"/>
      <c r="AY174" s="10"/>
      <c r="AZ174" s="10"/>
      <c r="BA174" s="10"/>
      <c r="BB174" s="10"/>
      <c r="BC174" s="10"/>
      <c r="BD174" s="10"/>
      <c r="BE174" s="10"/>
      <c r="BF174" s="10"/>
      <c r="BG174" s="10"/>
      <c r="BH174" s="10"/>
      <c r="BI174" s="10"/>
      <c r="BJ174" s="10"/>
      <c r="BK174" s="10"/>
    </row>
    <row r="175" spans="8:63" x14ac:dyDescent="0.3">
      <c r="H175" s="8"/>
      <c r="I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0"/>
      <c r="AH175" s="10"/>
      <c r="AI175" s="10"/>
      <c r="AJ175" s="10"/>
      <c r="AK175" s="10"/>
      <c r="AL175" s="10"/>
      <c r="AM175" s="10"/>
      <c r="AN175" s="10"/>
      <c r="AO175" s="10"/>
      <c r="AP175" s="10"/>
      <c r="AQ175" s="10"/>
      <c r="AR175" s="10"/>
      <c r="AS175" s="10"/>
      <c r="AT175" s="10"/>
      <c r="AU175" s="10"/>
      <c r="AV175" s="10"/>
      <c r="AW175" s="10"/>
      <c r="AX175" s="10"/>
      <c r="AY175" s="10"/>
      <c r="AZ175" s="10"/>
      <c r="BA175" s="10"/>
      <c r="BB175" s="10"/>
      <c r="BC175" s="10"/>
      <c r="BD175" s="10"/>
      <c r="BE175" s="10"/>
      <c r="BF175" s="10"/>
      <c r="BG175" s="10"/>
      <c r="BH175" s="10"/>
      <c r="BI175" s="10"/>
      <c r="BJ175" s="10"/>
      <c r="BK175" s="10"/>
    </row>
    <row r="176" spans="8:63" x14ac:dyDescent="0.3">
      <c r="H176" s="8"/>
      <c r="I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0"/>
      <c r="AH176" s="10"/>
      <c r="AI176" s="10"/>
      <c r="AJ176" s="10"/>
      <c r="AK176" s="10"/>
      <c r="AL176" s="10"/>
      <c r="AM176" s="10"/>
      <c r="AN176" s="10"/>
      <c r="AO176" s="10"/>
      <c r="AP176" s="10"/>
      <c r="AQ176" s="10"/>
      <c r="AR176" s="10"/>
      <c r="AS176" s="10"/>
      <c r="AT176" s="10"/>
      <c r="AU176" s="10"/>
      <c r="AV176" s="10"/>
      <c r="AW176" s="10"/>
      <c r="AX176" s="10"/>
      <c r="AY176" s="10"/>
      <c r="AZ176" s="10"/>
      <c r="BA176" s="10"/>
      <c r="BB176" s="10"/>
      <c r="BC176" s="10"/>
      <c r="BD176" s="10"/>
      <c r="BE176" s="10"/>
      <c r="BF176" s="10"/>
      <c r="BG176" s="10"/>
      <c r="BH176" s="10"/>
      <c r="BI176" s="10"/>
      <c r="BJ176" s="10"/>
      <c r="BK176" s="10"/>
    </row>
    <row r="177" spans="8:63" x14ac:dyDescent="0.3">
      <c r="H177" s="8"/>
      <c r="I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0"/>
      <c r="AH177" s="10"/>
      <c r="AI177" s="10"/>
      <c r="AJ177" s="10"/>
      <c r="AK177" s="10"/>
      <c r="AL177" s="10"/>
      <c r="AM177" s="10"/>
      <c r="AN177" s="10"/>
      <c r="AO177" s="10"/>
      <c r="AP177" s="10"/>
      <c r="AQ177" s="10"/>
      <c r="AR177" s="10"/>
      <c r="AS177" s="10"/>
      <c r="AT177" s="10"/>
      <c r="AU177" s="10"/>
      <c r="AV177" s="10"/>
      <c r="AW177" s="10"/>
      <c r="AX177" s="10"/>
      <c r="AY177" s="10"/>
      <c r="AZ177" s="10"/>
      <c r="BA177" s="10"/>
      <c r="BB177" s="10"/>
      <c r="BC177" s="10"/>
      <c r="BD177" s="10"/>
      <c r="BE177" s="10"/>
      <c r="BF177" s="10"/>
      <c r="BG177" s="10"/>
      <c r="BH177" s="10"/>
      <c r="BI177" s="10"/>
      <c r="BJ177" s="10"/>
      <c r="BK177" s="10"/>
    </row>
    <row r="178" spans="8:63" x14ac:dyDescent="0.3">
      <c r="H178" s="8"/>
      <c r="I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0"/>
      <c r="AH178" s="10"/>
      <c r="AI178" s="10"/>
      <c r="AJ178" s="10"/>
      <c r="AK178" s="10"/>
      <c r="AL178" s="10"/>
      <c r="AM178" s="10"/>
      <c r="AN178" s="10"/>
      <c r="AO178" s="10"/>
      <c r="AP178" s="10"/>
      <c r="AQ178" s="10"/>
      <c r="AR178" s="10"/>
      <c r="AS178" s="10"/>
      <c r="AT178" s="10"/>
      <c r="AU178" s="10"/>
      <c r="AV178" s="10"/>
      <c r="AW178" s="10"/>
      <c r="AX178" s="10"/>
      <c r="AY178" s="10"/>
      <c r="AZ178" s="10"/>
      <c r="BA178" s="10"/>
      <c r="BB178" s="10"/>
      <c r="BC178" s="10"/>
      <c r="BD178" s="10"/>
      <c r="BE178" s="10"/>
      <c r="BF178" s="10"/>
      <c r="BG178" s="10"/>
      <c r="BH178" s="10"/>
      <c r="BI178" s="10"/>
      <c r="BJ178" s="10"/>
      <c r="BK178" s="10"/>
    </row>
    <row r="179" spans="8:63" x14ac:dyDescent="0.3">
      <c r="H179" s="8"/>
      <c r="I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0"/>
      <c r="AH179" s="10"/>
      <c r="AI179" s="10"/>
      <c r="AJ179" s="10"/>
      <c r="AK179" s="10"/>
      <c r="AL179" s="10"/>
      <c r="AM179" s="10"/>
      <c r="AN179" s="10"/>
      <c r="AO179" s="10"/>
      <c r="AP179" s="10"/>
      <c r="AQ179" s="10"/>
      <c r="AR179" s="10"/>
      <c r="AS179" s="10"/>
      <c r="AT179" s="10"/>
      <c r="AU179" s="10"/>
      <c r="AV179" s="10"/>
      <c r="AW179" s="10"/>
      <c r="AX179" s="10"/>
      <c r="AY179" s="10"/>
      <c r="AZ179" s="10"/>
      <c r="BA179" s="10"/>
      <c r="BB179" s="10"/>
      <c r="BC179" s="10"/>
      <c r="BD179" s="10"/>
      <c r="BE179" s="10"/>
      <c r="BF179" s="10"/>
      <c r="BG179" s="10"/>
      <c r="BH179" s="10"/>
      <c r="BI179" s="10"/>
      <c r="BJ179" s="10"/>
      <c r="BK179" s="10"/>
    </row>
    <row r="180" spans="8:63" x14ac:dyDescent="0.3">
      <c r="H180" s="8"/>
      <c r="I180" s="10"/>
      <c r="K180" s="10"/>
      <c r="L180" s="10"/>
      <c r="M180" s="10"/>
      <c r="N180" s="10"/>
      <c r="O180" s="10"/>
      <c r="P180" s="10"/>
      <c r="Q180" s="10"/>
      <c r="R180" s="10"/>
      <c r="S180" s="10"/>
      <c r="T180" s="10"/>
      <c r="U180" s="10"/>
      <c r="V180" s="10"/>
      <c r="W180" s="10"/>
      <c r="X180" s="10"/>
      <c r="Y180" s="10"/>
      <c r="Z180" s="10"/>
      <c r="AA180" s="10"/>
      <c r="AB180" s="10"/>
      <c r="AC180" s="10"/>
      <c r="AD180" s="10"/>
      <c r="AE180" s="10"/>
      <c r="AF180" s="10"/>
      <c r="AG180" s="10"/>
      <c r="AH180" s="10"/>
      <c r="AI180" s="10"/>
      <c r="AJ180" s="10"/>
      <c r="AK180" s="10"/>
      <c r="AL180" s="10"/>
      <c r="AM180" s="10"/>
      <c r="AN180" s="10"/>
      <c r="AO180" s="10"/>
      <c r="AP180" s="10"/>
      <c r="AQ180" s="10"/>
      <c r="AR180" s="10"/>
      <c r="AS180" s="10"/>
      <c r="AT180" s="10"/>
      <c r="AU180" s="10"/>
      <c r="AV180" s="10"/>
      <c r="AW180" s="10"/>
      <c r="AX180" s="10"/>
      <c r="AY180" s="10"/>
      <c r="AZ180" s="10"/>
      <c r="BA180" s="10"/>
      <c r="BB180" s="10"/>
      <c r="BC180" s="10"/>
      <c r="BD180" s="10"/>
      <c r="BE180" s="10"/>
      <c r="BF180" s="10"/>
      <c r="BG180" s="10"/>
      <c r="BH180" s="10"/>
      <c r="BI180" s="10"/>
      <c r="BJ180" s="10"/>
      <c r="BK180" s="10"/>
    </row>
    <row r="181" spans="8:63" x14ac:dyDescent="0.3">
      <c r="H181" s="8"/>
      <c r="I181" s="10"/>
      <c r="K181" s="10"/>
      <c r="L181" s="10"/>
      <c r="M181" s="10"/>
      <c r="N181" s="10"/>
      <c r="O181" s="10"/>
      <c r="P181" s="10"/>
      <c r="Q181" s="10"/>
      <c r="R181" s="10"/>
      <c r="S181" s="10"/>
      <c r="T181" s="10"/>
      <c r="U181" s="10"/>
      <c r="V181" s="10"/>
      <c r="W181" s="10"/>
      <c r="X181" s="10"/>
      <c r="Y181" s="10"/>
      <c r="Z181" s="10"/>
      <c r="AA181" s="10"/>
      <c r="AB181" s="10"/>
      <c r="AC181" s="10"/>
      <c r="AD181" s="10"/>
      <c r="AE181" s="10"/>
      <c r="AF181" s="10"/>
      <c r="AG181" s="10"/>
      <c r="AH181" s="10"/>
      <c r="AI181" s="10"/>
      <c r="AJ181" s="10"/>
      <c r="AK181" s="10"/>
      <c r="AL181" s="10"/>
      <c r="AM181" s="10"/>
      <c r="AN181" s="10"/>
      <c r="AO181" s="10"/>
      <c r="AP181" s="10"/>
      <c r="AQ181" s="10"/>
      <c r="AR181" s="10"/>
      <c r="AS181" s="10"/>
      <c r="AT181" s="10"/>
      <c r="AU181" s="10"/>
      <c r="AV181" s="10"/>
      <c r="AW181" s="10"/>
      <c r="AX181" s="10"/>
      <c r="AY181" s="10"/>
      <c r="AZ181" s="10"/>
      <c r="BA181" s="10"/>
      <c r="BB181" s="10"/>
      <c r="BC181" s="10"/>
      <c r="BD181" s="10"/>
      <c r="BE181" s="10"/>
      <c r="BF181" s="10"/>
      <c r="BG181" s="10"/>
      <c r="BH181" s="10"/>
      <c r="BI181" s="10"/>
      <c r="BJ181" s="10"/>
      <c r="BK181" s="10"/>
    </row>
    <row r="182" spans="8:63" x14ac:dyDescent="0.3">
      <c r="H182" s="8"/>
      <c r="I182" s="10"/>
      <c r="K182" s="10"/>
      <c r="L182" s="10"/>
      <c r="M182" s="10"/>
      <c r="N182" s="10"/>
      <c r="O182" s="10"/>
      <c r="P182" s="10"/>
      <c r="Q182" s="10"/>
      <c r="R182" s="10"/>
      <c r="S182" s="10"/>
      <c r="T182" s="10"/>
      <c r="U182" s="10"/>
      <c r="V182" s="10"/>
      <c r="W182" s="10"/>
      <c r="X182" s="10"/>
      <c r="Y182" s="10"/>
      <c r="Z182" s="10"/>
      <c r="AA182" s="10"/>
      <c r="AB182" s="10"/>
      <c r="AC182" s="10"/>
      <c r="AD182" s="10"/>
      <c r="AE182" s="10"/>
      <c r="AF182" s="10"/>
      <c r="AG182" s="10"/>
      <c r="AH182" s="10"/>
      <c r="AI182" s="10"/>
      <c r="AJ182" s="10"/>
      <c r="AK182" s="10"/>
      <c r="AL182" s="10"/>
      <c r="AM182" s="10"/>
      <c r="AN182" s="10"/>
      <c r="AO182" s="10"/>
      <c r="AP182" s="10"/>
      <c r="AQ182" s="10"/>
      <c r="AR182" s="10"/>
      <c r="AS182" s="10"/>
      <c r="AT182" s="10"/>
      <c r="AU182" s="10"/>
      <c r="AV182" s="10"/>
      <c r="AW182" s="10"/>
      <c r="AX182" s="10"/>
      <c r="AY182" s="10"/>
      <c r="AZ182" s="10"/>
      <c r="BA182" s="10"/>
      <c r="BB182" s="10"/>
      <c r="BC182" s="10"/>
      <c r="BD182" s="10"/>
      <c r="BE182" s="10"/>
      <c r="BF182" s="10"/>
      <c r="BG182" s="10"/>
      <c r="BH182" s="10"/>
      <c r="BI182" s="10"/>
      <c r="BJ182" s="10"/>
      <c r="BK182" s="10"/>
    </row>
    <row r="183" spans="8:63" x14ac:dyDescent="0.3">
      <c r="H183" s="8"/>
      <c r="I183" s="10"/>
      <c r="K183" s="10"/>
      <c r="L183" s="10"/>
      <c r="M183" s="10"/>
      <c r="N183" s="10"/>
      <c r="O183" s="10"/>
      <c r="P183" s="10"/>
      <c r="Q183" s="10"/>
      <c r="R183" s="10"/>
      <c r="S183" s="10"/>
      <c r="T183" s="10"/>
      <c r="U183" s="10"/>
      <c r="V183" s="10"/>
      <c r="W183" s="10"/>
      <c r="X183" s="10"/>
      <c r="Y183" s="10"/>
      <c r="Z183" s="10"/>
      <c r="AA183" s="10"/>
      <c r="AB183" s="10"/>
      <c r="AC183" s="10"/>
      <c r="AD183" s="10"/>
      <c r="AE183" s="10"/>
      <c r="AF183" s="10"/>
      <c r="AG183" s="10"/>
      <c r="AH183" s="10"/>
      <c r="AI183" s="10"/>
      <c r="AJ183" s="10"/>
      <c r="AK183" s="10"/>
      <c r="AL183" s="10"/>
      <c r="AM183" s="10"/>
      <c r="AN183" s="10"/>
      <c r="AO183" s="10"/>
      <c r="AP183" s="10"/>
      <c r="AQ183" s="10"/>
      <c r="AR183" s="10"/>
      <c r="AS183" s="10"/>
      <c r="AT183" s="10"/>
      <c r="AU183" s="10"/>
      <c r="AV183" s="10"/>
      <c r="AW183" s="10"/>
      <c r="AX183" s="10"/>
      <c r="AY183" s="10"/>
      <c r="AZ183" s="10"/>
      <c r="BA183" s="10"/>
      <c r="BB183" s="10"/>
      <c r="BC183" s="10"/>
      <c r="BD183" s="10"/>
      <c r="BE183" s="10"/>
      <c r="BF183" s="10"/>
      <c r="BG183" s="10"/>
      <c r="BH183" s="10"/>
      <c r="BI183" s="10"/>
      <c r="BJ183" s="10"/>
      <c r="BK183" s="10"/>
    </row>
    <row r="184" spans="8:63" x14ac:dyDescent="0.3">
      <c r="H184" s="8"/>
      <c r="I184" s="10"/>
      <c r="K184" s="10"/>
      <c r="L184" s="10"/>
      <c r="M184" s="10"/>
      <c r="N184" s="10"/>
      <c r="O184" s="10"/>
      <c r="P184" s="10"/>
      <c r="Q184" s="10"/>
      <c r="R184" s="10"/>
      <c r="S184" s="10"/>
      <c r="T184" s="10"/>
      <c r="U184" s="10"/>
      <c r="V184" s="10"/>
      <c r="W184" s="10"/>
      <c r="X184" s="10"/>
      <c r="Y184" s="10"/>
      <c r="Z184" s="10"/>
      <c r="AA184" s="10"/>
      <c r="AB184" s="10"/>
      <c r="AC184" s="10"/>
      <c r="AD184" s="10"/>
      <c r="AE184" s="10"/>
      <c r="AF184" s="10"/>
      <c r="AG184" s="10"/>
      <c r="AH184" s="10"/>
      <c r="AI184" s="10"/>
      <c r="AJ184" s="10"/>
      <c r="AK184" s="10"/>
      <c r="AL184" s="10"/>
      <c r="AM184" s="10"/>
      <c r="AN184" s="10"/>
      <c r="AO184" s="10"/>
      <c r="AP184" s="10"/>
      <c r="AQ184" s="10"/>
      <c r="AR184" s="10"/>
      <c r="AS184" s="10"/>
      <c r="AT184" s="10"/>
      <c r="AU184" s="10"/>
      <c r="AV184" s="10"/>
      <c r="AW184" s="10"/>
      <c r="AX184" s="10"/>
      <c r="AY184" s="10"/>
      <c r="AZ184" s="10"/>
      <c r="BA184" s="10"/>
      <c r="BB184" s="10"/>
      <c r="BC184" s="10"/>
      <c r="BD184" s="10"/>
      <c r="BE184" s="10"/>
      <c r="BF184" s="10"/>
      <c r="BG184" s="10"/>
      <c r="BH184" s="10"/>
      <c r="BI184" s="10"/>
      <c r="BJ184" s="10"/>
      <c r="BK184" s="10"/>
    </row>
    <row r="185" spans="8:63" x14ac:dyDescent="0.3">
      <c r="H185" s="8"/>
      <c r="I185" s="10"/>
      <c r="K185" s="10"/>
      <c r="L185" s="10"/>
      <c r="M185" s="10"/>
      <c r="N185" s="10"/>
      <c r="O185" s="10"/>
      <c r="P185" s="10"/>
      <c r="Q185" s="10"/>
      <c r="R185" s="10"/>
      <c r="S185" s="10"/>
      <c r="T185" s="10"/>
      <c r="U185" s="10"/>
      <c r="V185" s="10"/>
      <c r="W185" s="10"/>
      <c r="X185" s="10"/>
      <c r="Y185" s="10"/>
      <c r="Z185" s="10"/>
      <c r="AA185" s="10"/>
      <c r="AB185" s="10"/>
      <c r="AC185" s="10"/>
      <c r="AD185" s="10"/>
      <c r="AE185" s="10"/>
      <c r="AF185" s="10"/>
      <c r="AG185" s="10"/>
      <c r="AH185" s="10"/>
      <c r="AI185" s="10"/>
      <c r="AJ185" s="10"/>
      <c r="AK185" s="10"/>
      <c r="AL185" s="10"/>
      <c r="AM185" s="10"/>
      <c r="AN185" s="10"/>
      <c r="AO185" s="10"/>
      <c r="AP185" s="10"/>
      <c r="AQ185" s="10"/>
      <c r="AR185" s="10"/>
      <c r="AS185" s="10"/>
      <c r="AT185" s="10"/>
      <c r="AU185" s="10"/>
      <c r="AV185" s="10"/>
      <c r="AW185" s="10"/>
      <c r="AX185" s="10"/>
      <c r="AY185" s="10"/>
      <c r="AZ185" s="10"/>
      <c r="BA185" s="10"/>
      <c r="BB185" s="10"/>
      <c r="BC185" s="10"/>
      <c r="BD185" s="10"/>
      <c r="BE185" s="10"/>
      <c r="BF185" s="10"/>
      <c r="BG185" s="10"/>
      <c r="BH185" s="10"/>
      <c r="BI185" s="10"/>
      <c r="BJ185" s="10"/>
      <c r="BK185" s="10"/>
    </row>
    <row r="186" spans="8:63" x14ac:dyDescent="0.3">
      <c r="H186" s="8"/>
      <c r="I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10"/>
      <c r="BC186" s="10"/>
      <c r="BD186" s="10"/>
      <c r="BE186" s="10"/>
      <c r="BF186" s="10"/>
      <c r="BG186" s="10"/>
      <c r="BH186" s="10"/>
      <c r="BI186" s="10"/>
      <c r="BJ186" s="10"/>
      <c r="BK186" s="10"/>
    </row>
    <row r="187" spans="8:63" x14ac:dyDescent="0.3">
      <c r="H187" s="8"/>
      <c r="I187" s="10"/>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0"/>
      <c r="AH187" s="10"/>
      <c r="AI187" s="10"/>
      <c r="AJ187" s="10"/>
      <c r="AK187" s="10"/>
      <c r="AL187" s="10"/>
      <c r="AM187" s="10"/>
      <c r="AN187" s="10"/>
      <c r="AO187" s="10"/>
      <c r="AP187" s="10"/>
      <c r="AQ187" s="10"/>
      <c r="AR187" s="10"/>
      <c r="AS187" s="10"/>
      <c r="AT187" s="10"/>
      <c r="AU187" s="10"/>
      <c r="AV187" s="10"/>
      <c r="AW187" s="10"/>
      <c r="AX187" s="10"/>
      <c r="AY187" s="10"/>
      <c r="AZ187" s="10"/>
      <c r="BA187" s="10"/>
      <c r="BB187" s="10"/>
      <c r="BC187" s="10"/>
      <c r="BD187" s="10"/>
      <c r="BE187" s="10"/>
      <c r="BF187" s="10"/>
      <c r="BG187" s="10"/>
      <c r="BH187" s="10"/>
      <c r="BI187" s="10"/>
      <c r="BJ187" s="10"/>
      <c r="BK187" s="10"/>
    </row>
    <row r="188" spans="8:63" x14ac:dyDescent="0.3">
      <c r="H188" s="8"/>
      <c r="I188" s="10"/>
      <c r="K188" s="10"/>
      <c r="L188" s="10"/>
      <c r="M188" s="10"/>
      <c r="N188" s="10"/>
      <c r="O188" s="10"/>
      <c r="P188" s="10"/>
      <c r="Q188" s="10"/>
      <c r="R188" s="10"/>
      <c r="S188" s="10"/>
      <c r="T188" s="10"/>
      <c r="U188" s="10"/>
      <c r="V188" s="10"/>
      <c r="W188" s="10"/>
      <c r="X188" s="10"/>
      <c r="Y188" s="10"/>
      <c r="Z188" s="10"/>
      <c r="AA188" s="10"/>
      <c r="AB188" s="10"/>
      <c r="AC188" s="10"/>
      <c r="AD188" s="10"/>
      <c r="AE188" s="10"/>
      <c r="AF188" s="10"/>
      <c r="AG188" s="10"/>
      <c r="AH188" s="10"/>
      <c r="AI188" s="10"/>
      <c r="AJ188" s="10"/>
      <c r="AK188" s="10"/>
      <c r="AL188" s="10"/>
      <c r="AM188" s="10"/>
      <c r="AN188" s="10"/>
      <c r="AO188" s="10"/>
      <c r="AP188" s="10"/>
      <c r="AQ188" s="10"/>
      <c r="AR188" s="10"/>
      <c r="AS188" s="10"/>
      <c r="AT188" s="10"/>
      <c r="AU188" s="10"/>
      <c r="AV188" s="10"/>
      <c r="AW188" s="10"/>
      <c r="AX188" s="10"/>
      <c r="AY188" s="10"/>
      <c r="AZ188" s="10"/>
      <c r="BA188" s="10"/>
      <c r="BB188" s="10"/>
      <c r="BC188" s="10"/>
      <c r="BD188" s="10"/>
      <c r="BE188" s="10"/>
      <c r="BF188" s="10"/>
      <c r="BG188" s="10"/>
      <c r="BH188" s="10"/>
      <c r="BI188" s="10"/>
      <c r="BJ188" s="10"/>
      <c r="BK188" s="10"/>
    </row>
    <row r="189" spans="8:63" x14ac:dyDescent="0.3">
      <c r="H189" s="8"/>
      <c r="I189" s="10"/>
      <c r="K189" s="10"/>
      <c r="L189" s="10"/>
      <c r="M189" s="10"/>
      <c r="N189" s="10"/>
      <c r="O189" s="10"/>
      <c r="P189" s="10"/>
      <c r="Q189" s="10"/>
      <c r="R189" s="10"/>
      <c r="S189" s="10"/>
      <c r="T189" s="10"/>
      <c r="U189" s="10"/>
      <c r="V189" s="10"/>
      <c r="W189" s="10"/>
      <c r="X189" s="10"/>
      <c r="Y189" s="10"/>
      <c r="Z189" s="10"/>
      <c r="AA189" s="10"/>
      <c r="AB189" s="10"/>
      <c r="AC189" s="10"/>
      <c r="AD189" s="10"/>
      <c r="AE189" s="10"/>
      <c r="AF189" s="10"/>
      <c r="AG189" s="10"/>
      <c r="AH189" s="10"/>
      <c r="AI189" s="10"/>
      <c r="AJ189" s="10"/>
      <c r="AK189" s="10"/>
      <c r="AL189" s="10"/>
      <c r="AM189" s="10"/>
      <c r="AN189" s="10"/>
      <c r="AO189" s="10"/>
      <c r="AP189" s="10"/>
      <c r="AQ189" s="10"/>
      <c r="AR189" s="10"/>
      <c r="AS189" s="10"/>
      <c r="AT189" s="10"/>
      <c r="AU189" s="10"/>
      <c r="AV189" s="10"/>
      <c r="AW189" s="10"/>
      <c r="AX189" s="10"/>
      <c r="AY189" s="10"/>
      <c r="AZ189" s="10"/>
      <c r="BA189" s="10"/>
      <c r="BB189" s="10"/>
      <c r="BC189" s="10"/>
      <c r="BD189" s="10"/>
      <c r="BE189" s="10"/>
      <c r="BF189" s="10"/>
      <c r="BG189" s="10"/>
      <c r="BH189" s="10"/>
      <c r="BI189" s="10"/>
      <c r="BJ189" s="10"/>
      <c r="BK189" s="10"/>
    </row>
    <row r="190" spans="8:63" x14ac:dyDescent="0.3">
      <c r="H190" s="8"/>
      <c r="I190" s="10"/>
      <c r="K190" s="10"/>
      <c r="L190" s="10"/>
      <c r="M190" s="10"/>
      <c r="N190" s="10"/>
      <c r="O190" s="10"/>
      <c r="P190" s="10"/>
      <c r="Q190" s="10"/>
      <c r="R190" s="10"/>
      <c r="S190" s="10"/>
      <c r="T190" s="10"/>
      <c r="U190" s="10"/>
      <c r="V190" s="10"/>
      <c r="W190" s="10"/>
      <c r="X190" s="10"/>
      <c r="Y190" s="10"/>
      <c r="Z190" s="10"/>
      <c r="AA190" s="10"/>
      <c r="AB190" s="10"/>
      <c r="AC190" s="10"/>
      <c r="AD190" s="10"/>
      <c r="AE190" s="10"/>
      <c r="AF190" s="10"/>
      <c r="AG190" s="10"/>
      <c r="AH190" s="10"/>
      <c r="AI190" s="10"/>
      <c r="AJ190" s="10"/>
      <c r="AK190" s="10"/>
      <c r="AL190" s="10"/>
      <c r="AM190" s="10"/>
      <c r="AN190" s="10"/>
      <c r="AO190" s="10"/>
      <c r="AP190" s="10"/>
      <c r="AQ190" s="10"/>
      <c r="AR190" s="10"/>
      <c r="AS190" s="10"/>
      <c r="AT190" s="10"/>
      <c r="AU190" s="10"/>
      <c r="AV190" s="10"/>
      <c r="AW190" s="10"/>
      <c r="AX190" s="10"/>
      <c r="AY190" s="10"/>
      <c r="AZ190" s="10"/>
      <c r="BA190" s="10"/>
      <c r="BB190" s="10"/>
      <c r="BC190" s="10"/>
      <c r="BD190" s="10"/>
      <c r="BE190" s="10"/>
      <c r="BF190" s="10"/>
      <c r="BG190" s="10"/>
      <c r="BH190" s="10"/>
      <c r="BI190" s="10"/>
      <c r="BJ190" s="10"/>
      <c r="BK190" s="10"/>
    </row>
    <row r="191" spans="8:63" x14ac:dyDescent="0.3">
      <c r="H191" s="8"/>
      <c r="I191" s="10"/>
      <c r="K191" s="10"/>
      <c r="L191" s="10"/>
      <c r="M191" s="10"/>
      <c r="N191" s="10"/>
      <c r="O191" s="10"/>
      <c r="P191" s="10"/>
      <c r="Q191" s="10"/>
      <c r="R191" s="10"/>
      <c r="S191" s="10"/>
      <c r="T191" s="10"/>
      <c r="U191" s="10"/>
      <c r="V191" s="10"/>
      <c r="W191" s="10"/>
      <c r="X191" s="10"/>
      <c r="Y191" s="10"/>
      <c r="Z191" s="10"/>
      <c r="AA191" s="10"/>
      <c r="AB191" s="10"/>
      <c r="AC191" s="10"/>
      <c r="AD191" s="10"/>
      <c r="AE191" s="10"/>
      <c r="AF191" s="10"/>
      <c r="AG191" s="10"/>
      <c r="AH191" s="10"/>
      <c r="AI191" s="10"/>
      <c r="AJ191" s="10"/>
      <c r="AK191" s="10"/>
      <c r="AL191" s="10"/>
      <c r="AM191" s="10"/>
      <c r="AN191" s="10"/>
      <c r="AO191" s="10"/>
      <c r="AP191" s="10"/>
      <c r="AQ191" s="10"/>
      <c r="AR191" s="10"/>
      <c r="AS191" s="10"/>
      <c r="AT191" s="10"/>
      <c r="AU191" s="10"/>
      <c r="AV191" s="10"/>
      <c r="AW191" s="10"/>
      <c r="AX191" s="10"/>
      <c r="AY191" s="10"/>
      <c r="AZ191" s="10"/>
      <c r="BA191" s="10"/>
      <c r="BB191" s="10"/>
      <c r="BC191" s="10"/>
      <c r="BD191" s="10"/>
      <c r="BE191" s="10"/>
      <c r="BF191" s="10"/>
      <c r="BG191" s="10"/>
      <c r="BH191" s="10"/>
      <c r="BI191" s="10"/>
      <c r="BJ191" s="10"/>
      <c r="BK191" s="10"/>
    </row>
    <row r="192" spans="8:63" x14ac:dyDescent="0.3">
      <c r="H192" s="8"/>
      <c r="I192" s="10"/>
      <c r="K192" s="10"/>
      <c r="L192" s="10"/>
      <c r="M192" s="10"/>
      <c r="N192" s="10"/>
      <c r="O192" s="10"/>
      <c r="P192" s="10"/>
      <c r="Q192" s="10"/>
      <c r="R192" s="10"/>
      <c r="S192" s="10"/>
      <c r="T192" s="10"/>
      <c r="U192" s="10"/>
      <c r="V192" s="10"/>
      <c r="W192" s="10"/>
      <c r="X192" s="10"/>
      <c r="Y192" s="10"/>
      <c r="Z192" s="10"/>
      <c r="AA192" s="10"/>
      <c r="AB192" s="10"/>
      <c r="AC192" s="10"/>
      <c r="AD192" s="10"/>
      <c r="AE192" s="10"/>
      <c r="AF192" s="10"/>
      <c r="AG192" s="10"/>
      <c r="AH192" s="10"/>
      <c r="AI192" s="10"/>
      <c r="AJ192" s="10"/>
      <c r="AK192" s="10"/>
      <c r="AL192" s="10"/>
      <c r="AM192" s="10"/>
      <c r="AN192" s="10"/>
      <c r="AO192" s="10"/>
      <c r="AP192" s="10"/>
      <c r="AQ192" s="10"/>
      <c r="AR192" s="10"/>
      <c r="AS192" s="10"/>
      <c r="AT192" s="10"/>
      <c r="AU192" s="10"/>
      <c r="AV192" s="10"/>
      <c r="AW192" s="10"/>
      <c r="AX192" s="10"/>
      <c r="AY192" s="10"/>
      <c r="AZ192" s="10"/>
      <c r="BA192" s="10"/>
      <c r="BB192" s="10"/>
      <c r="BC192" s="10"/>
      <c r="BD192" s="10"/>
      <c r="BE192" s="10"/>
      <c r="BF192" s="10"/>
      <c r="BG192" s="10"/>
      <c r="BH192" s="10"/>
      <c r="BI192" s="10"/>
      <c r="BJ192" s="10"/>
      <c r="BK192" s="10"/>
    </row>
    <row r="193" spans="8:63" x14ac:dyDescent="0.3">
      <c r="H193" s="8"/>
      <c r="I193" s="10"/>
      <c r="K193" s="10"/>
      <c r="L193" s="10"/>
      <c r="M193" s="10"/>
      <c r="N193" s="10"/>
      <c r="O193" s="10"/>
      <c r="P193" s="10"/>
      <c r="Q193" s="10"/>
      <c r="R193" s="10"/>
      <c r="S193" s="10"/>
      <c r="T193" s="10"/>
      <c r="U193" s="10"/>
      <c r="V193" s="10"/>
      <c r="W193" s="10"/>
      <c r="X193" s="10"/>
      <c r="Y193" s="10"/>
      <c r="Z193" s="10"/>
      <c r="AA193" s="10"/>
      <c r="AB193" s="10"/>
      <c r="AC193" s="10"/>
      <c r="AD193" s="10"/>
      <c r="AE193" s="10"/>
      <c r="AF193" s="10"/>
      <c r="AG193" s="10"/>
      <c r="AH193" s="10"/>
      <c r="AI193" s="10"/>
      <c r="AJ193" s="10"/>
      <c r="AK193" s="10"/>
      <c r="AL193" s="10"/>
      <c r="AM193" s="10"/>
      <c r="AN193" s="10"/>
      <c r="AO193" s="10"/>
      <c r="AP193" s="10"/>
      <c r="AQ193" s="10"/>
      <c r="AR193" s="10"/>
      <c r="AS193" s="10"/>
      <c r="AT193" s="10"/>
      <c r="AU193" s="10"/>
      <c r="AV193" s="10"/>
      <c r="AW193" s="10"/>
      <c r="AX193" s="10"/>
      <c r="AY193" s="10"/>
      <c r="AZ193" s="10"/>
      <c r="BA193" s="10"/>
      <c r="BB193" s="10"/>
      <c r="BC193" s="10"/>
      <c r="BD193" s="10"/>
      <c r="BE193" s="10"/>
      <c r="BF193" s="10"/>
      <c r="BG193" s="10"/>
      <c r="BH193" s="10"/>
      <c r="BI193" s="10"/>
      <c r="BJ193" s="10"/>
      <c r="BK193" s="10"/>
    </row>
    <row r="194" spans="8:63" x14ac:dyDescent="0.3">
      <c r="H194" s="8"/>
      <c r="I194" s="10"/>
      <c r="K194" s="10"/>
      <c r="L194" s="10"/>
      <c r="M194" s="10"/>
      <c r="N194" s="10"/>
      <c r="O194" s="10"/>
      <c r="P194" s="10"/>
      <c r="Q194" s="10"/>
      <c r="R194" s="10"/>
      <c r="S194" s="10"/>
      <c r="T194" s="10"/>
      <c r="U194" s="10"/>
      <c r="V194" s="10"/>
      <c r="W194" s="10"/>
      <c r="X194" s="10"/>
      <c r="Y194" s="10"/>
      <c r="Z194" s="10"/>
      <c r="AA194" s="10"/>
      <c r="AB194" s="10"/>
      <c r="AC194" s="10"/>
      <c r="AD194" s="10"/>
      <c r="AE194" s="10"/>
      <c r="AF194" s="10"/>
      <c r="AG194" s="10"/>
      <c r="AH194" s="10"/>
      <c r="AI194" s="10"/>
      <c r="AJ194" s="10"/>
      <c r="AK194" s="10"/>
      <c r="AL194" s="10"/>
      <c r="AM194" s="10"/>
      <c r="AN194" s="10"/>
      <c r="AO194" s="10"/>
      <c r="AP194" s="10"/>
      <c r="AQ194" s="10"/>
      <c r="AR194" s="10"/>
      <c r="AS194" s="10"/>
      <c r="AT194" s="10"/>
      <c r="AU194" s="10"/>
      <c r="AV194" s="10"/>
      <c r="AW194" s="10"/>
      <c r="AX194" s="10"/>
      <c r="AY194" s="10"/>
      <c r="AZ194" s="10"/>
      <c r="BA194" s="10"/>
      <c r="BB194" s="10"/>
      <c r="BC194" s="10"/>
      <c r="BD194" s="10"/>
      <c r="BE194" s="10"/>
      <c r="BF194" s="10"/>
      <c r="BG194" s="10"/>
      <c r="BH194" s="10"/>
      <c r="BI194" s="10"/>
      <c r="BJ194" s="10"/>
      <c r="BK194" s="10"/>
    </row>
    <row r="195" spans="8:63" x14ac:dyDescent="0.3">
      <c r="H195" s="8"/>
      <c r="I195" s="10"/>
      <c r="K195" s="10"/>
      <c r="L195" s="10"/>
      <c r="M195" s="10"/>
      <c r="N195" s="10"/>
      <c r="O195" s="10"/>
      <c r="P195" s="10"/>
      <c r="Q195" s="10"/>
      <c r="R195" s="10"/>
      <c r="S195" s="10"/>
      <c r="T195" s="10"/>
      <c r="U195" s="10"/>
      <c r="V195" s="10"/>
      <c r="W195" s="10"/>
      <c r="X195" s="10"/>
      <c r="Y195" s="10"/>
      <c r="Z195" s="10"/>
      <c r="AA195" s="10"/>
      <c r="AB195" s="10"/>
      <c r="AC195" s="10"/>
      <c r="AD195" s="10"/>
      <c r="AE195" s="10"/>
      <c r="AF195" s="10"/>
      <c r="AG195" s="10"/>
      <c r="AH195" s="10"/>
      <c r="AI195" s="10"/>
      <c r="AJ195" s="10"/>
      <c r="AK195" s="10"/>
      <c r="AL195" s="10"/>
      <c r="AM195" s="10"/>
      <c r="AN195" s="10"/>
      <c r="AO195" s="10"/>
      <c r="AP195" s="10"/>
      <c r="AQ195" s="10"/>
      <c r="AR195" s="10"/>
      <c r="AS195" s="10"/>
      <c r="AT195" s="10"/>
      <c r="AU195" s="10"/>
      <c r="AV195" s="10"/>
      <c r="AW195" s="10"/>
      <c r="AX195" s="10"/>
      <c r="AY195" s="10"/>
      <c r="AZ195" s="10"/>
      <c r="BA195" s="10"/>
      <c r="BB195" s="10"/>
      <c r="BC195" s="10"/>
      <c r="BD195" s="10"/>
      <c r="BE195" s="10"/>
      <c r="BF195" s="10"/>
      <c r="BG195" s="10"/>
      <c r="BH195" s="10"/>
      <c r="BI195" s="10"/>
      <c r="BJ195" s="10"/>
      <c r="BK195" s="10"/>
    </row>
    <row r="196" spans="8:63" x14ac:dyDescent="0.3">
      <c r="H196" s="8"/>
      <c r="I196" s="10"/>
      <c r="K196" s="10"/>
      <c r="L196" s="10"/>
      <c r="M196" s="10"/>
      <c r="N196" s="10"/>
      <c r="O196" s="10"/>
      <c r="P196" s="10"/>
      <c r="Q196" s="10"/>
      <c r="R196" s="10"/>
      <c r="S196" s="10"/>
      <c r="T196" s="10"/>
      <c r="U196" s="10"/>
      <c r="V196" s="10"/>
      <c r="W196" s="10"/>
      <c r="X196" s="10"/>
      <c r="Y196" s="10"/>
      <c r="Z196" s="10"/>
      <c r="AA196" s="10"/>
      <c r="AB196" s="10"/>
      <c r="AC196" s="10"/>
      <c r="AD196" s="10"/>
      <c r="AE196" s="10"/>
      <c r="AF196" s="10"/>
      <c r="AG196" s="10"/>
      <c r="AH196" s="10"/>
      <c r="AI196" s="10"/>
      <c r="AJ196" s="10"/>
      <c r="AK196" s="10"/>
      <c r="AL196" s="10"/>
      <c r="AM196" s="10"/>
      <c r="AN196" s="10"/>
      <c r="AO196" s="10"/>
      <c r="AP196" s="10"/>
      <c r="AQ196" s="10"/>
      <c r="AR196" s="10"/>
      <c r="AS196" s="10"/>
      <c r="AT196" s="10"/>
      <c r="AU196" s="10"/>
      <c r="AV196" s="10"/>
      <c r="AW196" s="10"/>
      <c r="AX196" s="10"/>
      <c r="AY196" s="10"/>
      <c r="AZ196" s="10"/>
      <c r="BA196" s="10"/>
      <c r="BB196" s="10"/>
      <c r="BC196" s="10"/>
      <c r="BD196" s="10"/>
      <c r="BE196" s="10"/>
      <c r="BF196" s="10"/>
      <c r="BG196" s="10"/>
      <c r="BH196" s="10"/>
      <c r="BI196" s="10"/>
      <c r="BJ196" s="10"/>
      <c r="BK196" s="10"/>
    </row>
    <row r="197" spans="8:63" x14ac:dyDescent="0.3">
      <c r="H197" s="8"/>
      <c r="I197" s="10"/>
      <c r="K197" s="10"/>
      <c r="L197" s="10"/>
      <c r="M197" s="10"/>
      <c r="N197" s="10"/>
      <c r="O197" s="10"/>
      <c r="P197" s="10"/>
      <c r="Q197" s="10"/>
      <c r="R197" s="10"/>
      <c r="S197" s="10"/>
      <c r="T197" s="10"/>
      <c r="U197" s="10"/>
      <c r="V197" s="10"/>
      <c r="W197" s="10"/>
      <c r="X197" s="10"/>
      <c r="Y197" s="10"/>
      <c r="Z197" s="10"/>
      <c r="AA197" s="10"/>
      <c r="AB197" s="10"/>
      <c r="AC197" s="10"/>
      <c r="AD197" s="10"/>
      <c r="AE197" s="10"/>
      <c r="AF197" s="10"/>
      <c r="AG197" s="10"/>
      <c r="AH197" s="10"/>
      <c r="AI197" s="10"/>
      <c r="AJ197" s="10"/>
      <c r="AK197" s="10"/>
      <c r="AL197" s="10"/>
      <c r="AM197" s="10"/>
      <c r="AN197" s="10"/>
      <c r="AO197" s="10"/>
      <c r="AP197" s="10"/>
      <c r="AQ197" s="10"/>
      <c r="AR197" s="10"/>
      <c r="AS197" s="10"/>
      <c r="AT197" s="10"/>
      <c r="AU197" s="10"/>
      <c r="AV197" s="10"/>
      <c r="AW197" s="10"/>
      <c r="AX197" s="10"/>
      <c r="AY197" s="10"/>
      <c r="AZ197" s="10"/>
      <c r="BA197" s="10"/>
      <c r="BB197" s="10"/>
      <c r="BC197" s="10"/>
      <c r="BD197" s="10"/>
      <c r="BE197" s="10"/>
      <c r="BF197" s="10"/>
      <c r="BG197" s="10"/>
      <c r="BH197" s="10"/>
      <c r="BI197" s="10"/>
      <c r="BJ197" s="10"/>
      <c r="BK197" s="10"/>
    </row>
    <row r="198" spans="8:63" x14ac:dyDescent="0.3">
      <c r="H198" s="8"/>
      <c r="I198" s="10"/>
      <c r="K198" s="10"/>
      <c r="L198" s="10"/>
      <c r="M198" s="10"/>
      <c r="N198" s="10"/>
      <c r="O198" s="10"/>
      <c r="P198" s="10"/>
      <c r="Q198" s="10"/>
      <c r="R198" s="10"/>
      <c r="S198" s="10"/>
      <c r="T198" s="10"/>
      <c r="U198" s="10"/>
      <c r="V198" s="10"/>
      <c r="W198" s="10"/>
      <c r="X198" s="10"/>
      <c r="Y198" s="10"/>
      <c r="Z198" s="10"/>
      <c r="AA198" s="10"/>
      <c r="AB198" s="10"/>
      <c r="AC198" s="10"/>
      <c r="AD198" s="10"/>
      <c r="AE198" s="10"/>
      <c r="AF198" s="10"/>
      <c r="AG198" s="10"/>
      <c r="AH198" s="10"/>
      <c r="AI198" s="10"/>
      <c r="AJ198" s="10"/>
      <c r="AK198" s="10"/>
      <c r="AL198" s="10"/>
      <c r="AM198" s="10"/>
      <c r="AN198" s="10"/>
      <c r="AO198" s="10"/>
      <c r="AP198" s="10"/>
      <c r="AQ198" s="10"/>
      <c r="AR198" s="10"/>
      <c r="AS198" s="10"/>
      <c r="AT198" s="10"/>
      <c r="AU198" s="10"/>
      <c r="AV198" s="10"/>
      <c r="AW198" s="10"/>
      <c r="AX198" s="10"/>
      <c r="AY198" s="10"/>
      <c r="AZ198" s="10"/>
      <c r="BA198" s="10"/>
      <c r="BB198" s="10"/>
      <c r="BC198" s="10"/>
      <c r="BD198" s="10"/>
      <c r="BE198" s="10"/>
      <c r="BF198" s="10"/>
      <c r="BG198" s="10"/>
      <c r="BH198" s="10"/>
      <c r="BI198" s="10"/>
      <c r="BJ198" s="10"/>
      <c r="BK198" s="10"/>
    </row>
    <row r="199" spans="8:63" x14ac:dyDescent="0.3">
      <c r="H199" s="8"/>
      <c r="I199" s="10"/>
      <c r="K199" s="10"/>
      <c r="L199" s="10"/>
      <c r="M199" s="10"/>
      <c r="N199" s="10"/>
      <c r="O199" s="10"/>
      <c r="P199" s="10"/>
      <c r="Q199" s="10"/>
      <c r="R199" s="10"/>
      <c r="S199" s="10"/>
      <c r="T199" s="10"/>
      <c r="U199" s="10"/>
      <c r="V199" s="10"/>
      <c r="W199" s="10"/>
      <c r="X199" s="10"/>
      <c r="Y199" s="10"/>
      <c r="Z199" s="10"/>
      <c r="AA199" s="10"/>
      <c r="AB199" s="10"/>
      <c r="AC199" s="10"/>
      <c r="AD199" s="10"/>
      <c r="AE199" s="10"/>
      <c r="AF199" s="10"/>
      <c r="AG199" s="10"/>
      <c r="AH199" s="10"/>
      <c r="AI199" s="10"/>
      <c r="AJ199" s="10"/>
      <c r="AK199" s="10"/>
      <c r="AL199" s="10"/>
      <c r="AM199" s="10"/>
      <c r="AN199" s="10"/>
      <c r="AO199" s="10"/>
      <c r="AP199" s="10"/>
      <c r="AQ199" s="10"/>
      <c r="AR199" s="10"/>
      <c r="AS199" s="10"/>
      <c r="AT199" s="10"/>
      <c r="AU199" s="10"/>
      <c r="AV199" s="10"/>
      <c r="AW199" s="10"/>
      <c r="AX199" s="10"/>
      <c r="AY199" s="10"/>
      <c r="AZ199" s="10"/>
      <c r="BA199" s="10"/>
      <c r="BB199" s="10"/>
      <c r="BC199" s="10"/>
      <c r="BD199" s="10"/>
      <c r="BE199" s="10"/>
      <c r="BF199" s="10"/>
      <c r="BG199" s="10"/>
      <c r="BH199" s="10"/>
      <c r="BI199" s="10"/>
      <c r="BJ199" s="10"/>
      <c r="BK199" s="10"/>
    </row>
    <row r="200" spans="8:63" x14ac:dyDescent="0.3">
      <c r="H200" s="8"/>
      <c r="I200" s="10"/>
      <c r="K200" s="10"/>
      <c r="L200" s="10"/>
      <c r="M200" s="10"/>
      <c r="N200" s="10"/>
      <c r="O200" s="10"/>
      <c r="P200" s="10"/>
      <c r="Q200" s="10"/>
      <c r="R200" s="10"/>
      <c r="S200" s="10"/>
      <c r="T200" s="10"/>
      <c r="U200" s="10"/>
      <c r="V200" s="10"/>
      <c r="W200" s="10"/>
      <c r="X200" s="10"/>
      <c r="Y200" s="10"/>
      <c r="Z200" s="10"/>
      <c r="AA200" s="10"/>
      <c r="AB200" s="10"/>
      <c r="AC200" s="10"/>
      <c r="AD200" s="10"/>
      <c r="AE200" s="10"/>
      <c r="AF200" s="10"/>
      <c r="AG200" s="10"/>
      <c r="AH200" s="10"/>
      <c r="AI200" s="10"/>
      <c r="AJ200" s="10"/>
      <c r="AK200" s="10"/>
      <c r="AL200" s="10"/>
      <c r="AM200" s="10"/>
      <c r="AN200" s="10"/>
      <c r="AO200" s="10"/>
      <c r="AP200" s="10"/>
      <c r="AQ200" s="10"/>
      <c r="AR200" s="10"/>
      <c r="AS200" s="10"/>
      <c r="AT200" s="10"/>
      <c r="AU200" s="10"/>
      <c r="AV200" s="10"/>
      <c r="AW200" s="10"/>
      <c r="AX200" s="10"/>
      <c r="AY200" s="10"/>
      <c r="AZ200" s="10"/>
      <c r="BA200" s="10"/>
      <c r="BB200" s="10"/>
      <c r="BC200" s="10"/>
      <c r="BD200" s="10"/>
      <c r="BE200" s="10"/>
      <c r="BF200" s="10"/>
      <c r="BG200" s="10"/>
      <c r="BH200" s="10"/>
      <c r="BI200" s="10"/>
      <c r="BJ200" s="10"/>
      <c r="BK200" s="10"/>
    </row>
    <row r="201" spans="8:63" x14ac:dyDescent="0.3">
      <c r="H201" s="8"/>
      <c r="I201" s="10"/>
      <c r="K201" s="10"/>
      <c r="L201" s="10"/>
      <c r="M201" s="10"/>
      <c r="N201" s="10"/>
      <c r="O201" s="10"/>
      <c r="P201" s="10"/>
      <c r="Q201" s="10"/>
      <c r="R201" s="10"/>
      <c r="S201" s="10"/>
      <c r="T201" s="10"/>
      <c r="U201" s="10"/>
      <c r="V201" s="10"/>
      <c r="W201" s="10"/>
      <c r="X201" s="10"/>
      <c r="Y201" s="10"/>
      <c r="Z201" s="10"/>
      <c r="AA201" s="10"/>
      <c r="AB201" s="10"/>
      <c r="AC201" s="10"/>
      <c r="AD201" s="10"/>
      <c r="AE201" s="10"/>
      <c r="AF201" s="10"/>
      <c r="AG201" s="10"/>
      <c r="AH201" s="10"/>
      <c r="AI201" s="10"/>
      <c r="AJ201" s="10"/>
      <c r="AK201" s="10"/>
      <c r="AL201" s="10"/>
      <c r="AM201" s="10"/>
      <c r="AN201" s="10"/>
      <c r="AO201" s="10"/>
      <c r="AP201" s="10"/>
      <c r="AQ201" s="10"/>
      <c r="AR201" s="10"/>
      <c r="AS201" s="10"/>
      <c r="AT201" s="10"/>
      <c r="AU201" s="10"/>
      <c r="AV201" s="10"/>
      <c r="AW201" s="10"/>
      <c r="AX201" s="10"/>
      <c r="AY201" s="10"/>
      <c r="AZ201" s="10"/>
      <c r="BA201" s="10"/>
      <c r="BB201" s="10"/>
      <c r="BC201" s="10"/>
      <c r="BD201" s="10"/>
      <c r="BE201" s="10"/>
      <c r="BF201" s="10"/>
      <c r="BG201" s="10"/>
      <c r="BH201" s="10"/>
      <c r="BI201" s="10"/>
      <c r="BJ201" s="10"/>
      <c r="BK201" s="10"/>
    </row>
    <row r="202" spans="8:63" x14ac:dyDescent="0.3">
      <c r="H202" s="8"/>
      <c r="I202" s="10"/>
      <c r="K202" s="10"/>
      <c r="L202" s="10"/>
      <c r="M202" s="10"/>
      <c r="N202" s="10"/>
      <c r="O202" s="10"/>
      <c r="P202" s="10"/>
      <c r="Q202" s="10"/>
      <c r="R202" s="10"/>
      <c r="S202" s="10"/>
      <c r="T202" s="10"/>
      <c r="U202" s="10"/>
      <c r="V202" s="10"/>
      <c r="W202" s="10"/>
      <c r="X202" s="10"/>
      <c r="Y202" s="10"/>
      <c r="Z202" s="10"/>
      <c r="AA202" s="10"/>
      <c r="AB202" s="10"/>
      <c r="AC202" s="10"/>
      <c r="AD202" s="10"/>
      <c r="AE202" s="10"/>
      <c r="AF202" s="10"/>
      <c r="AG202" s="10"/>
      <c r="AH202" s="10"/>
      <c r="AI202" s="10"/>
      <c r="AJ202" s="10"/>
      <c r="AK202" s="10"/>
      <c r="AL202" s="10"/>
      <c r="AM202" s="10"/>
      <c r="AN202" s="10"/>
      <c r="AO202" s="10"/>
      <c r="AP202" s="10"/>
      <c r="AQ202" s="10"/>
      <c r="AR202" s="10"/>
      <c r="AS202" s="10"/>
      <c r="AT202" s="10"/>
      <c r="AU202" s="10"/>
      <c r="AV202" s="10"/>
      <c r="AW202" s="10"/>
      <c r="AX202" s="10"/>
      <c r="AY202" s="10"/>
      <c r="AZ202" s="10"/>
      <c r="BA202" s="10"/>
      <c r="BB202" s="10"/>
      <c r="BC202" s="10"/>
      <c r="BD202" s="10"/>
      <c r="BE202" s="10"/>
      <c r="BF202" s="10"/>
      <c r="BG202" s="10"/>
      <c r="BH202" s="10"/>
      <c r="BI202" s="10"/>
      <c r="BJ202" s="10"/>
      <c r="BK202" s="10"/>
    </row>
  </sheetData>
  <mergeCells count="42">
    <mergeCell ref="K13:AM14"/>
    <mergeCell ref="AN13:BK14"/>
    <mergeCell ref="AA15:AE16"/>
    <mergeCell ref="AN15:AR16"/>
    <mergeCell ref="AW15:AZ16"/>
    <mergeCell ref="BA15:BD16"/>
    <mergeCell ref="BE15:BI16"/>
    <mergeCell ref="AF15:AI16"/>
    <mergeCell ref="AS15:AV16"/>
    <mergeCell ref="BJ15:BK16"/>
    <mergeCell ref="K15:M16"/>
    <mergeCell ref="N15:Q16"/>
    <mergeCell ref="R15:V16"/>
    <mergeCell ref="W15:Z16"/>
    <mergeCell ref="AJ15:AM16"/>
    <mergeCell ref="A15:A16"/>
    <mergeCell ref="B15:B16"/>
    <mergeCell ref="C15:C16"/>
    <mergeCell ref="D15:D16"/>
    <mergeCell ref="E15:E16"/>
    <mergeCell ref="H2:I2"/>
    <mergeCell ref="C6:D6"/>
    <mergeCell ref="F6:G6"/>
    <mergeCell ref="H6:I6"/>
    <mergeCell ref="C8:D8"/>
    <mergeCell ref="F8:G8"/>
    <mergeCell ref="H8:I8"/>
    <mergeCell ref="G159:H159"/>
    <mergeCell ref="C10:D10"/>
    <mergeCell ref="F10:G10"/>
    <mergeCell ref="H10:I10"/>
    <mergeCell ref="C12:D12"/>
    <mergeCell ref="F15:F16"/>
    <mergeCell ref="G15:G16"/>
    <mergeCell ref="H15:H16"/>
    <mergeCell ref="I15:I16"/>
    <mergeCell ref="K6:S6"/>
    <mergeCell ref="K8:S8"/>
    <mergeCell ref="K10:S10"/>
    <mergeCell ref="T6:W6"/>
    <mergeCell ref="T8:W8"/>
    <mergeCell ref="T10:W10"/>
  </mergeCells>
  <phoneticPr fontId="5" type="noConversion"/>
  <conditionalFormatting sqref="I19:I159">
    <cfRule type="cellIs" dxfId="13" priority="172" operator="equal">
      <formula>1</formula>
    </cfRule>
    <cfRule type="cellIs" dxfId="12" priority="173" operator="between">
      <formula>0.5</formula>
      <formula>0.99</formula>
    </cfRule>
    <cfRule type="cellIs" dxfId="11" priority="174" operator="lessThan">
      <formula>50</formula>
    </cfRule>
    <cfRule type="dataBar" priority="175">
      <dataBar>
        <cfvo type="min"/>
        <cfvo type="max"/>
        <color theme="8" tint="0.39997558519241921"/>
      </dataBar>
      <extLst>
        <ext xmlns:x14="http://schemas.microsoft.com/office/spreadsheetml/2009/9/main" uri="{B025F937-C7B1-47D3-B67F-A62EFF666E3E}">
          <x14:id>{7B973BF1-7ADA-49A5-A70B-53D0B1B30BD5}</x14:id>
        </ext>
      </extLst>
    </cfRule>
  </conditionalFormatting>
  <conditionalFormatting sqref="K17:BK159">
    <cfRule type="expression" dxfId="10" priority="3">
      <formula>OR(AND(K$17=TODAY(),$L$12=1),AND(OR($L$12=2,$L$12=3),K$17&lt;=TODAY(),K$18&gt;=TODAY()))</formula>
    </cfRule>
  </conditionalFormatting>
  <conditionalFormatting sqref="K20:BK158">
    <cfRule type="expression" dxfId="9" priority="9">
      <formula>AND(IF($L$12&gt;1,IF($I20&gt;0,TRUE,FALSE),TRUE),$F20&lt;=K$18,ROUNDDOWN(($H20-$F20+1)*$I20,0)+$F20-1&gt;=K$17)</formula>
    </cfRule>
    <cfRule type="expression" dxfId="8" priority="10">
      <formula>AND(NOT(ISBLANK($F20)),$F20&lt;=K$18,$H20&gt;=K$17)</formula>
    </cfRule>
  </conditionalFormatting>
  <conditionalFormatting sqref="K19:BK19 K30:BK30 K41:BK41 K61:BK61 K144:BK144">
    <cfRule type="expression" dxfId="7" priority="7" stopIfTrue="1">
      <formula>AND(IF($L$12&gt;1,IF($I19&gt;0,TRUE,FALSE),TRUE),$F19&lt;=K$18,ROUNDDOWN(($H19-$F19+1)*$I19,0)+$F19-1&gt;=K$17)</formula>
    </cfRule>
    <cfRule type="expression" dxfId="6" priority="8" stopIfTrue="1">
      <formula>AND(NOT(ISBLANK($F19)),$F19&lt;=K$18,$H19&gt;=K$17)</formula>
    </cfRule>
  </conditionalFormatting>
  <conditionalFormatting sqref="K18:BK18">
    <cfRule type="expression" dxfId="5" priority="4">
      <formula>AND(IF($L$12&gt;1,IF($I18&gt;0,TRUE,FALSE),TRUE),$F18&lt;=K$18,ROUNDDOWN(($H18-$F18+1)*$I18,0)+$F18-1&gt;=K$17)</formula>
    </cfRule>
    <cfRule type="expression" dxfId="4" priority="6">
      <formula>AND(NOT(ISBLANK($F18)),$F18&lt;=K$18,$H18&gt;=K$17)</formula>
    </cfRule>
  </conditionalFormatting>
  <conditionalFormatting sqref="T10">
    <cfRule type="cellIs" dxfId="3" priority="1" operator="greaterThan">
      <formula>$T$8</formula>
    </cfRule>
  </conditionalFormatting>
  <dataValidations count="1">
    <dataValidation type="list" allowBlank="1" showInputMessage="1" showErrorMessage="1" sqref="D145:D158 D31:D40 D42:D60 D62:D143 D20:D29" xr:uid="{00000000-0002-0000-0200-000000000000}">
      <formula1>INDIRECT("Noms")</formula1>
    </dataValidation>
  </dataValidations>
  <pageMargins left="0.7" right="0.7" top="0.75" bottom="0.75" header="0.3" footer="0.3"/>
  <pageSetup paperSize="9" orientation="landscape" r:id="rId1"/>
  <ignoredErrors>
    <ignoredError sqref="H4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074" r:id="rId4" name="scrollBAR">
              <controlPr defaultSize="0" autoPict="0" macro="[0]!macroScroll">
                <anchor moveWithCells="1">
                  <from>
                    <xdr:col>9</xdr:col>
                    <xdr:colOff>45720</xdr:colOff>
                    <xdr:row>10</xdr:row>
                    <xdr:rowOff>114300</xdr:rowOff>
                  </from>
                  <to>
                    <xdr:col>62</xdr:col>
                    <xdr:colOff>251460</xdr:colOff>
                    <xdr:row>12</xdr:row>
                    <xdr:rowOff>0</xdr:rowOff>
                  </to>
                </anchor>
              </controlPr>
            </control>
          </mc:Choice>
        </mc:AlternateContent>
        <mc:AlternateContent xmlns:mc="http://schemas.openxmlformats.org/markup-compatibility/2006">
          <mc:Choice Requires="x14">
            <control shapeId="3075" r:id="rId5" name="Group Box 3">
              <controlPr defaultSize="0" autoFill="0" autoPict="0">
                <anchor moveWithCells="1">
                  <from>
                    <xdr:col>32</xdr:col>
                    <xdr:colOff>190500</xdr:colOff>
                    <xdr:row>4</xdr:row>
                    <xdr:rowOff>274320</xdr:rowOff>
                  </from>
                  <to>
                    <xdr:col>44</xdr:col>
                    <xdr:colOff>76200</xdr:colOff>
                    <xdr:row>9</xdr:row>
                    <xdr:rowOff>137160</xdr:rowOff>
                  </to>
                </anchor>
              </controlPr>
            </control>
          </mc:Choice>
        </mc:AlternateContent>
        <mc:AlternateContent xmlns:mc="http://schemas.openxmlformats.org/markup-compatibility/2006">
          <mc:Choice Requires="x14">
            <control shapeId="3077" r:id="rId6" name="Option Button 5">
              <controlPr defaultSize="0" autoFill="0" autoLine="0" autoPict="0">
                <anchor moveWithCells="1">
                  <from>
                    <xdr:col>33</xdr:col>
                    <xdr:colOff>121920</xdr:colOff>
                    <xdr:row>5</xdr:row>
                    <xdr:rowOff>160020</xdr:rowOff>
                  </from>
                  <to>
                    <xdr:col>36</xdr:col>
                    <xdr:colOff>45720</xdr:colOff>
                    <xdr:row>7</xdr:row>
                    <xdr:rowOff>22860</xdr:rowOff>
                  </to>
                </anchor>
              </controlPr>
            </control>
          </mc:Choice>
        </mc:AlternateContent>
        <mc:AlternateContent xmlns:mc="http://schemas.openxmlformats.org/markup-compatibility/2006">
          <mc:Choice Requires="x14">
            <control shapeId="3078" r:id="rId7" name="Option Button 6">
              <controlPr defaultSize="0" autoFill="0" autoLine="0" autoPict="0">
                <anchor moveWithCells="1">
                  <from>
                    <xdr:col>33</xdr:col>
                    <xdr:colOff>121920</xdr:colOff>
                    <xdr:row>6</xdr:row>
                    <xdr:rowOff>182880</xdr:rowOff>
                  </from>
                  <to>
                    <xdr:col>36</xdr:col>
                    <xdr:colOff>45720</xdr:colOff>
                    <xdr:row>8</xdr:row>
                    <xdr:rowOff>38100</xdr:rowOff>
                  </to>
                </anchor>
              </controlPr>
            </control>
          </mc:Choice>
        </mc:AlternateContent>
        <mc:AlternateContent xmlns:mc="http://schemas.openxmlformats.org/markup-compatibility/2006">
          <mc:Choice Requires="x14">
            <control shapeId="3079" r:id="rId8" name="Option Button 7">
              <controlPr defaultSize="0" autoFill="0" autoLine="0" autoPict="0">
                <anchor moveWithCells="1">
                  <from>
                    <xdr:col>33</xdr:col>
                    <xdr:colOff>121920</xdr:colOff>
                    <xdr:row>8</xdr:row>
                    <xdr:rowOff>7620</xdr:rowOff>
                  </from>
                  <to>
                    <xdr:col>36</xdr:col>
                    <xdr:colOff>45720</xdr:colOff>
                    <xdr:row>9</xdr:row>
                    <xdr:rowOff>60960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7B973BF1-7ADA-49A5-A70B-53D0B1B30BD5}">
            <x14:dataBar minLength="0" maxLength="100" border="1">
              <x14:cfvo type="autoMin"/>
              <x14:cfvo type="autoMax"/>
              <x14:borderColor rgb="FF000000"/>
              <x14:negativeFillColor rgb="FFFF0000"/>
              <x14:axisColor rgb="FF000000"/>
            </x14:dataBar>
          </x14:cfRule>
          <xm:sqref>I19:I159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C4:D6"/>
  <sheetViews>
    <sheetView showGridLines="0" workbookViewId="0">
      <selection activeCell="D5" sqref="D5"/>
    </sheetView>
  </sheetViews>
  <sheetFormatPr baseColWidth="10" defaultColWidth="8.88671875" defaultRowHeight="14.4" x14ac:dyDescent="0.3"/>
  <cols>
    <col min="3" max="3" width="28.33203125" customWidth="1"/>
    <col min="4" max="4" width="15.5546875" customWidth="1"/>
  </cols>
  <sheetData>
    <row r="4" spans="3:4" x14ac:dyDescent="0.3">
      <c r="C4" s="94" t="s">
        <v>84</v>
      </c>
      <c r="D4" s="95" t="s">
        <v>401</v>
      </c>
    </row>
    <row r="5" spans="3:4" x14ac:dyDescent="0.3">
      <c r="C5" s="94" t="s">
        <v>85</v>
      </c>
      <c r="D5" s="95">
        <v>17</v>
      </c>
    </row>
    <row r="6" spans="3:4" x14ac:dyDescent="0.3">
      <c r="C6" s="94"/>
      <c r="D6" s="95"/>
    </row>
  </sheetData>
  <sheetProtection selectLockedCells="1"/>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Guide d'utilisation</vt:lpstr>
      <vt:lpstr>Ressources</vt:lpstr>
      <vt:lpstr>Plan de charge</vt:lpstr>
      <vt:lpstr>Paramétrage</vt:lpstr>
      <vt:lpstr>Noms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Blog-gestion-de-projet.com</dc:creator>
  <cp:lastModifiedBy>Carl Laurier</cp:lastModifiedBy>
  <cp:lastPrinted>2020-09-04T14:24:05Z</cp:lastPrinted>
  <dcterms:created xsi:type="dcterms:W3CDTF">2020-09-04T08:29:58Z</dcterms:created>
  <dcterms:modified xsi:type="dcterms:W3CDTF">2023-04-18T09:29:24Z</dcterms:modified>
</cp:coreProperties>
</file>