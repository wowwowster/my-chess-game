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D:\Freelance\BGDP\Kit du chef de projet\Version FR\Cycle de Vie\05-Contrôle\27-Tableau de bord projet\"/>
    </mc:Choice>
  </mc:AlternateContent>
  <xr:revisionPtr revIDLastSave="0" documentId="13_ncr:1_{0AD25437-1419-41BA-A262-06651E85EFF5}" xr6:coauthVersionLast="47" xr6:coauthVersionMax="47" xr10:uidLastSave="{00000000-0000-0000-0000-000000000000}"/>
  <bookViews>
    <workbookView xWindow="-108" yWindow="-108" windowWidth="23256" windowHeight="12576" activeTab="2" xr2:uid="{00000000-000D-0000-FFFF-FFFF00000000}"/>
  </bookViews>
  <sheets>
    <sheet name="Guide d'utilisation" sheetId="3" r:id="rId1"/>
    <sheet name="Dashboard de projet" sheetId="1" r:id="rId2"/>
    <sheet name="Données" sheetId="2" r:id="rId3"/>
  </sheets>
  <definedNames>
    <definedName name="Budget">Tableau3[Budget]</definedName>
    <definedName name="Elements">Tableau2[Eléments en cours]</definedName>
    <definedName name="Taches">Tableau4[Pourcentage des tâches accomplies]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5" i="2" l="1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4" i="2"/>
  <c r="K37" i="2" l="1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4" i="2"/>
  <c r="B44" i="2" l="1"/>
  <c r="B41" i="2" l="1"/>
  <c r="B42" i="2" l="1"/>
  <c r="B43" i="2"/>
  <c r="I12" i="1"/>
</calcChain>
</file>

<file path=xl/sharedStrings.xml><?xml version="1.0" encoding="utf-8"?>
<sst xmlns="http://schemas.openxmlformats.org/spreadsheetml/2006/main" count="180" uniqueCount="116">
  <si>
    <t>COMPLETE</t>
  </si>
  <si>
    <t>EN RETARD</t>
  </si>
  <si>
    <t>EN COURS</t>
  </si>
  <si>
    <t>PAS COMMENCEE</t>
  </si>
  <si>
    <t>Status</t>
  </si>
  <si>
    <t>Budget</t>
  </si>
  <si>
    <t>Actions</t>
  </si>
  <si>
    <t>Tâches</t>
  </si>
  <si>
    <t>Responsable</t>
  </si>
  <si>
    <t>Commence le</t>
  </si>
  <si>
    <t>Se termine le</t>
  </si>
  <si>
    <t>Pourcentage des tâches accomplies</t>
  </si>
  <si>
    <t>Tableau des tâches</t>
  </si>
  <si>
    <t>Eléments en cours</t>
  </si>
  <si>
    <t>Nom / Code projet</t>
  </si>
  <si>
    <t>Date de création</t>
  </si>
  <si>
    <t>Référence</t>
  </si>
  <si>
    <t>Programme PG01/Portfolio PF02</t>
  </si>
  <si>
    <t>Date de la version</t>
  </si>
  <si>
    <t>Chef de projet</t>
  </si>
  <si>
    <t>Mme.Dupont</t>
  </si>
  <si>
    <t>Numéro de version</t>
  </si>
  <si>
    <t>Service/Organisation</t>
  </si>
  <si>
    <t>Marketing/ Société XY</t>
  </si>
  <si>
    <t>En Euro</t>
  </si>
  <si>
    <t>Taux d'avancement</t>
  </si>
  <si>
    <t>%</t>
  </si>
  <si>
    <t>Légende</t>
  </si>
  <si>
    <t>Décisions</t>
  </si>
  <si>
    <t>Demandes de changement</t>
  </si>
  <si>
    <t>SAP30/CMRL</t>
  </si>
  <si>
    <t>Chantal Dupont</t>
  </si>
  <si>
    <t>Confassis S.A.</t>
  </si>
  <si>
    <t>V1,2</t>
  </si>
  <si>
    <t>Etude d'opportunité et approbation</t>
  </si>
  <si>
    <t>Préparation de la Charte Projet - Justification</t>
  </si>
  <si>
    <t>Rédaction de la Charte Projet</t>
  </si>
  <si>
    <t>Approbation de la Charte Projet</t>
  </si>
  <si>
    <t>Rédaction du cahier des charges</t>
  </si>
  <si>
    <t>Etablissement du Planning</t>
  </si>
  <si>
    <t>Etablissement Plan de Communication</t>
  </si>
  <si>
    <t>Approbation Cahier des charges,Plan de communication, Plan de projet et Planning</t>
  </si>
  <si>
    <t>Bernard Dupuis</t>
  </si>
  <si>
    <t>Coordinateurs</t>
  </si>
  <si>
    <t>Paramétrage, programmation et tests unitaires</t>
  </si>
  <si>
    <t>Equipe SAP30</t>
  </si>
  <si>
    <t xml:space="preserve">Tests, corrections et validation du système </t>
  </si>
  <si>
    <t>Validation officielle par les utilisateurs</t>
  </si>
  <si>
    <t>Validation de la phase par le comité de direction</t>
  </si>
  <si>
    <t>Coordination réalisation et tests fonctionnels</t>
  </si>
  <si>
    <t>Utilisateurs CMRL</t>
  </si>
  <si>
    <t xml:space="preserve">Tests d'intégration et consolidation, validation du système </t>
  </si>
  <si>
    <t>FORMATION DES UTILISATEURS</t>
  </si>
  <si>
    <t>Préparation et validation environnement pré-productif</t>
  </si>
  <si>
    <t>Déploiement</t>
  </si>
  <si>
    <t>Basculement et validation</t>
  </si>
  <si>
    <t>Validation Master Data</t>
  </si>
  <si>
    <t>Validation par les utilisateurs</t>
  </si>
  <si>
    <t>Décision de démarrage productif</t>
  </si>
  <si>
    <t>Démarrage productif</t>
  </si>
  <si>
    <t>Suivi bon fonctionnement, documentation et corrections</t>
  </si>
  <si>
    <t>TOUS</t>
  </si>
  <si>
    <t>Corrections Master Data</t>
  </si>
  <si>
    <t>Suivi par les utilisateurs</t>
  </si>
  <si>
    <t>Clôture novembre</t>
  </si>
  <si>
    <t>Clôture décembre</t>
  </si>
  <si>
    <t>PV Accusé de réception</t>
  </si>
  <si>
    <t>Documentation leçons apprises Projet</t>
  </si>
  <si>
    <t>Plan de corrections</t>
  </si>
  <si>
    <t>Décommissionnement anciens systèmes</t>
  </si>
  <si>
    <t>Réunion de clôture</t>
  </si>
  <si>
    <t>Daniel Château</t>
  </si>
  <si>
    <t>Assurez-vous que les macros sont activées pour le bon fonctionnement du template.</t>
  </si>
  <si>
    <t>Statut:</t>
  </si>
  <si>
    <t xml:space="preserve">1. Rendez-vous dans la feuille "Données" </t>
  </si>
  <si>
    <t>Commencez par renseigner le tableau des tâches</t>
  </si>
  <si>
    <t>Tâches:</t>
  </si>
  <si>
    <t>Responsable:</t>
  </si>
  <si>
    <t>Commence le:</t>
  </si>
  <si>
    <t>Se termine le:</t>
  </si>
  <si>
    <t>Durée en jours:</t>
  </si>
  <si>
    <t>Utilisation du template du Dashboard de suivi de projet light</t>
  </si>
  <si>
    <t>Mettez le nom du responsable de l'exécution de la tâche</t>
  </si>
  <si>
    <t>Renseignez la date de commencement de la tâche</t>
  </si>
  <si>
    <t>Renseignez la date d'achèvement prévu de la tâche</t>
  </si>
  <si>
    <t>La durée est calculée automatiquement à partir de la date de début et la date de fin que vous avez renseignées</t>
  </si>
  <si>
    <t>Mettez à jour le statut de traitement des tâches : Complété, en retard, en cours, pas commencé</t>
  </si>
  <si>
    <t xml:space="preserve">2. Rendez-vous dans la feuille "Dashboard de projet" </t>
  </si>
  <si>
    <t>Les graphes sont automatiquement dessinés en conséquence de l'enregistrement des données sur la feuille "Données"</t>
  </si>
  <si>
    <t>Pourcentage des tâches accomplies:</t>
  </si>
  <si>
    <t>Budget:</t>
  </si>
  <si>
    <t>Eléments en cours:</t>
  </si>
  <si>
    <t>Notez le nombre des éléments en cours : les décisions, les actions importantes, et les demandes de changement</t>
  </si>
  <si>
    <t>Renseignez les budgets réel et planifié au jour d'ajourd'hui</t>
  </si>
  <si>
    <t>I. Exploitation du fichier</t>
  </si>
  <si>
    <t>I. Personnalisation du fichier</t>
  </si>
  <si>
    <t>1. Rendez-vous dans la feuille "données"</t>
  </si>
  <si>
    <t>2. Identifiez le tableau où vous souhaitez ajouter un élément</t>
  </si>
  <si>
    <t>Pour chaque statut (Complété, en retard, en cours, ou pas commencée), vous verrez un pourcentage d'avancement calculé automatiquement sur la base des données que vous mettez à jour sur le "tableau des tâches".</t>
  </si>
  <si>
    <t>Au fur et à mesure que vous mettez à jour le statut de traitement des tâches, visualisez sur la feuille"Dashboard de projet" l'avancement de votre projet, en vous repérant avec le code couleur : Vert "complété", Rouge "En retard", Orange "En cours", et Gris "Pas commencé".</t>
  </si>
  <si>
    <t>3. Tapez le libellé ainsi que la valeur correspondante en dessous de la dernière ligne, comme montré dans la capture ci-dessous :</t>
  </si>
  <si>
    <t>Si vous souhaitez supprimer une ligne, il suffit de sélectionner le champ, puis cliquer sur le bouton supprimer en rouge, comme montré dans la capture ci-dessous :</t>
  </si>
  <si>
    <t>Si vous souhaitez simplement changer une valeur, il suffit de remplacer la valeur existante par la nouvelle.</t>
  </si>
  <si>
    <t>Total</t>
  </si>
  <si>
    <t>Réel cumulé</t>
  </si>
  <si>
    <t>Listez les tâches, objets de votre suivi. Référez-vous au planning projet détaillé pour la liste exhaustive des tâches.</t>
  </si>
  <si>
    <t>Conception générale fonctionnelle</t>
  </si>
  <si>
    <t>Feuille "données"</t>
  </si>
  <si>
    <t>Ajout, suppression, ou modification d'un élément</t>
  </si>
  <si>
    <t>Pour ajouter ou supprimer un élément, procédez comme suit :</t>
  </si>
  <si>
    <t>Nb jours</t>
  </si>
  <si>
    <t>Nombre Jrs</t>
  </si>
  <si>
    <t>Jours Ouvrables</t>
  </si>
  <si>
    <t>Pour ajouter une ligne, il suffit d'insérer - dans la feuille des données - une ligne juste au dessus de la ligne 36.</t>
  </si>
  <si>
    <t>Nombre d'éléments</t>
  </si>
  <si>
    <t>Stratégie2022/CMRL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</si>
</sst>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1"/>
      <color theme="1"/>
      <name val="Calibri"/>
      <family val="2"/>
      <scheme val="minor"/>
    </font>
    <font>
      <sz val="10"/>
      <color theme="1"/>
      <name val="Century Gothic"/>
      <family val="1"/>
    </font>
    <font>
      <b/>
      <sz val="10"/>
      <color theme="0"/>
      <name val="Century Gothic"/>
      <family val="1"/>
    </font>
    <font>
      <b/>
      <sz val="10"/>
      <color theme="1"/>
      <name val="Century Gothic"/>
      <family val="1"/>
    </font>
    <font>
      <b/>
      <sz val="10"/>
      <color rgb="FF008000"/>
      <name val="Century Gothic"/>
      <family val="1"/>
    </font>
    <font>
      <b/>
      <sz val="10"/>
      <color rgb="FFFF0000"/>
      <name val="Century Gothic"/>
      <family val="1"/>
    </font>
    <font>
      <b/>
      <sz val="10"/>
      <color rgb="FFFF6600"/>
      <name val="Century Gothic"/>
      <family val="1"/>
    </font>
    <font>
      <b/>
      <sz val="10"/>
      <color theme="0" tint="-0.499984740745262"/>
      <name val="Century Gothic"/>
      <family val="1"/>
    </font>
    <font>
      <sz val="10"/>
      <color theme="0"/>
      <name val="Century Gothic"/>
      <family val="1"/>
    </font>
    <font>
      <b/>
      <sz val="10"/>
      <color theme="0"/>
      <name val="Century Gothic"/>
      <family val="2"/>
    </font>
    <font>
      <sz val="11"/>
      <color theme="1"/>
      <name val="Calibri"/>
      <family val="2"/>
      <scheme val="minor"/>
    </font>
    <font>
      <b/>
      <sz val="10"/>
      <color theme="1"/>
      <name val="Century Gothic"/>
      <family val="2"/>
    </font>
    <font>
      <sz val="11"/>
      <color theme="1"/>
      <name val="Candara"/>
      <family val="2"/>
    </font>
    <font>
      <b/>
      <sz val="20"/>
      <color rgb="FF62BD8A"/>
      <name val="Candara"/>
      <family val="2"/>
    </font>
    <font>
      <sz val="11"/>
      <color rgb="FFFF0000"/>
      <name val="Candara"/>
      <family val="2"/>
    </font>
    <font>
      <sz val="14"/>
      <color rgb="FFFF0000"/>
      <name val="Calibri"/>
      <family val="2"/>
    </font>
    <font>
      <sz val="14"/>
      <color theme="1"/>
      <name val="Candara"/>
      <family val="2"/>
    </font>
    <font>
      <b/>
      <sz val="14"/>
      <color rgb="FF439B69"/>
      <name val="Candara"/>
      <family val="2"/>
    </font>
    <font>
      <b/>
      <sz val="14"/>
      <color theme="1"/>
      <name val="Candara"/>
      <family val="2"/>
    </font>
    <font>
      <sz val="14"/>
      <color rgb="FF439B69"/>
      <name val="Candara"/>
      <family val="2"/>
    </font>
    <font>
      <b/>
      <sz val="11"/>
      <color theme="1"/>
      <name val="Candara"/>
      <family val="2"/>
    </font>
    <font>
      <b/>
      <sz val="10"/>
      <name val="Century Gothic"/>
      <family val="1"/>
    </font>
    <font>
      <b/>
      <i/>
      <sz val="10"/>
      <color theme="1"/>
      <name val="Century Gothic"/>
      <family val="2"/>
    </font>
    <font>
      <i/>
      <sz val="10"/>
      <color theme="1"/>
      <name val="Century Gothic"/>
      <family val="2"/>
    </font>
    <font>
      <sz val="12"/>
      <color theme="1"/>
      <name val="Candara"/>
      <family val="2"/>
    </font>
    <font>
      <b/>
      <sz val="12"/>
      <color theme="1"/>
      <name val="Candara"/>
      <family val="2"/>
    </font>
    <font>
      <b/>
      <sz val="16"/>
      <color theme="1"/>
      <name val="Candara"/>
      <family val="2"/>
    </font>
    <font>
      <sz val="12"/>
      <name val="Candara"/>
      <family val="2"/>
    </font>
    <font>
      <sz val="10"/>
      <color theme="1"/>
      <name val="Candara"/>
      <family val="2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62C68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</fills>
  <borders count="18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rgb="FF62BD8A"/>
      </bottom>
      <diagonal/>
    </border>
    <border>
      <left style="thin">
        <color rgb="FF43A569"/>
      </left>
      <right style="thin">
        <color rgb="FF43A569"/>
      </right>
      <top style="thin">
        <color rgb="FF43A569"/>
      </top>
      <bottom style="thin">
        <color rgb="FF43A569"/>
      </bottom>
      <diagonal/>
    </border>
    <border>
      <left/>
      <right style="thin">
        <color rgb="FF62BD8A"/>
      </right>
      <top/>
      <bottom style="thin">
        <color rgb="FF62BD8A"/>
      </bottom>
      <diagonal/>
    </border>
    <border>
      <left style="thin">
        <color rgb="FF129E00"/>
      </left>
      <right/>
      <top style="thin">
        <color rgb="FF129E00"/>
      </top>
      <bottom style="thin">
        <color rgb="FF129E00"/>
      </bottom>
      <diagonal/>
    </border>
    <border>
      <left/>
      <right style="thin">
        <color rgb="FF129E00"/>
      </right>
      <top style="thin">
        <color rgb="FF129E00"/>
      </top>
      <bottom style="thin">
        <color rgb="FF129E00"/>
      </bottom>
      <diagonal/>
    </border>
    <border>
      <left/>
      <right style="thin">
        <color rgb="FF62BD8A"/>
      </right>
      <top style="thin">
        <color rgb="FF62BD8A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4">
    <xf numFmtId="0" fontId="0" fillId="0" borderId="0"/>
    <xf numFmtId="9" fontId="10" fillId="0" borderId="0" applyFont="0" applyFill="0" applyBorder="0" applyAlignment="0" applyProtection="0"/>
    <xf numFmtId="0" fontId="10" fillId="0" borderId="0"/>
    <xf numFmtId="0" fontId="10" fillId="0" borderId="0"/>
  </cellStyleXfs>
  <cellXfs count="98">
    <xf numFmtId="0" fontId="0" fillId="0" borderId="0" xfId="0"/>
    <xf numFmtId="0" fontId="1" fillId="2" borderId="0" xfId="0" applyFont="1" applyFill="1" applyAlignment="1">
      <alignment wrapText="1"/>
    </xf>
    <xf numFmtId="0" fontId="1" fillId="2" borderId="0" xfId="0" applyFont="1" applyFill="1" applyBorder="1" applyAlignment="1">
      <alignment horizontal="center" wrapText="1"/>
    </xf>
    <xf numFmtId="0" fontId="1" fillId="2" borderId="0" xfId="0" applyFont="1" applyFill="1" applyBorder="1" applyAlignment="1">
      <alignment wrapText="1"/>
    </xf>
    <xf numFmtId="0" fontId="1" fillId="0" borderId="1" xfId="0" applyFont="1" applyBorder="1" applyAlignment="1">
      <alignment horizontal="left" vertical="center" wrapText="1" indent="1"/>
    </xf>
    <xf numFmtId="0" fontId="3" fillId="2" borderId="0" xfId="0" applyFont="1" applyFill="1" applyBorder="1" applyAlignment="1">
      <alignment wrapText="1"/>
    </xf>
    <xf numFmtId="0" fontId="3" fillId="2" borderId="0" xfId="0" applyFont="1" applyFill="1" applyBorder="1" applyAlignment="1">
      <alignment horizontal="center" wrapText="1"/>
    </xf>
    <xf numFmtId="0" fontId="3" fillId="0" borderId="0" xfId="0" applyFont="1" applyAlignment="1">
      <alignment horizontal="left" vertical="center" indent="1"/>
    </xf>
    <xf numFmtId="0" fontId="1" fillId="0" borderId="0" xfId="0" applyFont="1" applyAlignment="1">
      <alignment horizontal="left" vertical="center" indent="1"/>
    </xf>
    <xf numFmtId="0" fontId="1" fillId="0" borderId="0" xfId="0" applyFont="1" applyFill="1" applyAlignment="1">
      <alignment horizontal="left" vertical="center" indent="1"/>
    </xf>
    <xf numFmtId="0" fontId="3" fillId="3" borderId="1" xfId="0" applyFont="1" applyFill="1" applyBorder="1" applyAlignment="1">
      <alignment horizontal="left" vertical="center" indent="1"/>
    </xf>
    <xf numFmtId="0" fontId="1" fillId="3" borderId="1" xfId="0" applyFont="1" applyFill="1" applyBorder="1" applyAlignment="1">
      <alignment horizontal="left" vertical="center" indent="1"/>
    </xf>
    <xf numFmtId="14" fontId="1" fillId="3" borderId="1" xfId="0" applyNumberFormat="1" applyFont="1" applyFill="1" applyBorder="1" applyAlignment="1">
      <alignment horizontal="left" vertical="center" indent="1"/>
    </xf>
    <xf numFmtId="0" fontId="1" fillId="0" borderId="0" xfId="0" applyFont="1" applyAlignment="1">
      <alignment wrapText="1"/>
    </xf>
    <xf numFmtId="0" fontId="9" fillId="4" borderId="2" xfId="0" applyFont="1" applyFill="1" applyBorder="1" applyAlignment="1">
      <alignment horizontal="left" vertical="center" indent="1"/>
    </xf>
    <xf numFmtId="9" fontId="4" fillId="0" borderId="1" xfId="0" applyNumberFormat="1" applyFont="1" applyBorder="1" applyAlignment="1">
      <alignment horizontal="center" vertical="center"/>
    </xf>
    <xf numFmtId="9" fontId="5" fillId="0" borderId="1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2" fillId="2" borderId="0" xfId="2" applyFont="1" applyFill="1"/>
    <xf numFmtId="0" fontId="13" fillId="2" borderId="0" xfId="2" applyFont="1" applyFill="1" applyAlignment="1">
      <alignment vertical="center"/>
    </xf>
    <xf numFmtId="0" fontId="14" fillId="2" borderId="0" xfId="2" applyFont="1" applyFill="1"/>
    <xf numFmtId="0" fontId="15" fillId="2" borderId="0" xfId="2" applyFont="1" applyFill="1" applyAlignment="1">
      <alignment horizontal="center" vertical="center" wrapText="1" readingOrder="1"/>
    </xf>
    <xf numFmtId="0" fontId="16" fillId="2" borderId="0" xfId="2" applyFont="1" applyFill="1"/>
    <xf numFmtId="0" fontId="17" fillId="2" borderId="3" xfId="0" applyFont="1" applyFill="1" applyBorder="1" applyAlignment="1">
      <alignment vertical="center"/>
    </xf>
    <xf numFmtId="0" fontId="16" fillId="2" borderId="0" xfId="2" applyFont="1" applyFill="1" applyAlignment="1">
      <alignment vertical="center"/>
    </xf>
    <xf numFmtId="0" fontId="17" fillId="2" borderId="5" xfId="0" applyFont="1" applyFill="1" applyBorder="1" applyAlignment="1">
      <alignment vertical="center"/>
    </xf>
    <xf numFmtId="0" fontId="17" fillId="2" borderId="0" xfId="0" applyFont="1" applyFill="1" applyAlignment="1">
      <alignment vertical="center"/>
    </xf>
    <xf numFmtId="0" fontId="18" fillId="2" borderId="0" xfId="0" applyFont="1" applyFill="1" applyAlignment="1">
      <alignment vertical="center"/>
    </xf>
    <xf numFmtId="0" fontId="16" fillId="5" borderId="0" xfId="2" applyFont="1" applyFill="1" applyAlignment="1">
      <alignment vertical="center"/>
    </xf>
    <xf numFmtId="0" fontId="19" fillId="2" borderId="0" xfId="0" applyFont="1" applyFill="1" applyAlignment="1">
      <alignment vertical="center"/>
    </xf>
    <xf numFmtId="14" fontId="18" fillId="5" borderId="5" xfId="3" applyNumberFormat="1" applyFont="1" applyFill="1" applyBorder="1" applyAlignment="1" applyProtection="1">
      <alignment horizontal="center" vertical="center"/>
      <protection locked="0"/>
    </xf>
    <xf numFmtId="49" fontId="18" fillId="5" borderId="8" xfId="3" applyNumberFormat="1" applyFont="1" applyFill="1" applyBorder="1" applyAlignment="1" applyProtection="1">
      <alignment horizontal="center" vertical="center"/>
      <protection locked="0"/>
    </xf>
    <xf numFmtId="9" fontId="21" fillId="7" borderId="10" xfId="0" applyNumberFormat="1" applyFont="1" applyFill="1" applyBorder="1" applyAlignment="1">
      <alignment horizontal="center" vertical="center"/>
    </xf>
    <xf numFmtId="9" fontId="2" fillId="8" borderId="10" xfId="0" applyNumberFormat="1" applyFont="1" applyFill="1" applyBorder="1" applyAlignment="1">
      <alignment horizontal="center" vertical="center"/>
    </xf>
    <xf numFmtId="0" fontId="21" fillId="9" borderId="10" xfId="0" applyFont="1" applyFill="1" applyBorder="1" applyAlignment="1">
      <alignment horizontal="center" vertical="center"/>
    </xf>
    <xf numFmtId="0" fontId="20" fillId="2" borderId="9" xfId="2" applyFont="1" applyFill="1" applyBorder="1" applyAlignment="1">
      <alignment horizontal="center" vertical="center"/>
    </xf>
    <xf numFmtId="0" fontId="21" fillId="10" borderId="11" xfId="0" applyFont="1" applyFill="1" applyBorder="1" applyAlignment="1">
      <alignment horizontal="center" vertical="center"/>
    </xf>
    <xf numFmtId="0" fontId="11" fillId="0" borderId="1" xfId="0" applyFont="1" applyBorder="1" applyAlignment="1">
      <alignment horizontal="left" vertical="center" wrapText="1" indent="1"/>
    </xf>
    <xf numFmtId="0" fontId="22" fillId="0" borderId="1" xfId="0" applyFont="1" applyBorder="1" applyAlignment="1">
      <alignment horizontal="left" vertical="center" wrapText="1" indent="1"/>
    </xf>
    <xf numFmtId="0" fontId="23" fillId="0" borderId="1" xfId="0" applyFont="1" applyBorder="1" applyAlignment="1">
      <alignment horizontal="left" vertical="center" wrapText="1" indent="1"/>
    </xf>
    <xf numFmtId="0" fontId="12" fillId="2" borderId="0" xfId="0" applyFont="1" applyFill="1" applyAlignment="1">
      <alignment vertical="top"/>
    </xf>
    <xf numFmtId="0" fontId="24" fillId="2" borderId="0" xfId="0" applyFont="1" applyFill="1"/>
    <xf numFmtId="0" fontId="25" fillId="2" borderId="0" xfId="0" applyFont="1" applyFill="1"/>
    <xf numFmtId="0" fontId="25" fillId="2" borderId="0" xfId="0" applyFont="1" applyFill="1" applyAlignment="1">
      <alignment vertical="top"/>
    </xf>
    <xf numFmtId="0" fontId="24" fillId="2" borderId="0" xfId="0" applyFont="1" applyFill="1" applyAlignment="1">
      <alignment wrapText="1"/>
    </xf>
    <xf numFmtId="0" fontId="14" fillId="2" borderId="0" xfId="0" applyFont="1" applyFill="1" applyAlignment="1">
      <alignment vertical="top"/>
    </xf>
    <xf numFmtId="0" fontId="1" fillId="0" borderId="12" xfId="0" applyFont="1" applyFill="1" applyBorder="1" applyAlignment="1">
      <alignment horizontal="left" vertical="center" indent="1"/>
    </xf>
    <xf numFmtId="0" fontId="1" fillId="0" borderId="13" xfId="0" applyFont="1" applyFill="1" applyBorder="1" applyAlignment="1">
      <alignment horizontal="left" vertical="center" indent="1"/>
    </xf>
    <xf numFmtId="0" fontId="1" fillId="0" borderId="13" xfId="0" applyFont="1" applyBorder="1" applyAlignment="1">
      <alignment horizontal="left" vertical="center" indent="1"/>
    </xf>
    <xf numFmtId="0" fontId="2" fillId="4" borderId="14" xfId="0" applyFont="1" applyFill="1" applyBorder="1" applyAlignment="1">
      <alignment horizontal="left" vertical="center" indent="1"/>
    </xf>
    <xf numFmtId="0" fontId="8" fillId="4" borderId="15" xfId="0" applyFont="1" applyFill="1" applyBorder="1" applyAlignment="1">
      <alignment horizontal="left" vertical="center" indent="1"/>
    </xf>
    <xf numFmtId="0" fontId="1" fillId="0" borderId="16" xfId="0" applyFont="1" applyFill="1" applyBorder="1" applyAlignment="1">
      <alignment horizontal="left" vertical="center" indent="1"/>
    </xf>
    <xf numFmtId="0" fontId="1" fillId="0" borderId="17" xfId="0" applyFont="1" applyBorder="1" applyAlignment="1">
      <alignment horizontal="left" vertical="center" indent="1"/>
    </xf>
    <xf numFmtId="0" fontId="1" fillId="0" borderId="12" xfId="0" applyFont="1" applyBorder="1" applyAlignment="1">
      <alignment horizontal="left" vertical="center" indent="1"/>
    </xf>
    <xf numFmtId="3" fontId="1" fillId="0" borderId="13" xfId="0" applyNumberFormat="1" applyFont="1" applyBorder="1" applyAlignment="1">
      <alignment horizontal="left" vertical="center" indent="1"/>
    </xf>
    <xf numFmtId="0" fontId="9" fillId="4" borderId="14" xfId="0" applyFont="1" applyFill="1" applyBorder="1" applyAlignment="1">
      <alignment horizontal="left" vertical="center" indent="1"/>
    </xf>
    <xf numFmtId="0" fontId="9" fillId="4" borderId="15" xfId="0" applyFont="1" applyFill="1" applyBorder="1" applyAlignment="1">
      <alignment horizontal="left" vertical="center" indent="1"/>
    </xf>
    <xf numFmtId="0" fontId="1" fillId="0" borderId="16" xfId="0" applyFont="1" applyBorder="1" applyAlignment="1">
      <alignment horizontal="left" vertical="center" indent="1"/>
    </xf>
    <xf numFmtId="3" fontId="1" fillId="0" borderId="17" xfId="0" applyNumberFormat="1" applyFont="1" applyBorder="1" applyAlignment="1">
      <alignment horizontal="left" vertical="center" indent="1"/>
    </xf>
    <xf numFmtId="9" fontId="4" fillId="0" borderId="12" xfId="0" applyNumberFormat="1" applyFont="1" applyBorder="1" applyAlignment="1">
      <alignment horizontal="left" vertical="center" indent="1"/>
    </xf>
    <xf numFmtId="9" fontId="5" fillId="0" borderId="12" xfId="0" applyNumberFormat="1" applyFont="1" applyBorder="1" applyAlignment="1">
      <alignment horizontal="left" vertical="center" indent="1"/>
    </xf>
    <xf numFmtId="0" fontId="6" fillId="0" borderId="12" xfId="0" applyFont="1" applyBorder="1" applyAlignment="1">
      <alignment horizontal="left" vertical="center" indent="1"/>
    </xf>
    <xf numFmtId="10" fontId="11" fillId="0" borderId="13" xfId="0" applyNumberFormat="1" applyFont="1" applyBorder="1" applyAlignment="1">
      <alignment horizontal="center" vertical="center"/>
    </xf>
    <xf numFmtId="0" fontId="9" fillId="4" borderId="15" xfId="0" applyFont="1" applyFill="1" applyBorder="1" applyAlignment="1">
      <alignment horizontal="center" vertical="center"/>
    </xf>
    <xf numFmtId="0" fontId="7" fillId="0" borderId="16" xfId="0" applyFont="1" applyFill="1" applyBorder="1" applyAlignment="1">
      <alignment horizontal="left" vertical="center" indent="1"/>
    </xf>
    <xf numFmtId="10" fontId="11" fillId="0" borderId="17" xfId="0" applyNumberFormat="1" applyFont="1" applyBorder="1" applyAlignment="1">
      <alignment horizontal="center" vertical="center"/>
    </xf>
    <xf numFmtId="0" fontId="26" fillId="6" borderId="0" xfId="0" applyFont="1" applyFill="1" applyAlignment="1">
      <alignment vertical="top"/>
    </xf>
    <xf numFmtId="0" fontId="24" fillId="2" borderId="0" xfId="0" applyFont="1" applyFill="1" applyAlignment="1"/>
    <xf numFmtId="0" fontId="24" fillId="2" borderId="0" xfId="0" applyFont="1" applyFill="1" applyAlignment="1">
      <alignment horizontal="left" vertical="center"/>
    </xf>
    <xf numFmtId="0" fontId="26" fillId="2" borderId="0" xfId="0" applyFont="1" applyFill="1" applyAlignment="1">
      <alignment horizontal="left" vertical="top"/>
    </xf>
    <xf numFmtId="0" fontId="26" fillId="2" borderId="0" xfId="0" applyFont="1" applyFill="1"/>
    <xf numFmtId="0" fontId="12" fillId="2" borderId="0" xfId="0" applyFont="1" applyFill="1"/>
    <xf numFmtId="0" fontId="24" fillId="2" borderId="0" xfId="0" applyFont="1" applyFill="1" applyAlignment="1">
      <alignment horizontal="left" wrapText="1"/>
    </xf>
    <xf numFmtId="0" fontId="12" fillId="6" borderId="0" xfId="0" applyFont="1" applyFill="1"/>
    <xf numFmtId="0" fontId="20" fillId="2" borderId="0" xfId="0" applyFont="1" applyFill="1"/>
    <xf numFmtId="0" fontId="27" fillId="2" borderId="0" xfId="0" applyFont="1" applyFill="1"/>
    <xf numFmtId="0" fontId="27" fillId="2" borderId="0" xfId="0" applyFont="1" applyFill="1" applyAlignment="1">
      <alignment horizontal="left" wrapText="1"/>
    </xf>
    <xf numFmtId="0" fontId="28" fillId="0" borderId="0" xfId="0" applyFont="1" applyAlignment="1">
      <alignment horizontal="left" vertical="center" indent="1"/>
    </xf>
    <xf numFmtId="0" fontId="18" fillId="2" borderId="0" xfId="0" applyFont="1" applyFill="1" applyAlignment="1">
      <alignment horizontal="left" vertical="top"/>
    </xf>
    <xf numFmtId="3" fontId="1" fillId="0" borderId="0" xfId="0" applyNumberFormat="1" applyFont="1" applyBorder="1" applyAlignment="1">
      <alignment horizontal="left" vertical="center" indent="1"/>
    </xf>
    <xf numFmtId="0" fontId="9" fillId="4" borderId="2" xfId="0" applyFont="1" applyFill="1" applyBorder="1" applyAlignment="1">
      <alignment horizontal="center" vertical="center"/>
    </xf>
    <xf numFmtId="0" fontId="24" fillId="2" borderId="0" xfId="0" applyFont="1" applyFill="1" applyAlignment="1">
      <alignment horizontal="left" wrapText="1"/>
    </xf>
    <xf numFmtId="0" fontId="26" fillId="6" borderId="0" xfId="0" applyFont="1" applyFill="1" applyAlignment="1">
      <alignment horizontal="left" vertical="top"/>
    </xf>
    <xf numFmtId="0" fontId="24" fillId="2" borderId="0" xfId="0" applyFont="1" applyFill="1" applyAlignment="1">
      <alignment horizontal="left" wrapText="1"/>
    </xf>
    <xf numFmtId="0" fontId="27" fillId="2" borderId="0" xfId="0" applyFont="1" applyFill="1" applyAlignment="1">
      <alignment horizontal="left" wrapText="1"/>
    </xf>
    <xf numFmtId="0" fontId="27" fillId="2" borderId="0" xfId="0" applyFont="1" applyFill="1" applyAlignment="1">
      <alignment horizontal="left" vertical="top" wrapText="1"/>
    </xf>
    <xf numFmtId="0" fontId="24" fillId="2" borderId="0" xfId="0" applyFont="1" applyFill="1" applyAlignment="1">
      <alignment horizontal="left" vertical="top" wrapText="1"/>
    </xf>
    <xf numFmtId="49" fontId="18" fillId="6" borderId="4" xfId="0" applyNumberFormat="1" applyFont="1" applyFill="1" applyBorder="1" applyAlignment="1" applyProtection="1">
      <alignment horizontal="center" vertical="center"/>
      <protection locked="0"/>
    </xf>
    <xf numFmtId="14" fontId="18" fillId="6" borderId="6" xfId="3" applyNumberFormat="1" applyFont="1" applyFill="1" applyBorder="1" applyAlignment="1" applyProtection="1">
      <alignment horizontal="center" vertical="center"/>
      <protection locked="0"/>
    </xf>
    <xf numFmtId="14" fontId="18" fillId="6" borderId="7" xfId="3" applyNumberFormat="1" applyFont="1" applyFill="1" applyBorder="1" applyAlignment="1" applyProtection="1">
      <alignment horizontal="center" vertical="center"/>
      <protection locked="0"/>
    </xf>
    <xf numFmtId="14" fontId="18" fillId="6" borderId="4" xfId="0" applyNumberFormat="1" applyFont="1" applyFill="1" applyBorder="1" applyAlignment="1" applyProtection="1">
      <alignment horizontal="center" vertical="center"/>
      <protection locked="0"/>
    </xf>
    <xf numFmtId="9" fontId="18" fillId="6" borderId="6" xfId="1" applyFont="1" applyFill="1" applyBorder="1" applyAlignment="1" applyProtection="1">
      <alignment horizontal="center" vertical="center"/>
      <protection locked="0"/>
    </xf>
    <xf numFmtId="9" fontId="18" fillId="6" borderId="7" xfId="1" applyFont="1" applyFill="1" applyBorder="1" applyAlignment="1" applyProtection="1">
      <alignment horizontal="center" vertical="center"/>
      <protection locked="0"/>
    </xf>
  </cellXfs>
  <cellStyles count="4">
    <cellStyle name="Normal" xfId="0" builtinId="0"/>
    <cellStyle name="Normal 2" xfId="2" xr:uid="{00000000-0005-0000-0000-000001000000}"/>
    <cellStyle name="Normal 2 2" xfId="3" xr:uid="{00000000-0005-0000-0000-000002000000}"/>
    <cellStyle name="Pourcentage" xfId="1" builtinId="5"/>
  </cellStyles>
  <dxfs count="22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numFmt numFmtId="14" formatCode="0.00%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numFmt numFmtId="3" formatCode="#,##0"/>
      <alignment horizontal="left" vertical="center" textRotation="0" wrapText="0" indent="1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alignment horizontal="left" vertical="center" textRotation="0" wrapText="0" indent="1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entury Gothic"/>
        <scheme val="none"/>
      </font>
      <fill>
        <patternFill patternType="solid">
          <fgColor indexed="64"/>
          <bgColor rgb="FF62C68A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/>
        <i val="0"/>
        <color rgb="FF129E00"/>
      </font>
    </dxf>
    <dxf>
      <font>
        <b/>
        <i val="0"/>
        <color rgb="FFFF0000"/>
      </font>
    </dxf>
    <dxf>
      <font>
        <b/>
        <i val="0"/>
        <color rgb="FFFFC000"/>
      </font>
    </dxf>
    <dxf>
      <font>
        <b/>
        <i val="0"/>
        <color theme="0" tint="-0.499984740745262"/>
      </font>
    </dxf>
    <dxf>
      <font>
        <b/>
        <i val="0"/>
        <color rgb="FF129E00"/>
      </font>
    </dxf>
    <dxf>
      <font>
        <b/>
        <i val="0"/>
        <color rgb="FFFF0000"/>
      </font>
    </dxf>
    <dxf>
      <font>
        <b/>
        <i val="0"/>
        <color rgb="FFFFC000"/>
      </font>
    </dxf>
    <dxf>
      <font>
        <b/>
        <i val="0"/>
        <color theme="0" tint="-0.499984740745262"/>
      </font>
    </dxf>
  </dxfs>
  <tableStyles count="0" defaultTableStyle="TableStyleMedium2" defaultPivotStyle="PivotStyleLight16"/>
  <colors>
    <mruColors>
      <color rgb="FF129E00"/>
      <color rgb="FF62C68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7377124671131819"/>
          <c:y val="0.12790792102592649"/>
          <c:w val="0.71840069312793819"/>
          <c:h val="0.85044171697754123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Données!$C$3</c:f>
              <c:strCache>
                <c:ptCount val="1"/>
                <c:pt idx="0">
                  <c:v>Commence le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FF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E-618C-41E3-B238-9BF5BD7C0B50}"/>
              </c:ext>
            </c:extLst>
          </c:dPt>
          <c:dPt>
            <c:idx val="1"/>
            <c:invertIfNegative val="0"/>
            <c:bubble3D val="0"/>
            <c:spPr>
              <a:solidFill>
                <a:srgbClr val="FFFF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F-618C-41E3-B238-9BF5BD7C0B50}"/>
              </c:ext>
            </c:extLst>
          </c:dPt>
          <c:dPt>
            <c:idx val="2"/>
            <c:invertIfNegative val="0"/>
            <c:bubble3D val="0"/>
            <c:spPr>
              <a:solidFill>
                <a:srgbClr val="FFFF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0-618C-41E3-B238-9BF5BD7C0B50}"/>
              </c:ext>
            </c:extLst>
          </c:dPt>
          <c:dPt>
            <c:idx val="3"/>
            <c:invertIfNegative val="0"/>
            <c:bubble3D val="0"/>
            <c:spPr>
              <a:solidFill>
                <a:srgbClr val="FFFF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1-618C-41E3-B238-9BF5BD7C0B5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2-618C-41E3-B238-9BF5BD7C0B50}"/>
              </c:ext>
            </c:extLst>
          </c:dPt>
          <c:dPt>
            <c:idx val="5"/>
            <c:invertIfNegative val="0"/>
            <c:bubble3D val="0"/>
            <c:spPr>
              <a:solidFill>
                <a:srgbClr val="FFFF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3-618C-41E3-B238-9BF5BD7C0B50}"/>
              </c:ext>
            </c:extLst>
          </c:dPt>
          <c:dPt>
            <c:idx val="6"/>
            <c:invertIfNegative val="0"/>
            <c:bubble3D val="0"/>
            <c:spPr>
              <a:solidFill>
                <a:srgbClr val="FFFF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4-618C-41E3-B238-9BF5BD7C0B50}"/>
              </c:ext>
            </c:extLst>
          </c:dPt>
          <c:dPt>
            <c:idx val="7"/>
            <c:invertIfNegative val="0"/>
            <c:bubble3D val="0"/>
            <c:spPr>
              <a:solidFill>
                <a:srgbClr val="FFFF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5-618C-41E3-B238-9BF5BD7C0B50}"/>
              </c:ext>
            </c:extLst>
          </c:dPt>
          <c:dPt>
            <c:idx val="8"/>
            <c:invertIfNegative val="0"/>
            <c:bubble3D val="0"/>
            <c:spPr>
              <a:solidFill>
                <a:srgbClr val="FFFF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6-618C-41E3-B238-9BF5BD7C0B50}"/>
              </c:ext>
            </c:extLst>
          </c:dPt>
          <c:dPt>
            <c:idx val="9"/>
            <c:invertIfNegative val="0"/>
            <c:bubble3D val="0"/>
            <c:spPr>
              <a:solidFill>
                <a:srgbClr val="FFFF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7-618C-41E3-B238-9BF5BD7C0B50}"/>
              </c:ext>
            </c:extLst>
          </c:dPt>
          <c:dPt>
            <c:idx val="10"/>
            <c:invertIfNegative val="0"/>
            <c:bubble3D val="0"/>
            <c:spPr>
              <a:solidFill>
                <a:srgbClr val="FFFF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8-618C-41E3-B238-9BF5BD7C0B50}"/>
              </c:ext>
            </c:extLst>
          </c:dPt>
          <c:dPt>
            <c:idx val="11"/>
            <c:invertIfNegative val="0"/>
            <c:bubble3D val="0"/>
            <c:spPr>
              <a:solidFill>
                <a:srgbClr val="FFFF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5A6A-4D9B-B7F7-4B2754C9CFFA}"/>
              </c:ext>
            </c:extLst>
          </c:dPt>
          <c:dPt>
            <c:idx val="12"/>
            <c:invertIfNegative val="0"/>
            <c:bubble3D val="0"/>
            <c:spPr>
              <a:solidFill>
                <a:srgbClr val="FFFF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9-5A6A-4D9B-B7F7-4B2754C9CFFA}"/>
              </c:ext>
            </c:extLst>
          </c:dPt>
          <c:dPt>
            <c:idx val="13"/>
            <c:invertIfNegative val="0"/>
            <c:bubble3D val="0"/>
            <c:spPr>
              <a:solidFill>
                <a:srgbClr val="FFFF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B-5A6A-4D9B-B7F7-4B2754C9CFFA}"/>
              </c:ext>
            </c:extLst>
          </c:dPt>
          <c:dPt>
            <c:idx val="14"/>
            <c:invertIfNegative val="0"/>
            <c:bubble3D val="0"/>
            <c:spPr>
              <a:solidFill>
                <a:srgbClr val="FFFF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D-5A6A-4D9B-B7F7-4B2754C9CFFA}"/>
              </c:ext>
            </c:extLst>
          </c:dPt>
          <c:dPt>
            <c:idx val="15"/>
            <c:invertIfNegative val="0"/>
            <c:bubble3D val="0"/>
            <c:spPr>
              <a:solidFill>
                <a:srgbClr val="FFFF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0-CA40-4C76-9A4E-3E29539EB200}"/>
              </c:ext>
            </c:extLst>
          </c:dPt>
          <c:dPt>
            <c:idx val="16"/>
            <c:invertIfNegative val="0"/>
            <c:bubble3D val="0"/>
            <c:spPr>
              <a:solidFill>
                <a:srgbClr val="FFFF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2-CA40-4C76-9A4E-3E29539EB200}"/>
              </c:ext>
            </c:extLst>
          </c:dPt>
          <c:dPt>
            <c:idx val="17"/>
            <c:invertIfNegative val="0"/>
            <c:bubble3D val="0"/>
            <c:spPr>
              <a:solidFill>
                <a:srgbClr val="FFFF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4-CA40-4C76-9A4E-3E29539EB20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6-CA40-4C76-9A4E-3E29539EB200}"/>
              </c:ext>
            </c:extLst>
          </c:dPt>
          <c:dPt>
            <c:idx val="19"/>
            <c:invertIfNegative val="0"/>
            <c:bubble3D val="0"/>
            <c:spPr>
              <a:solidFill>
                <a:srgbClr val="FFFF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8-CA40-4C76-9A4E-3E29539EB200}"/>
              </c:ext>
            </c:extLst>
          </c:dPt>
          <c:dPt>
            <c:idx val="20"/>
            <c:invertIfNegative val="0"/>
            <c:bubble3D val="0"/>
            <c:spPr>
              <a:solidFill>
                <a:srgbClr val="FFFF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A-CA40-4C76-9A4E-3E29539EB200}"/>
              </c:ext>
            </c:extLst>
          </c:dPt>
          <c:dPt>
            <c:idx val="21"/>
            <c:invertIfNegative val="0"/>
            <c:bubble3D val="0"/>
            <c:spPr>
              <a:solidFill>
                <a:srgbClr val="FFFF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C-CA40-4C76-9A4E-3E29539EB200}"/>
              </c:ext>
            </c:extLst>
          </c:dPt>
          <c:dPt>
            <c:idx val="22"/>
            <c:invertIfNegative val="0"/>
            <c:bubble3D val="0"/>
            <c:spPr>
              <a:solidFill>
                <a:srgbClr val="FFFF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E-CA40-4C76-9A4E-3E29539EB200}"/>
              </c:ext>
            </c:extLst>
          </c:dPt>
          <c:dPt>
            <c:idx val="23"/>
            <c:invertIfNegative val="0"/>
            <c:bubble3D val="0"/>
            <c:spPr>
              <a:solidFill>
                <a:srgbClr val="FFFF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0-CA40-4C76-9A4E-3E29539EB200}"/>
              </c:ext>
            </c:extLst>
          </c:dPt>
          <c:dPt>
            <c:idx val="24"/>
            <c:invertIfNegative val="0"/>
            <c:bubble3D val="0"/>
            <c:spPr>
              <a:solidFill>
                <a:srgbClr val="FFFF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2-CA40-4C76-9A4E-3E29539EB200}"/>
              </c:ext>
            </c:extLst>
          </c:dPt>
          <c:dPt>
            <c:idx val="25"/>
            <c:invertIfNegative val="0"/>
            <c:bubble3D val="0"/>
            <c:spPr>
              <a:solidFill>
                <a:srgbClr val="FFFF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4-CA40-4C76-9A4E-3E29539EB200}"/>
              </c:ext>
            </c:extLst>
          </c:dPt>
          <c:dPt>
            <c:idx val="26"/>
            <c:invertIfNegative val="0"/>
            <c:bubble3D val="0"/>
            <c:spPr>
              <a:solidFill>
                <a:srgbClr val="FFFF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6-CA40-4C76-9A4E-3E29539EB200}"/>
              </c:ext>
            </c:extLst>
          </c:dPt>
          <c:dPt>
            <c:idx val="27"/>
            <c:invertIfNegative val="0"/>
            <c:bubble3D val="0"/>
            <c:spPr>
              <a:solidFill>
                <a:srgbClr val="FFFF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8-CA40-4C76-9A4E-3E29539EB200}"/>
              </c:ext>
            </c:extLst>
          </c:dPt>
          <c:dPt>
            <c:idx val="28"/>
            <c:invertIfNegative val="0"/>
            <c:bubble3D val="0"/>
            <c:spPr>
              <a:solidFill>
                <a:srgbClr val="FFFF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A-CA40-4C76-9A4E-3E29539EB200}"/>
              </c:ext>
            </c:extLst>
          </c:dPt>
          <c:dPt>
            <c:idx val="29"/>
            <c:invertIfNegative val="0"/>
            <c:bubble3D val="0"/>
            <c:spPr>
              <a:solidFill>
                <a:srgbClr val="FFFF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C-CA40-4C76-9A4E-3E29539EB200}"/>
              </c:ext>
            </c:extLst>
          </c:dPt>
          <c:dPt>
            <c:idx val="30"/>
            <c:invertIfNegative val="0"/>
            <c:bubble3D val="0"/>
            <c:spPr>
              <a:solidFill>
                <a:srgbClr val="FFFF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E-CA40-4C76-9A4E-3E29539EB200}"/>
              </c:ext>
            </c:extLst>
          </c:dPt>
          <c:dPt>
            <c:idx val="31"/>
            <c:invertIfNegative val="0"/>
            <c:bubble3D val="0"/>
            <c:spPr>
              <a:solidFill>
                <a:srgbClr val="FFFF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0-CA40-4C76-9A4E-3E29539EB200}"/>
              </c:ext>
            </c:extLst>
          </c:dPt>
          <c:dPt>
            <c:idx val="32"/>
            <c:invertIfNegative val="0"/>
            <c:bubble3D val="0"/>
            <c:spPr>
              <a:solidFill>
                <a:srgbClr val="FFFF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52-CA40-4C76-9A4E-3E29539EB200}"/>
              </c:ext>
            </c:extLst>
          </c:dPt>
          <c:dPt>
            <c:idx val="33"/>
            <c:invertIfNegative val="0"/>
            <c:bubble3D val="0"/>
            <c:spPr>
              <a:solidFill>
                <a:srgbClr val="FFFF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3-F23B-4101-BFDA-E07BE0EAD35C}"/>
              </c:ext>
            </c:extLst>
          </c:dPt>
          <c:cat>
            <c:strRef>
              <c:f>Données!$A$4:$A$37</c:f>
              <c:strCache>
                <c:ptCount val="33"/>
                <c:pt idx="0">
                  <c:v>Etude d'opportunité et approbation</c:v>
                </c:pt>
                <c:pt idx="1">
                  <c:v>Préparation de la Charte Projet - Justification</c:v>
                </c:pt>
                <c:pt idx="2">
                  <c:v>Rédaction de la Charte Projet</c:v>
                </c:pt>
                <c:pt idx="3">
                  <c:v>Approbation de la Charte Projet</c:v>
                </c:pt>
                <c:pt idx="4">
                  <c:v>Conception générale fonctionnelle</c:v>
                </c:pt>
                <c:pt idx="5">
                  <c:v>Rédaction du cahier des charges</c:v>
                </c:pt>
                <c:pt idx="6">
                  <c:v>Etablissement du Planning</c:v>
                </c:pt>
                <c:pt idx="7">
                  <c:v>Etablissement Plan de Communication</c:v>
                </c:pt>
                <c:pt idx="8">
                  <c:v>Approbation Cahier des charges,Plan de communication, Plan de projet et Planning</c:v>
                </c:pt>
                <c:pt idx="9">
                  <c:v>Paramétrage, programmation et tests unitaires</c:v>
                </c:pt>
                <c:pt idx="10">
                  <c:v>Coordination réalisation et tests fonctionnels</c:v>
                </c:pt>
                <c:pt idx="11">
                  <c:v>Tests, corrections et validation du système </c:v>
                </c:pt>
                <c:pt idx="12">
                  <c:v>Validation officielle par les utilisateurs</c:v>
                </c:pt>
                <c:pt idx="13">
                  <c:v>Validation de la phase par le comité de direction</c:v>
                </c:pt>
                <c:pt idx="14">
                  <c:v>Tests d'intégration et consolidation, validation du système </c:v>
                </c:pt>
                <c:pt idx="15">
                  <c:v>FORMATION DES UTILISATEURS</c:v>
                </c:pt>
                <c:pt idx="16">
                  <c:v>Préparation et validation environnement pré-productif</c:v>
                </c:pt>
                <c:pt idx="17">
                  <c:v>Déploiement</c:v>
                </c:pt>
                <c:pt idx="18">
                  <c:v>Basculement et validation</c:v>
                </c:pt>
                <c:pt idx="19">
                  <c:v>Validation Master Data</c:v>
                </c:pt>
                <c:pt idx="20">
                  <c:v>Validation par les utilisateurs</c:v>
                </c:pt>
                <c:pt idx="21">
                  <c:v>Décision de démarrage productif</c:v>
                </c:pt>
                <c:pt idx="22">
                  <c:v>Démarrage productif</c:v>
                </c:pt>
                <c:pt idx="23">
                  <c:v>Suivi bon fonctionnement, documentation et corrections</c:v>
                </c:pt>
                <c:pt idx="24">
                  <c:v>Corrections Master Data</c:v>
                </c:pt>
                <c:pt idx="25">
                  <c:v>Suivi par les utilisateurs</c:v>
                </c:pt>
                <c:pt idx="26">
                  <c:v>Clôture novembre</c:v>
                </c:pt>
                <c:pt idx="27">
                  <c:v>Clôture décembre</c:v>
                </c:pt>
                <c:pt idx="28">
                  <c:v>PV Accusé de réception</c:v>
                </c:pt>
                <c:pt idx="29">
                  <c:v>Documentation leçons apprises Projet</c:v>
                </c:pt>
                <c:pt idx="30">
                  <c:v>Plan de corrections</c:v>
                </c:pt>
                <c:pt idx="31">
                  <c:v>Décommissionnement anciens systèmes</c:v>
                </c:pt>
                <c:pt idx="32">
                  <c:v>Réunion de clôture</c:v>
                </c:pt>
              </c:strCache>
            </c:strRef>
          </c:cat>
          <c:val>
            <c:numRef>
              <c:f>Données!$C$4:$C$37</c:f>
              <c:numCache>
                <c:formatCode>m/d/yyyy</c:formatCode>
                <c:ptCount val="34"/>
                <c:pt idx="0">
                  <c:v>44649</c:v>
                </c:pt>
                <c:pt idx="1">
                  <c:v>44663</c:v>
                </c:pt>
                <c:pt idx="2">
                  <c:v>44670</c:v>
                </c:pt>
                <c:pt idx="3">
                  <c:v>44681</c:v>
                </c:pt>
                <c:pt idx="4">
                  <c:v>44684</c:v>
                </c:pt>
                <c:pt idx="5">
                  <c:v>44712</c:v>
                </c:pt>
                <c:pt idx="6">
                  <c:v>44712</c:v>
                </c:pt>
                <c:pt idx="7">
                  <c:v>44712</c:v>
                </c:pt>
                <c:pt idx="8">
                  <c:v>44742</c:v>
                </c:pt>
                <c:pt idx="9">
                  <c:v>44743</c:v>
                </c:pt>
                <c:pt idx="10">
                  <c:v>44743</c:v>
                </c:pt>
                <c:pt idx="11">
                  <c:v>44805</c:v>
                </c:pt>
                <c:pt idx="12">
                  <c:v>44833</c:v>
                </c:pt>
                <c:pt idx="13">
                  <c:v>44834</c:v>
                </c:pt>
                <c:pt idx="14">
                  <c:v>44835</c:v>
                </c:pt>
                <c:pt idx="15">
                  <c:v>44851</c:v>
                </c:pt>
                <c:pt idx="16">
                  <c:v>44866</c:v>
                </c:pt>
                <c:pt idx="17">
                  <c:v>44892</c:v>
                </c:pt>
                <c:pt idx="18">
                  <c:v>44893</c:v>
                </c:pt>
                <c:pt idx="19">
                  <c:v>44893</c:v>
                </c:pt>
                <c:pt idx="20">
                  <c:v>44893</c:v>
                </c:pt>
                <c:pt idx="21">
                  <c:v>44893</c:v>
                </c:pt>
                <c:pt idx="22">
                  <c:v>44894</c:v>
                </c:pt>
                <c:pt idx="23">
                  <c:v>44894</c:v>
                </c:pt>
                <c:pt idx="24">
                  <c:v>44894</c:v>
                </c:pt>
                <c:pt idx="25">
                  <c:v>44894</c:v>
                </c:pt>
                <c:pt idx="26">
                  <c:v>44896</c:v>
                </c:pt>
                <c:pt idx="27">
                  <c:v>44927</c:v>
                </c:pt>
                <c:pt idx="28">
                  <c:v>44933</c:v>
                </c:pt>
                <c:pt idx="29">
                  <c:v>44943</c:v>
                </c:pt>
                <c:pt idx="30">
                  <c:v>44943</c:v>
                </c:pt>
                <c:pt idx="31">
                  <c:v>44944</c:v>
                </c:pt>
                <c:pt idx="32">
                  <c:v>44955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6B-4AD2-9803-ABC558858817}"/>
            </c:ext>
          </c:extLst>
        </c:ser>
        <c:ser>
          <c:idx val="1"/>
          <c:order val="1"/>
          <c:tx>
            <c:strRef>
              <c:f>Données!$E$3</c:f>
              <c:strCache>
                <c:ptCount val="1"/>
                <c:pt idx="0">
                  <c:v>Nombre Jrs</c:v>
                </c:pt>
              </c:strCache>
            </c:strRef>
          </c:tx>
          <c:invertIfNegative val="0"/>
          <c:cat>
            <c:strRef>
              <c:f>Données!$A$4:$A$37</c:f>
              <c:strCache>
                <c:ptCount val="33"/>
                <c:pt idx="0">
                  <c:v>Etude d'opportunité et approbation</c:v>
                </c:pt>
                <c:pt idx="1">
                  <c:v>Préparation de la Charte Projet - Justification</c:v>
                </c:pt>
                <c:pt idx="2">
                  <c:v>Rédaction de la Charte Projet</c:v>
                </c:pt>
                <c:pt idx="3">
                  <c:v>Approbation de la Charte Projet</c:v>
                </c:pt>
                <c:pt idx="4">
                  <c:v>Conception générale fonctionnelle</c:v>
                </c:pt>
                <c:pt idx="5">
                  <c:v>Rédaction du cahier des charges</c:v>
                </c:pt>
                <c:pt idx="6">
                  <c:v>Etablissement du Planning</c:v>
                </c:pt>
                <c:pt idx="7">
                  <c:v>Etablissement Plan de Communication</c:v>
                </c:pt>
                <c:pt idx="8">
                  <c:v>Approbation Cahier des charges,Plan de communication, Plan de projet et Planning</c:v>
                </c:pt>
                <c:pt idx="9">
                  <c:v>Paramétrage, programmation et tests unitaires</c:v>
                </c:pt>
                <c:pt idx="10">
                  <c:v>Coordination réalisation et tests fonctionnels</c:v>
                </c:pt>
                <c:pt idx="11">
                  <c:v>Tests, corrections et validation du système </c:v>
                </c:pt>
                <c:pt idx="12">
                  <c:v>Validation officielle par les utilisateurs</c:v>
                </c:pt>
                <c:pt idx="13">
                  <c:v>Validation de la phase par le comité de direction</c:v>
                </c:pt>
                <c:pt idx="14">
                  <c:v>Tests d'intégration et consolidation, validation du système </c:v>
                </c:pt>
                <c:pt idx="15">
                  <c:v>FORMATION DES UTILISATEURS</c:v>
                </c:pt>
                <c:pt idx="16">
                  <c:v>Préparation et validation environnement pré-productif</c:v>
                </c:pt>
                <c:pt idx="17">
                  <c:v>Déploiement</c:v>
                </c:pt>
                <c:pt idx="18">
                  <c:v>Basculement et validation</c:v>
                </c:pt>
                <c:pt idx="19">
                  <c:v>Validation Master Data</c:v>
                </c:pt>
                <c:pt idx="20">
                  <c:v>Validation par les utilisateurs</c:v>
                </c:pt>
                <c:pt idx="21">
                  <c:v>Décision de démarrage productif</c:v>
                </c:pt>
                <c:pt idx="22">
                  <c:v>Démarrage productif</c:v>
                </c:pt>
                <c:pt idx="23">
                  <c:v>Suivi bon fonctionnement, documentation et corrections</c:v>
                </c:pt>
                <c:pt idx="24">
                  <c:v>Corrections Master Data</c:v>
                </c:pt>
                <c:pt idx="25">
                  <c:v>Suivi par les utilisateurs</c:v>
                </c:pt>
                <c:pt idx="26">
                  <c:v>Clôture novembre</c:v>
                </c:pt>
                <c:pt idx="27">
                  <c:v>Clôture décembre</c:v>
                </c:pt>
                <c:pt idx="28">
                  <c:v>PV Accusé de réception</c:v>
                </c:pt>
                <c:pt idx="29">
                  <c:v>Documentation leçons apprises Projet</c:v>
                </c:pt>
                <c:pt idx="30">
                  <c:v>Plan de corrections</c:v>
                </c:pt>
                <c:pt idx="31">
                  <c:v>Décommissionnement anciens systèmes</c:v>
                </c:pt>
                <c:pt idx="32">
                  <c:v>Réunion de clôture</c:v>
                </c:pt>
              </c:strCache>
            </c:strRef>
          </c:cat>
          <c:val>
            <c:numRef>
              <c:f>Données!$K$4:$K$36</c:f>
            </c:numRef>
          </c:val>
          <c:extLst>
            <c:ext xmlns:c16="http://schemas.microsoft.com/office/drawing/2014/chart" uri="{C3380CC4-5D6E-409C-BE32-E72D297353CC}">
              <c16:uniqueId val="{0000001F-656B-4AD2-9803-ABC558858817}"/>
            </c:ext>
          </c:extLst>
        </c:ser>
        <c:ser>
          <c:idx val="2"/>
          <c:order val="2"/>
          <c:tx>
            <c:strRef>
              <c:f>Données!$E$3</c:f>
              <c:strCache>
                <c:ptCount val="1"/>
                <c:pt idx="0">
                  <c:v>Nombre Jrs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43-46DE-452D-9B51-D8883090F984}"/>
              </c:ext>
            </c:extLst>
          </c:dPt>
          <c:dPt>
            <c:idx val="1"/>
            <c:invertIfNegative val="0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44-46DE-452D-9B51-D8883090F984}"/>
              </c:ext>
            </c:extLst>
          </c:dPt>
          <c:dPt>
            <c:idx val="2"/>
            <c:invertIfNegative val="0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45-46DE-452D-9B51-D8883090F984}"/>
              </c:ext>
            </c:extLst>
          </c:dPt>
          <c:dPt>
            <c:idx val="3"/>
            <c:invertIfNegative val="0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46-46DE-452D-9B51-D8883090F984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47-46DE-452D-9B51-D8883090F984}"/>
              </c:ext>
            </c:extLst>
          </c:dPt>
          <c:dPt>
            <c:idx val="5"/>
            <c:invertIfNegative val="0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48-46DE-452D-9B51-D8883090F984}"/>
              </c:ext>
            </c:extLst>
          </c:dPt>
          <c:dPt>
            <c:idx val="6"/>
            <c:invertIfNegative val="0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49-46DE-452D-9B51-D8883090F984}"/>
              </c:ext>
            </c:extLst>
          </c:dPt>
          <c:dPt>
            <c:idx val="7"/>
            <c:invertIfNegative val="0"/>
            <c:bubble3D val="0"/>
            <c:spPr>
              <a:solidFill>
                <a:srgbClr val="BFBFBF"/>
              </a:solidFill>
            </c:spPr>
            <c:extLst>
              <c:ext xmlns:c16="http://schemas.microsoft.com/office/drawing/2014/chart" uri="{C3380CC4-5D6E-409C-BE32-E72D297353CC}">
                <c16:uniqueId val="{0000004A-46DE-452D-9B51-D8883090F984}"/>
              </c:ext>
            </c:extLst>
          </c:dPt>
          <c:dPt>
            <c:idx val="8"/>
            <c:invertIfNegative val="0"/>
            <c:bubble3D val="0"/>
            <c:spPr>
              <a:solidFill>
                <a:srgbClr val="BFBFBF"/>
              </a:solidFill>
            </c:spPr>
            <c:extLst>
              <c:ext xmlns:c16="http://schemas.microsoft.com/office/drawing/2014/chart" uri="{C3380CC4-5D6E-409C-BE32-E72D297353CC}">
                <c16:uniqueId val="{0000004B-46DE-452D-9B51-D8883090F984}"/>
              </c:ext>
            </c:extLst>
          </c:dPt>
          <c:dPt>
            <c:idx val="9"/>
            <c:invertIfNegative val="0"/>
            <c:bubble3D val="0"/>
            <c:spPr>
              <a:solidFill>
                <a:srgbClr val="BFBFBF"/>
              </a:solidFill>
            </c:spPr>
            <c:extLst>
              <c:ext xmlns:c16="http://schemas.microsoft.com/office/drawing/2014/chart" uri="{C3380CC4-5D6E-409C-BE32-E72D297353CC}">
                <c16:uniqueId val="{0000004C-46DE-452D-9B51-D8883090F984}"/>
              </c:ext>
            </c:extLst>
          </c:dPt>
          <c:dPt>
            <c:idx val="10"/>
            <c:invertIfNegative val="0"/>
            <c:bubble3D val="0"/>
            <c:spPr>
              <a:solidFill>
                <a:srgbClr val="BFBFBF"/>
              </a:solidFill>
            </c:spPr>
            <c:extLst>
              <c:ext xmlns:c16="http://schemas.microsoft.com/office/drawing/2014/chart" uri="{C3380CC4-5D6E-409C-BE32-E72D297353CC}">
                <c16:uniqueId val="{0000004D-46DE-452D-9B51-D8883090F984}"/>
              </c:ext>
            </c:extLst>
          </c:dPt>
          <c:dPt>
            <c:idx val="11"/>
            <c:invertIfNegative val="0"/>
            <c:bubble3D val="0"/>
            <c:spPr>
              <a:solidFill>
                <a:srgbClr val="BFBFBF"/>
              </a:solidFill>
            </c:spPr>
            <c:extLst>
              <c:ext xmlns:c16="http://schemas.microsoft.com/office/drawing/2014/chart" uri="{C3380CC4-5D6E-409C-BE32-E72D297353CC}">
                <c16:uniqueId val="{0000004E-46DE-452D-9B51-D8883090F984}"/>
              </c:ext>
            </c:extLst>
          </c:dPt>
          <c:dPt>
            <c:idx val="12"/>
            <c:invertIfNegative val="0"/>
            <c:bubble3D val="0"/>
            <c:spPr>
              <a:solidFill>
                <a:srgbClr val="BFBFBF"/>
              </a:solidFill>
            </c:spPr>
            <c:extLst>
              <c:ext xmlns:c16="http://schemas.microsoft.com/office/drawing/2014/chart" uri="{C3380CC4-5D6E-409C-BE32-E72D297353CC}">
                <c16:uniqueId val="{0000004F-46DE-452D-9B51-D8883090F984}"/>
              </c:ext>
            </c:extLst>
          </c:dPt>
          <c:dPt>
            <c:idx val="13"/>
            <c:invertIfNegative val="0"/>
            <c:bubble3D val="0"/>
            <c:spPr>
              <a:solidFill>
                <a:srgbClr val="BFBFBF"/>
              </a:solidFill>
            </c:spPr>
            <c:extLst>
              <c:ext xmlns:c16="http://schemas.microsoft.com/office/drawing/2014/chart" uri="{C3380CC4-5D6E-409C-BE32-E72D297353CC}">
                <c16:uniqueId val="{00000050-46DE-452D-9B51-D8883090F984}"/>
              </c:ext>
            </c:extLst>
          </c:dPt>
          <c:dPt>
            <c:idx val="14"/>
            <c:invertIfNegative val="0"/>
            <c:bubble3D val="0"/>
            <c:spPr>
              <a:solidFill>
                <a:srgbClr val="BFBFBF"/>
              </a:solidFill>
            </c:spPr>
            <c:extLst>
              <c:ext xmlns:c16="http://schemas.microsoft.com/office/drawing/2014/chart" uri="{C3380CC4-5D6E-409C-BE32-E72D297353CC}">
                <c16:uniqueId val="{00000051-46DE-452D-9B51-D8883090F984}"/>
              </c:ext>
            </c:extLst>
          </c:dPt>
          <c:dPt>
            <c:idx val="15"/>
            <c:invertIfNegative val="0"/>
            <c:bubble3D val="0"/>
            <c:spPr>
              <a:solidFill>
                <a:srgbClr val="BFBFBF"/>
              </a:solidFill>
            </c:spPr>
            <c:extLst>
              <c:ext xmlns:c16="http://schemas.microsoft.com/office/drawing/2014/chart" uri="{C3380CC4-5D6E-409C-BE32-E72D297353CC}">
                <c16:uniqueId val="{00000052-46DE-452D-9B51-D8883090F984}"/>
              </c:ext>
            </c:extLst>
          </c:dPt>
          <c:dPt>
            <c:idx val="16"/>
            <c:invertIfNegative val="0"/>
            <c:bubble3D val="0"/>
            <c:spPr>
              <a:solidFill>
                <a:srgbClr val="BFBFBF"/>
              </a:solidFill>
            </c:spPr>
            <c:extLst>
              <c:ext xmlns:c16="http://schemas.microsoft.com/office/drawing/2014/chart" uri="{C3380CC4-5D6E-409C-BE32-E72D297353CC}">
                <c16:uniqueId val="{00000053-46DE-452D-9B51-D8883090F984}"/>
              </c:ext>
            </c:extLst>
          </c:dPt>
          <c:dPt>
            <c:idx val="17"/>
            <c:invertIfNegative val="0"/>
            <c:bubble3D val="0"/>
            <c:spPr>
              <a:solidFill>
                <a:srgbClr val="BFBFBF"/>
              </a:solidFill>
            </c:spPr>
            <c:extLst>
              <c:ext xmlns:c16="http://schemas.microsoft.com/office/drawing/2014/chart" uri="{C3380CC4-5D6E-409C-BE32-E72D297353CC}">
                <c16:uniqueId val="{00000054-46DE-452D-9B51-D8883090F984}"/>
              </c:ext>
            </c:extLst>
          </c:dPt>
          <c:dPt>
            <c:idx val="18"/>
            <c:invertIfNegative val="0"/>
            <c:bubble3D val="0"/>
            <c:spPr>
              <a:solidFill>
                <a:srgbClr val="BFBFBF"/>
              </a:solidFill>
            </c:spPr>
            <c:extLst>
              <c:ext xmlns:c16="http://schemas.microsoft.com/office/drawing/2014/chart" uri="{C3380CC4-5D6E-409C-BE32-E72D297353CC}">
                <c16:uniqueId val="{00000055-46DE-452D-9B51-D8883090F984}"/>
              </c:ext>
            </c:extLst>
          </c:dPt>
          <c:dPt>
            <c:idx val="19"/>
            <c:invertIfNegative val="0"/>
            <c:bubble3D val="0"/>
            <c:spPr>
              <a:solidFill>
                <a:srgbClr val="BFBFBF"/>
              </a:solidFill>
            </c:spPr>
            <c:extLst>
              <c:ext xmlns:c16="http://schemas.microsoft.com/office/drawing/2014/chart" uri="{C3380CC4-5D6E-409C-BE32-E72D297353CC}">
                <c16:uniqueId val="{00000056-46DE-452D-9B51-D8883090F984}"/>
              </c:ext>
            </c:extLst>
          </c:dPt>
          <c:dPt>
            <c:idx val="20"/>
            <c:invertIfNegative val="0"/>
            <c:bubble3D val="0"/>
            <c:spPr>
              <a:solidFill>
                <a:srgbClr val="BFBFBF"/>
              </a:solidFill>
            </c:spPr>
            <c:extLst>
              <c:ext xmlns:c16="http://schemas.microsoft.com/office/drawing/2014/chart" uri="{C3380CC4-5D6E-409C-BE32-E72D297353CC}">
                <c16:uniqueId val="{00000057-46DE-452D-9B51-D8883090F984}"/>
              </c:ext>
            </c:extLst>
          </c:dPt>
          <c:dPt>
            <c:idx val="21"/>
            <c:invertIfNegative val="0"/>
            <c:bubble3D val="0"/>
            <c:spPr>
              <a:solidFill>
                <a:srgbClr val="BFBFBF"/>
              </a:solidFill>
            </c:spPr>
            <c:extLst>
              <c:ext xmlns:c16="http://schemas.microsoft.com/office/drawing/2014/chart" uri="{C3380CC4-5D6E-409C-BE32-E72D297353CC}">
                <c16:uniqueId val="{00000058-46DE-452D-9B51-D8883090F984}"/>
              </c:ext>
            </c:extLst>
          </c:dPt>
          <c:dPt>
            <c:idx val="22"/>
            <c:invertIfNegative val="0"/>
            <c:bubble3D val="0"/>
            <c:spPr>
              <a:solidFill>
                <a:srgbClr val="BFBFBF"/>
              </a:solidFill>
            </c:spPr>
            <c:extLst>
              <c:ext xmlns:c16="http://schemas.microsoft.com/office/drawing/2014/chart" uri="{C3380CC4-5D6E-409C-BE32-E72D297353CC}">
                <c16:uniqueId val="{00000059-46DE-452D-9B51-D8883090F984}"/>
              </c:ext>
            </c:extLst>
          </c:dPt>
          <c:dPt>
            <c:idx val="23"/>
            <c:invertIfNegative val="0"/>
            <c:bubble3D val="0"/>
            <c:spPr>
              <a:solidFill>
                <a:srgbClr val="BFBFBF"/>
              </a:solidFill>
            </c:spPr>
            <c:extLst>
              <c:ext xmlns:c16="http://schemas.microsoft.com/office/drawing/2014/chart" uri="{C3380CC4-5D6E-409C-BE32-E72D297353CC}">
                <c16:uniqueId val="{0000005A-46DE-452D-9B51-D8883090F984}"/>
              </c:ext>
            </c:extLst>
          </c:dPt>
          <c:dPt>
            <c:idx val="24"/>
            <c:invertIfNegative val="0"/>
            <c:bubble3D val="0"/>
            <c:spPr>
              <a:solidFill>
                <a:srgbClr val="BFBFBF"/>
              </a:solidFill>
            </c:spPr>
            <c:extLst>
              <c:ext xmlns:c16="http://schemas.microsoft.com/office/drawing/2014/chart" uri="{C3380CC4-5D6E-409C-BE32-E72D297353CC}">
                <c16:uniqueId val="{0000005B-46DE-452D-9B51-D8883090F984}"/>
              </c:ext>
            </c:extLst>
          </c:dPt>
          <c:dPt>
            <c:idx val="25"/>
            <c:invertIfNegative val="0"/>
            <c:bubble3D val="0"/>
            <c:spPr>
              <a:solidFill>
                <a:srgbClr val="BFBFBF"/>
              </a:solidFill>
            </c:spPr>
            <c:extLst>
              <c:ext xmlns:c16="http://schemas.microsoft.com/office/drawing/2014/chart" uri="{C3380CC4-5D6E-409C-BE32-E72D297353CC}">
                <c16:uniqueId val="{0000005C-46DE-452D-9B51-D8883090F984}"/>
              </c:ext>
            </c:extLst>
          </c:dPt>
          <c:dPt>
            <c:idx val="26"/>
            <c:invertIfNegative val="0"/>
            <c:bubble3D val="0"/>
            <c:spPr>
              <a:solidFill>
                <a:srgbClr val="BFBFBF"/>
              </a:solidFill>
            </c:spPr>
            <c:extLst>
              <c:ext xmlns:c16="http://schemas.microsoft.com/office/drawing/2014/chart" uri="{C3380CC4-5D6E-409C-BE32-E72D297353CC}">
                <c16:uniqueId val="{0000005D-46DE-452D-9B51-D8883090F984}"/>
              </c:ext>
            </c:extLst>
          </c:dPt>
          <c:dPt>
            <c:idx val="27"/>
            <c:invertIfNegative val="0"/>
            <c:bubble3D val="0"/>
            <c:spPr>
              <a:solidFill>
                <a:srgbClr val="BFBFBF"/>
              </a:solidFill>
            </c:spPr>
            <c:extLst>
              <c:ext xmlns:c16="http://schemas.microsoft.com/office/drawing/2014/chart" uri="{C3380CC4-5D6E-409C-BE32-E72D297353CC}">
                <c16:uniqueId val="{0000005E-46DE-452D-9B51-D8883090F984}"/>
              </c:ext>
            </c:extLst>
          </c:dPt>
          <c:dPt>
            <c:idx val="28"/>
            <c:invertIfNegative val="0"/>
            <c:bubble3D val="0"/>
            <c:spPr>
              <a:solidFill>
                <a:srgbClr val="BFBFBF"/>
              </a:solidFill>
            </c:spPr>
            <c:extLst>
              <c:ext xmlns:c16="http://schemas.microsoft.com/office/drawing/2014/chart" uri="{C3380CC4-5D6E-409C-BE32-E72D297353CC}">
                <c16:uniqueId val="{0000005F-46DE-452D-9B51-D8883090F984}"/>
              </c:ext>
            </c:extLst>
          </c:dPt>
          <c:dPt>
            <c:idx val="29"/>
            <c:invertIfNegative val="0"/>
            <c:bubble3D val="0"/>
            <c:spPr>
              <a:solidFill>
                <a:srgbClr val="BFBFBF"/>
              </a:solidFill>
            </c:spPr>
            <c:extLst>
              <c:ext xmlns:c16="http://schemas.microsoft.com/office/drawing/2014/chart" uri="{C3380CC4-5D6E-409C-BE32-E72D297353CC}">
                <c16:uniqueId val="{00000060-46DE-452D-9B51-D8883090F984}"/>
              </c:ext>
            </c:extLst>
          </c:dPt>
          <c:dPt>
            <c:idx val="30"/>
            <c:invertIfNegative val="0"/>
            <c:bubble3D val="0"/>
            <c:spPr>
              <a:solidFill>
                <a:srgbClr val="BFBFBF"/>
              </a:solidFill>
            </c:spPr>
            <c:extLst>
              <c:ext xmlns:c16="http://schemas.microsoft.com/office/drawing/2014/chart" uri="{C3380CC4-5D6E-409C-BE32-E72D297353CC}">
                <c16:uniqueId val="{00000061-46DE-452D-9B51-D8883090F984}"/>
              </c:ext>
            </c:extLst>
          </c:dPt>
          <c:dPt>
            <c:idx val="31"/>
            <c:invertIfNegative val="0"/>
            <c:bubble3D val="0"/>
            <c:spPr>
              <a:solidFill>
                <a:srgbClr val="BFBFBF"/>
              </a:solidFill>
            </c:spPr>
            <c:extLst>
              <c:ext xmlns:c16="http://schemas.microsoft.com/office/drawing/2014/chart" uri="{C3380CC4-5D6E-409C-BE32-E72D297353CC}">
                <c16:uniqueId val="{00000062-46DE-452D-9B51-D8883090F984}"/>
              </c:ext>
            </c:extLst>
          </c:dPt>
          <c:dPt>
            <c:idx val="32"/>
            <c:invertIfNegative val="0"/>
            <c:bubble3D val="0"/>
            <c:spPr>
              <a:solidFill>
                <a:srgbClr val="BFBFBF"/>
              </a:solidFill>
            </c:spPr>
            <c:extLst>
              <c:ext xmlns:c16="http://schemas.microsoft.com/office/drawing/2014/chart" uri="{C3380CC4-5D6E-409C-BE32-E72D297353CC}">
                <c16:uniqueId val="{00000063-46DE-452D-9B51-D8883090F984}"/>
              </c:ext>
            </c:extLst>
          </c:dPt>
          <c:dPt>
            <c:idx val="33"/>
            <c:invertIfNegative val="0"/>
            <c:bubble3D val="0"/>
            <c:spPr>
              <a:solidFill>
                <a:srgbClr val="000000"/>
              </a:solidFill>
            </c:spPr>
            <c:extLst>
              <c:ext xmlns:c16="http://schemas.microsoft.com/office/drawing/2014/chart" uri="{C3380CC4-5D6E-409C-BE32-E72D297353CC}">
                <c16:uniqueId val="{0000008B-F23B-4101-BFDA-E07BE0EAD35C}"/>
              </c:ext>
            </c:extLst>
          </c:dPt>
          <c:cat>
            <c:strRef>
              <c:f>Données!$A$4:$A$37</c:f>
              <c:strCache>
                <c:ptCount val="33"/>
                <c:pt idx="0">
                  <c:v>Etude d'opportunité et approbation</c:v>
                </c:pt>
                <c:pt idx="1">
                  <c:v>Préparation de la Charte Projet - Justification</c:v>
                </c:pt>
                <c:pt idx="2">
                  <c:v>Rédaction de la Charte Projet</c:v>
                </c:pt>
                <c:pt idx="3">
                  <c:v>Approbation de la Charte Projet</c:v>
                </c:pt>
                <c:pt idx="4">
                  <c:v>Conception générale fonctionnelle</c:v>
                </c:pt>
                <c:pt idx="5">
                  <c:v>Rédaction du cahier des charges</c:v>
                </c:pt>
                <c:pt idx="6">
                  <c:v>Etablissement du Planning</c:v>
                </c:pt>
                <c:pt idx="7">
                  <c:v>Etablissement Plan de Communication</c:v>
                </c:pt>
                <c:pt idx="8">
                  <c:v>Approbation Cahier des charges,Plan de communication, Plan de projet et Planning</c:v>
                </c:pt>
                <c:pt idx="9">
                  <c:v>Paramétrage, programmation et tests unitaires</c:v>
                </c:pt>
                <c:pt idx="10">
                  <c:v>Coordination réalisation et tests fonctionnels</c:v>
                </c:pt>
                <c:pt idx="11">
                  <c:v>Tests, corrections et validation du système </c:v>
                </c:pt>
                <c:pt idx="12">
                  <c:v>Validation officielle par les utilisateurs</c:v>
                </c:pt>
                <c:pt idx="13">
                  <c:v>Validation de la phase par le comité de direction</c:v>
                </c:pt>
                <c:pt idx="14">
                  <c:v>Tests d'intégration et consolidation, validation du système </c:v>
                </c:pt>
                <c:pt idx="15">
                  <c:v>FORMATION DES UTILISATEURS</c:v>
                </c:pt>
                <c:pt idx="16">
                  <c:v>Préparation et validation environnement pré-productif</c:v>
                </c:pt>
                <c:pt idx="17">
                  <c:v>Déploiement</c:v>
                </c:pt>
                <c:pt idx="18">
                  <c:v>Basculement et validation</c:v>
                </c:pt>
                <c:pt idx="19">
                  <c:v>Validation Master Data</c:v>
                </c:pt>
                <c:pt idx="20">
                  <c:v>Validation par les utilisateurs</c:v>
                </c:pt>
                <c:pt idx="21">
                  <c:v>Décision de démarrage productif</c:v>
                </c:pt>
                <c:pt idx="22">
                  <c:v>Démarrage productif</c:v>
                </c:pt>
                <c:pt idx="23">
                  <c:v>Suivi bon fonctionnement, documentation et corrections</c:v>
                </c:pt>
                <c:pt idx="24">
                  <c:v>Corrections Master Data</c:v>
                </c:pt>
                <c:pt idx="25">
                  <c:v>Suivi par les utilisateurs</c:v>
                </c:pt>
                <c:pt idx="26">
                  <c:v>Clôture novembre</c:v>
                </c:pt>
                <c:pt idx="27">
                  <c:v>Clôture décembre</c:v>
                </c:pt>
                <c:pt idx="28">
                  <c:v>PV Accusé de réception</c:v>
                </c:pt>
                <c:pt idx="29">
                  <c:v>Documentation leçons apprises Projet</c:v>
                </c:pt>
                <c:pt idx="30">
                  <c:v>Plan de corrections</c:v>
                </c:pt>
                <c:pt idx="31">
                  <c:v>Décommissionnement anciens systèmes</c:v>
                </c:pt>
                <c:pt idx="32">
                  <c:v>Réunion de clôture</c:v>
                </c:pt>
              </c:strCache>
            </c:strRef>
          </c:cat>
          <c:val>
            <c:numRef>
              <c:f>Données!$E$4:$E$37</c:f>
              <c:numCache>
                <c:formatCode>General</c:formatCode>
                <c:ptCount val="34"/>
                <c:pt idx="0">
                  <c:v>12</c:v>
                </c:pt>
                <c:pt idx="1">
                  <c:v>5</c:v>
                </c:pt>
                <c:pt idx="2">
                  <c:v>11</c:v>
                </c:pt>
                <c:pt idx="3">
                  <c:v>1</c:v>
                </c:pt>
                <c:pt idx="4">
                  <c:v>26</c:v>
                </c:pt>
                <c:pt idx="5">
                  <c:v>30</c:v>
                </c:pt>
                <c:pt idx="6">
                  <c:v>30</c:v>
                </c:pt>
                <c:pt idx="7">
                  <c:v>30</c:v>
                </c:pt>
                <c:pt idx="8">
                  <c:v>1</c:v>
                </c:pt>
                <c:pt idx="9">
                  <c:v>91</c:v>
                </c:pt>
                <c:pt idx="10">
                  <c:v>91</c:v>
                </c:pt>
                <c:pt idx="11">
                  <c:v>28</c:v>
                </c:pt>
                <c:pt idx="12">
                  <c:v>1</c:v>
                </c:pt>
                <c:pt idx="13">
                  <c:v>1</c:v>
                </c:pt>
                <c:pt idx="14">
                  <c:v>29</c:v>
                </c:pt>
                <c:pt idx="15">
                  <c:v>16</c:v>
                </c:pt>
                <c:pt idx="16">
                  <c:v>26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39</c:v>
                </c:pt>
                <c:pt idx="24">
                  <c:v>39</c:v>
                </c:pt>
                <c:pt idx="25">
                  <c:v>39</c:v>
                </c:pt>
                <c:pt idx="26">
                  <c:v>5</c:v>
                </c:pt>
                <c:pt idx="27">
                  <c:v>5</c:v>
                </c:pt>
                <c:pt idx="28">
                  <c:v>1</c:v>
                </c:pt>
                <c:pt idx="29">
                  <c:v>12</c:v>
                </c:pt>
                <c:pt idx="30">
                  <c:v>12</c:v>
                </c:pt>
                <c:pt idx="31">
                  <c:v>10</c:v>
                </c:pt>
                <c:pt idx="3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2-46DE-452D-9B51-D8883090F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74047488"/>
        <c:axId val="74049024"/>
      </c:barChart>
      <c:catAx>
        <c:axId val="74047488"/>
        <c:scaling>
          <c:orientation val="maxMin"/>
        </c:scaling>
        <c:delete val="0"/>
        <c:axPos val="l"/>
        <c:majorGridlines/>
        <c:numFmt formatCode="General" sourceLinked="0"/>
        <c:majorTickMark val="out"/>
        <c:minorTickMark val="none"/>
        <c:tickLblPos val="low"/>
        <c:spPr>
          <a:ln>
            <a:noFill/>
          </a:ln>
        </c:spPr>
        <c:txPr>
          <a:bodyPr anchor="ctr" anchorCtr="0"/>
          <a:lstStyle/>
          <a:p>
            <a:pPr>
              <a:defRPr sz="1000" b="0">
                <a:latin typeface="Avenir Next LT Pro" panose="020B0504020202020204" pitchFamily="34" charset="0"/>
              </a:defRPr>
            </a:pPr>
            <a:endParaRPr lang="fr-FR"/>
          </a:p>
        </c:txPr>
        <c:crossAx val="74049024"/>
        <c:crossesAt val="44284"/>
        <c:auto val="1"/>
        <c:lblAlgn val="ctr"/>
        <c:lblOffset val="100"/>
        <c:tickMarkSkip val="1"/>
        <c:noMultiLvlLbl val="0"/>
      </c:catAx>
      <c:valAx>
        <c:axId val="74049024"/>
        <c:scaling>
          <c:orientation val="minMax"/>
          <c:max val="44969"/>
          <c:min val="44649"/>
        </c:scaling>
        <c:delete val="0"/>
        <c:axPos val="t"/>
        <c:majorGridlines/>
        <c:numFmt formatCode="dd/mm/yy;@" sourceLinked="0"/>
        <c:majorTickMark val="cross"/>
        <c:minorTickMark val="none"/>
        <c:tickLblPos val="low"/>
        <c:spPr>
          <a:ln/>
        </c:spPr>
        <c:txPr>
          <a:bodyPr rot="-5400000" vert="horz" anchor="ctr" anchorCtr="0"/>
          <a:lstStyle/>
          <a:p>
            <a:pPr>
              <a:defRPr sz="1200" b="1">
                <a:latin typeface="Century Gothic" panose="020B0502020202020204" pitchFamily="34" charset="0"/>
              </a:defRPr>
            </a:pPr>
            <a:endParaRPr lang="fr-FR"/>
          </a:p>
        </c:txPr>
        <c:crossAx val="74047488"/>
        <c:crosses val="autoZero"/>
        <c:crossBetween val="between"/>
        <c:majorUnit val="20"/>
      </c:valAx>
    </c:plotArea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1" l="0.75" r="0.75" t="1" header="0.5" footer="0.5"/>
    <c:pageSetup orientation="portrait" horizontalDpi="-4" verticalDpi="-4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sz="1400">
                <a:latin typeface="Century Gothic" panose="020B0502020202020204" pitchFamily="34" charset="0"/>
              </a:defRPr>
            </a:pPr>
            <a:r>
              <a:rPr lang="en-US" sz="1400">
                <a:latin typeface="Century Gothic" panose="020B0502020202020204" pitchFamily="34" charset="0"/>
              </a:rPr>
              <a:t>Apperçu des status des tâches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21115322955541746"/>
          <c:y val="0.18504796790511077"/>
          <c:w val="0.38846879059481865"/>
          <c:h val="0.77982077446363163"/>
        </c:manualLayout>
      </c:layout>
      <c:pieChart>
        <c:varyColors val="1"/>
        <c:ser>
          <c:idx val="0"/>
          <c:order val="0"/>
          <c:tx>
            <c:strRef>
              <c:f>Données!$B$40</c:f>
              <c:strCache>
                <c:ptCount val="1"/>
                <c:pt idx="0">
                  <c:v>%</c:v>
                </c:pt>
              </c:strCache>
            </c:strRef>
          </c:tx>
          <c:explosion val="1"/>
          <c:dPt>
            <c:idx val="0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1-4A01-4D6F-B42A-9F1F667B7C56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3-4A01-4D6F-B42A-9F1F667B7C56}"/>
              </c:ext>
            </c:extLst>
          </c:dPt>
          <c:dPt>
            <c:idx val="2"/>
            <c:bubble3D val="0"/>
            <c:spPr>
              <a:solidFill>
                <a:srgbClr val="FFE70E"/>
              </a:solidFill>
            </c:spPr>
            <c:extLst>
              <c:ext xmlns:c16="http://schemas.microsoft.com/office/drawing/2014/chart" uri="{C3380CC4-5D6E-409C-BE32-E72D297353CC}">
                <c16:uniqueId val="{00000005-4A01-4D6F-B42A-9F1F667B7C56}"/>
              </c:ext>
            </c:extLst>
          </c:dPt>
          <c:dPt>
            <c:idx val="3"/>
            <c:bubble3D val="0"/>
            <c:spPr>
              <a:solidFill>
                <a:schemeClr val="bg1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7-4A01-4D6F-B42A-9F1F667B7C5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solidFill>
                      <a:sysClr val="windowText" lastClr="000000"/>
                    </a:solidFill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Données!$A$41:$A$44</c:f>
              <c:strCache>
                <c:ptCount val="4"/>
                <c:pt idx="0">
                  <c:v>COMPLETE</c:v>
                </c:pt>
                <c:pt idx="1">
                  <c:v>EN RETARD</c:v>
                </c:pt>
                <c:pt idx="2">
                  <c:v>EN COURS</c:v>
                </c:pt>
                <c:pt idx="3">
                  <c:v>PAS COMMENCEE</c:v>
                </c:pt>
              </c:strCache>
            </c:strRef>
          </c:cat>
          <c:val>
            <c:numRef>
              <c:f>Données!$B$41:$B$44</c:f>
              <c:numCache>
                <c:formatCode>0.00%</c:formatCode>
                <c:ptCount val="4"/>
                <c:pt idx="0">
                  <c:v>0.12121212121212122</c:v>
                </c:pt>
                <c:pt idx="1">
                  <c:v>3.0303030303030304E-2</c:v>
                </c:pt>
                <c:pt idx="2">
                  <c:v>6.0606060606060608E-2</c:v>
                </c:pt>
                <c:pt idx="3">
                  <c:v>0.78787878787878785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A01-4D6F-B42A-9F1F667B7C56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1200">
              <a:latin typeface="Century Gothic" panose="020B0502020202020204" pitchFamily="34" charset="0"/>
            </a:defRPr>
          </a:pPr>
          <a:endParaRPr lang="fr-FR"/>
        </a:p>
      </c:txPr>
    </c:legend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r>
              <a:rPr lang="en-US" sz="1400">
                <a:latin typeface="Century Gothic" panose="020B0502020202020204" pitchFamily="34" charset="0"/>
              </a:rPr>
              <a:t>Budget</a:t>
            </a:r>
          </a:p>
          <a:p>
            <a:pPr>
              <a:defRPr sz="1400">
                <a:latin typeface="Century Gothic" panose="020B0502020202020204" pitchFamily="34" charset="0"/>
              </a:defRPr>
            </a:pPr>
            <a:endParaRPr lang="en-US" sz="1400">
              <a:latin typeface="Century Gothic" panose="020B05020202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Century Gothic" panose="020B0502020202020204" pitchFamily="34" charset="0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bar"/>
        <c:grouping val="stacked"/>
        <c:varyColors val="1"/>
        <c:ser>
          <c:idx val="0"/>
          <c:order val="0"/>
          <c:tx>
            <c:strRef>
              <c:f>Données!$E$40</c:f>
              <c:strCache>
                <c:ptCount val="1"/>
                <c:pt idx="0">
                  <c:v>En Euro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53A-41DF-8B4A-BD0D9EAD014E}"/>
              </c:ext>
            </c:extLst>
          </c:dPt>
          <c:dPt>
            <c:idx val="1"/>
            <c:invertIfNegative val="0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53A-41DF-8B4A-BD0D9EAD014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6350" cap="flat" cmpd="sng" algn="ctr">
                      <a:solidFill>
                        <a:schemeClr val="tx1"/>
                      </a:solidFill>
                      <a:prstDash val="solid"/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Données!$D$41:$D$42</c:f>
              <c:strCache>
                <c:ptCount val="2"/>
                <c:pt idx="0">
                  <c:v>Réel cumulé</c:v>
                </c:pt>
                <c:pt idx="1">
                  <c:v>Total</c:v>
                </c:pt>
              </c:strCache>
            </c:strRef>
          </c:cat>
          <c:val>
            <c:numRef>
              <c:f>Données!$E$41:$E$42</c:f>
              <c:numCache>
                <c:formatCode>#,##0</c:formatCode>
                <c:ptCount val="2"/>
                <c:pt idx="0">
                  <c:v>22000</c:v>
                </c:pt>
                <c:pt idx="1">
                  <c:v>420000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53A-41DF-8B4A-BD0D9EAD01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4175232"/>
        <c:axId val="74176768"/>
      </c:barChart>
      <c:catAx>
        <c:axId val="7417523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fr-FR"/>
          </a:p>
        </c:txPr>
        <c:crossAx val="74176768"/>
        <c:crossesAt val="0"/>
        <c:auto val="1"/>
        <c:lblAlgn val="ctr"/>
        <c:lblOffset val="100"/>
        <c:noMultiLvlLbl val="0"/>
      </c:catAx>
      <c:valAx>
        <c:axId val="74176768"/>
        <c:scaling>
          <c:orientation val="minMax"/>
          <c:max val="90000"/>
          <c:min val="20000"/>
        </c:scaling>
        <c:delete val="0"/>
        <c:axPos val="b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fr-FR"/>
          </a:p>
        </c:txPr>
        <c:crossAx val="74175232"/>
        <c:crosses val="autoZero"/>
        <c:crossBetween val="between"/>
        <c:majorUnit val="10000"/>
        <c:minorUnit val="500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6350" cap="flat" cmpd="sng" algn="ctr">
      <a:solidFill>
        <a:sysClr val="windowText" lastClr="000000"/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 sz="1400">
                <a:latin typeface="Century Gothic" panose="020B0502020202020204" pitchFamily="34" charset="0"/>
              </a:defRPr>
            </a:pPr>
            <a:r>
              <a:rPr lang="en-US" sz="1400">
                <a:latin typeface="Century Gothic" panose="020B0502020202020204" pitchFamily="34" charset="0"/>
              </a:rPr>
              <a:t>Elements en cours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Données!$I$40</c:f>
              <c:strCache>
                <c:ptCount val="1"/>
                <c:pt idx="0">
                  <c:v>Nombre d'éléments</c:v>
                </c:pt>
              </c:strCache>
            </c:strRef>
          </c:tx>
          <c:spPr>
            <a:solidFill>
              <a:srgbClr val="129E00"/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5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8ABA-45DB-8CEE-F5FD0FFCA0CA}"/>
              </c:ext>
            </c:extLst>
          </c:dPt>
          <c:dPt>
            <c:idx val="2"/>
            <c:invertIfNegative val="0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5-11D3-4AA9-A8E9-2BE911C84FE0}"/>
              </c:ext>
            </c:extLst>
          </c:dPt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6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Données!$H$41:$H$43</c:f>
              <c:strCache>
                <c:ptCount val="3"/>
                <c:pt idx="0">
                  <c:v>Décisions</c:v>
                </c:pt>
                <c:pt idx="1">
                  <c:v>Actions</c:v>
                </c:pt>
                <c:pt idx="2">
                  <c:v>Demandes de changement</c:v>
                </c:pt>
              </c:strCache>
            </c:strRef>
          </c:cat>
          <c:val>
            <c:numRef>
              <c:f>Données!$I$41:$I$43</c:f>
              <c:numCache>
                <c:formatCode>General</c:formatCode>
                <c:ptCount val="3"/>
                <c:pt idx="0">
                  <c:v>2</c:v>
                </c:pt>
                <c:pt idx="1">
                  <c:v>5</c:v>
                </c:pt>
                <c:pt idx="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1D3-4AA9-A8E9-2BE911C84F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4343168"/>
        <c:axId val="74344704"/>
      </c:barChart>
      <c:catAx>
        <c:axId val="7434316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>
                <a:latin typeface="Century Gothic" panose="020B0502020202020204" pitchFamily="34" charset="0"/>
              </a:defRPr>
            </a:pPr>
            <a:endParaRPr lang="fr-FR"/>
          </a:p>
        </c:txPr>
        <c:crossAx val="74344704"/>
        <c:crosses val="autoZero"/>
        <c:auto val="1"/>
        <c:lblAlgn val="ctr"/>
        <c:lblOffset val="100"/>
        <c:noMultiLvlLbl val="0"/>
      </c:catAx>
      <c:valAx>
        <c:axId val="74344704"/>
        <c:scaling>
          <c:orientation val="minMax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74343168"/>
        <c:crosses val="autoZero"/>
        <c:crossBetween val="between"/>
      </c:valAx>
    </c:plotArea>
    <c:plotVisOnly val="1"/>
    <c:dispBlanksAs val="gap"/>
    <c:showDLblsOverMax val="0"/>
  </c:chart>
  <c:spPr>
    <a:ln>
      <a:solidFill>
        <a:sysClr val="windowText" lastClr="000000"/>
      </a:solidFill>
    </a:ln>
  </c:spPr>
  <c:printSettings>
    <c:headerFooter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18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3">
      <cs:styleClr val="auto"/>
    </cs:fillRef>
    <cs:effectRef idx="2">
      <a:schemeClr val="dk1"/>
    </cs:effectRef>
    <cs:fontRef idx="minor">
      <a:schemeClr val="tx1"/>
    </cs:fontRef>
  </cs:dataPoint>
  <cs:dataPoint3D>
    <cs:lnRef idx="0"/>
    <cs:fillRef idx="3">
      <cs:styleClr val="auto"/>
    </cs:fillRef>
    <cs:effectRef idx="2">
      <a:schemeClr val="dk1"/>
    </cs:effectRef>
    <cs:fontRef idx="minor">
      <a:schemeClr val="tx1"/>
    </cs:fontRef>
  </cs:dataPoint3D>
  <cs:dataPointLine>
    <cs:lnRef idx="1">
      <cs:styleClr val="auto"/>
    </cs:lnRef>
    <cs:lineWidthScale>5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3">
      <cs:styleClr val="auto"/>
    </cs:fillRef>
    <cs:effectRef idx="2">
      <a:schemeClr val="dk1"/>
    </cs:effectRef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0"/>
    <cs:fillRef idx="3">
      <a:schemeClr val="dk1">
        <a:tint val="95000"/>
      </a:schemeClr>
    </cs:fillRef>
    <cs:effectRef idx="2">
      <a:schemeClr val="dk1"/>
    </cs:effectRef>
    <cs:fontRef idx="minor">
      <a:schemeClr val="tx1"/>
    </cs:fontRef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0"/>
    <cs:fillRef idx="3">
      <a:schemeClr val="dk1">
        <a:tint val="5000"/>
      </a:schemeClr>
    </cs:fillRef>
    <cs:effectRef idx="2">
      <a:schemeClr val="dk1"/>
    </cs:effectRef>
    <cs:fontRef idx="minor">
      <a:schemeClr val="tx1"/>
    </cs:fontRef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image" Target="../media/image1.png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1</xdr:row>
      <xdr:rowOff>30480</xdr:rowOff>
    </xdr:from>
    <xdr:to>
      <xdr:col>2</xdr:col>
      <xdr:colOff>292948</xdr:colOff>
      <xdr:row>5</xdr:row>
      <xdr:rowOff>99242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" y="213360"/>
          <a:ext cx="3691468" cy="800282"/>
        </a:xfrm>
        <a:prstGeom prst="rect">
          <a:avLst/>
        </a:prstGeom>
      </xdr:spPr>
    </xdr:pic>
    <xdr:clientData/>
  </xdr:twoCellAnchor>
  <xdr:oneCellAnchor>
    <xdr:from>
      <xdr:col>1</xdr:col>
      <xdr:colOff>30480</xdr:colOff>
      <xdr:row>10</xdr:row>
      <xdr:rowOff>175260</xdr:rowOff>
    </xdr:from>
    <xdr:ext cx="5455920" cy="1355589"/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13460" y="2087880"/>
          <a:ext cx="5455920" cy="1355589"/>
        </a:xfrm>
        <a:prstGeom prst="rect">
          <a:avLst/>
        </a:prstGeom>
      </xdr:spPr>
    </xdr:pic>
    <xdr:clientData/>
  </xdr:oneCellAnchor>
  <xdr:twoCellAnchor editAs="oneCell">
    <xdr:from>
      <xdr:col>1</xdr:col>
      <xdr:colOff>30480</xdr:colOff>
      <xdr:row>74</xdr:row>
      <xdr:rowOff>107022</xdr:rowOff>
    </xdr:from>
    <xdr:to>
      <xdr:col>9</xdr:col>
      <xdr:colOff>83820</xdr:colOff>
      <xdr:row>79</xdr:row>
      <xdr:rowOff>114300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r="31527"/>
        <a:stretch/>
      </xdr:blipFill>
      <xdr:spPr>
        <a:xfrm>
          <a:off x="1013460" y="15644202"/>
          <a:ext cx="8420100" cy="997878"/>
        </a:xfrm>
        <a:prstGeom prst="rect">
          <a:avLst/>
        </a:prstGeom>
      </xdr:spPr>
    </xdr:pic>
    <xdr:clientData/>
  </xdr:twoCellAnchor>
  <xdr:twoCellAnchor editAs="oneCell">
    <xdr:from>
      <xdr:col>0</xdr:col>
      <xdr:colOff>929640</xdr:colOff>
      <xdr:row>82</xdr:row>
      <xdr:rowOff>65416</xdr:rowOff>
    </xdr:from>
    <xdr:to>
      <xdr:col>2</xdr:col>
      <xdr:colOff>386273</xdr:colOff>
      <xdr:row>89</xdr:row>
      <xdr:rowOff>98859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29640" y="16829416"/>
          <a:ext cx="2900873" cy="1313603"/>
        </a:xfrm>
        <a:prstGeom prst="rect">
          <a:avLst/>
        </a:prstGeom>
      </xdr:spPr>
    </xdr:pic>
    <xdr:clientData/>
  </xdr:twoCellAnchor>
  <xdr:twoCellAnchor editAs="oneCell">
    <xdr:from>
      <xdr:col>0</xdr:col>
      <xdr:colOff>883561</xdr:colOff>
      <xdr:row>91</xdr:row>
      <xdr:rowOff>160020</xdr:rowOff>
    </xdr:from>
    <xdr:to>
      <xdr:col>2</xdr:col>
      <xdr:colOff>241465</xdr:colOff>
      <xdr:row>111</xdr:row>
      <xdr:rowOff>262259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83561" y="18585180"/>
          <a:ext cx="2802144" cy="3759839"/>
        </a:xfrm>
        <a:prstGeom prst="rect">
          <a:avLst/>
        </a:prstGeom>
      </xdr:spPr>
    </xdr:pic>
    <xdr:clientData/>
  </xdr:twoCellAnchor>
  <xdr:twoCellAnchor editAs="oneCell">
    <xdr:from>
      <xdr:col>1</xdr:col>
      <xdr:colOff>2392680</xdr:colOff>
      <xdr:row>35</xdr:row>
      <xdr:rowOff>114300</xdr:rowOff>
    </xdr:from>
    <xdr:to>
      <xdr:col>5</xdr:col>
      <xdr:colOff>73685</xdr:colOff>
      <xdr:row>39</xdr:row>
      <xdr:rowOff>106680</xdr:rowOff>
    </xdr:to>
    <xdr:pic>
      <xdr:nvPicPr>
        <xdr:cNvPr id="14" name="Imag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44381" r="33456" b="21347"/>
        <a:stretch/>
      </xdr:blipFill>
      <xdr:spPr>
        <a:xfrm>
          <a:off x="3375660" y="7658100"/>
          <a:ext cx="2725445" cy="784860"/>
        </a:xfrm>
        <a:prstGeom prst="rect">
          <a:avLst/>
        </a:prstGeom>
      </xdr:spPr>
    </xdr:pic>
    <xdr:clientData/>
  </xdr:twoCellAnchor>
  <xdr:twoCellAnchor editAs="oneCell">
    <xdr:from>
      <xdr:col>2</xdr:col>
      <xdr:colOff>30481</xdr:colOff>
      <xdr:row>31</xdr:row>
      <xdr:rowOff>91440</xdr:rowOff>
    </xdr:from>
    <xdr:to>
      <xdr:col>6</xdr:col>
      <xdr:colOff>685801</xdr:colOff>
      <xdr:row>33</xdr:row>
      <xdr:rowOff>200549</xdr:rowOff>
    </xdr:to>
    <xdr:pic>
      <xdr:nvPicPr>
        <xdr:cNvPr id="15" name="Imag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r="60444"/>
        <a:stretch/>
      </xdr:blipFill>
      <xdr:spPr>
        <a:xfrm>
          <a:off x="3474721" y="6560820"/>
          <a:ext cx="4023360" cy="825389"/>
        </a:xfrm>
        <a:prstGeom prst="rect">
          <a:avLst/>
        </a:prstGeom>
      </xdr:spPr>
    </xdr:pic>
    <xdr:clientData/>
  </xdr:twoCellAnchor>
  <xdr:twoCellAnchor editAs="oneCell">
    <xdr:from>
      <xdr:col>9</xdr:col>
      <xdr:colOff>617220</xdr:colOff>
      <xdr:row>74</xdr:row>
      <xdr:rowOff>99060</xdr:rowOff>
    </xdr:from>
    <xdr:to>
      <xdr:col>13</xdr:col>
      <xdr:colOff>190014</xdr:colOff>
      <xdr:row>78</xdr:row>
      <xdr:rowOff>125296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FA417DA4-9C1A-4F6C-A57E-147DF3D8AB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966960" y="15636240"/>
          <a:ext cx="2956074" cy="818716"/>
        </a:xfrm>
        <a:prstGeom prst="rect">
          <a:avLst/>
        </a:prstGeom>
      </xdr:spPr>
    </xdr:pic>
    <xdr:clientData/>
  </xdr:twoCellAnchor>
  <xdr:twoCellAnchor editAs="oneCell">
    <xdr:from>
      <xdr:col>2</xdr:col>
      <xdr:colOff>22860</xdr:colOff>
      <xdr:row>41</xdr:row>
      <xdr:rowOff>60960</xdr:rowOff>
    </xdr:from>
    <xdr:to>
      <xdr:col>5</xdr:col>
      <xdr:colOff>274320</xdr:colOff>
      <xdr:row>45</xdr:row>
      <xdr:rowOff>53564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48CD7593-DC71-45F7-85E2-D6364B4255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467100" y="8793480"/>
          <a:ext cx="2834640" cy="785084"/>
        </a:xfrm>
        <a:prstGeom prst="rect">
          <a:avLst/>
        </a:prstGeom>
      </xdr:spPr>
    </xdr:pic>
    <xdr:clientData/>
  </xdr:twoCellAnchor>
  <xdr:twoCellAnchor>
    <xdr:from>
      <xdr:col>1</xdr:col>
      <xdr:colOff>15240</xdr:colOff>
      <xdr:row>49</xdr:row>
      <xdr:rowOff>114769</xdr:rowOff>
    </xdr:from>
    <xdr:to>
      <xdr:col>10</xdr:col>
      <xdr:colOff>560000</xdr:colOff>
      <xdr:row>64</xdr:row>
      <xdr:rowOff>175260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CE4EBEE7-81CD-44DC-8651-8CA07EAA009F}"/>
            </a:ext>
          </a:extLst>
        </xdr:cNvPr>
        <xdr:cNvGrpSpPr/>
      </xdr:nvGrpSpPr>
      <xdr:grpSpPr>
        <a:xfrm>
          <a:off x="998220" y="10942789"/>
          <a:ext cx="9978320" cy="3276131"/>
          <a:chOff x="998220" y="10942789"/>
          <a:chExt cx="9978320" cy="3276131"/>
        </a:xfrm>
      </xdr:grpSpPr>
      <xdr:pic>
        <xdr:nvPicPr>
          <xdr:cNvPr id="12" name="Image 11">
            <a:extLst>
              <a:ext uri="{FF2B5EF4-FFF2-40B4-BE49-F238E27FC236}">
                <a16:creationId xmlns:a16="http://schemas.microsoft.com/office/drawing/2014/main" id="{7A291BB1-BA69-4E6A-B3D6-BB38722301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998220" y="10942789"/>
            <a:ext cx="9978320" cy="3265960"/>
          </a:xfrm>
          <a:prstGeom prst="rect">
            <a:avLst/>
          </a:prstGeom>
        </xdr:spPr>
      </xdr:pic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A2F25034-F816-4ABD-BF79-66368794ED52}"/>
              </a:ext>
            </a:extLst>
          </xdr:cNvPr>
          <xdr:cNvSpPr/>
        </xdr:nvSpPr>
        <xdr:spPr>
          <a:xfrm>
            <a:off x="3726180" y="11666220"/>
            <a:ext cx="6797040" cy="2552700"/>
          </a:xfrm>
          <a:prstGeom prst="rect">
            <a:avLst/>
          </a:prstGeom>
          <a:noFill/>
          <a:ln w="285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11372</xdr:colOff>
      <xdr:row>14</xdr:row>
      <xdr:rowOff>108856</xdr:rowOff>
    </xdr:from>
    <xdr:to>
      <xdr:col>9</xdr:col>
      <xdr:colOff>1978926</xdr:colOff>
      <xdr:row>53</xdr:row>
      <xdr:rowOff>90985</xdr:rowOff>
    </xdr:to>
    <xdr:graphicFrame macro="">
      <xdr:nvGraphicFramePr>
        <xdr:cNvPr id="12" name="Chart 9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3631</xdr:colOff>
      <xdr:row>53</xdr:row>
      <xdr:rowOff>154063</xdr:rowOff>
    </xdr:from>
    <xdr:to>
      <xdr:col>3</xdr:col>
      <xdr:colOff>905908</xdr:colOff>
      <xdr:row>61</xdr:row>
      <xdr:rowOff>108887</xdr:rowOff>
    </xdr:to>
    <xdr:graphicFrame macro="">
      <xdr:nvGraphicFramePr>
        <xdr:cNvPr id="13" name="Chart 10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1385205</xdr:colOff>
      <xdr:row>54</xdr:row>
      <xdr:rowOff>5725</xdr:rowOff>
    </xdr:from>
    <xdr:to>
      <xdr:col>9</xdr:col>
      <xdr:colOff>1983920</xdr:colOff>
      <xdr:row>61</xdr:row>
      <xdr:rowOff>119772</xdr:rowOff>
    </xdr:to>
    <xdr:graphicFrame macro="">
      <xdr:nvGraphicFramePr>
        <xdr:cNvPr id="14" name="Chart 11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1091293</xdr:colOff>
      <xdr:row>53</xdr:row>
      <xdr:rowOff>154063</xdr:rowOff>
    </xdr:from>
    <xdr:to>
      <xdr:col>6</xdr:col>
      <xdr:colOff>1213756</xdr:colOff>
      <xdr:row>61</xdr:row>
      <xdr:rowOff>120982</xdr:rowOff>
    </xdr:to>
    <xdr:graphicFrame macro="">
      <xdr:nvGraphicFramePr>
        <xdr:cNvPr id="15" name="Chart 13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1</xdr:colOff>
      <xdr:row>0</xdr:row>
      <xdr:rowOff>1</xdr:rowOff>
    </xdr:from>
    <xdr:to>
      <xdr:col>2</xdr:col>
      <xdr:colOff>716910</xdr:colOff>
      <xdr:row>3</xdr:row>
      <xdr:rowOff>122583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1"/>
          <a:ext cx="2989302" cy="6369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993322</xdr:colOff>
      <xdr:row>2</xdr:row>
      <xdr:rowOff>137848</xdr:rowOff>
    </xdr:from>
    <xdr:to>
      <xdr:col>6</xdr:col>
      <xdr:colOff>1309487</xdr:colOff>
      <xdr:row>4</xdr:row>
      <xdr:rowOff>108858</xdr:rowOff>
    </xdr:to>
    <xdr:sp macro="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7157358" y="546062"/>
          <a:ext cx="4207808" cy="379225"/>
        </a:xfrm>
        <a:prstGeom prst="roundRect">
          <a:avLst>
            <a:gd name="adj" fmla="val 26471"/>
          </a:avLst>
        </a:prstGeom>
        <a:solidFill>
          <a:schemeClr val="accent6">
            <a:lumMod val="20000"/>
            <a:lumOff val="80000"/>
          </a:schemeClr>
        </a:solidFill>
        <a:ln>
          <a:solidFill>
            <a:srgbClr val="62BD8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800" b="1" kern="1200">
              <a:solidFill>
                <a:srgbClr val="439B69"/>
              </a:solidFill>
              <a:effectLst/>
              <a:latin typeface="+mn-lt"/>
              <a:ea typeface="+mn-ea"/>
              <a:cs typeface="+mn-cs"/>
            </a:rPr>
            <a:t>DASHBOARD DE PROJET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27286</xdr:colOff>
      <xdr:row>39</xdr:row>
      <xdr:rowOff>5300</xdr:rowOff>
    </xdr:from>
    <xdr:to>
      <xdr:col>2</xdr:col>
      <xdr:colOff>210166</xdr:colOff>
      <xdr:row>40</xdr:row>
      <xdr:rowOff>24406</xdr:rowOff>
    </xdr:to>
    <xdr:pic macro="[0]!Delete1">
      <xdr:nvPicPr>
        <xdr:cNvPr id="2" name="Picture 6" descr="Delete icons Royalty Free Vector Image - VectorStock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>
          <a:picLocks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294" r="13270" b="33140"/>
        <a:stretch/>
      </xdr:blipFill>
      <xdr:spPr bwMode="auto">
        <a:xfrm>
          <a:off x="4415041" y="7375091"/>
          <a:ext cx="182880" cy="1828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20468</xdr:colOff>
      <xdr:row>38</xdr:row>
      <xdr:rowOff>162249</xdr:rowOff>
    </xdr:from>
    <xdr:to>
      <xdr:col>5</xdr:col>
      <xdr:colOff>203348</xdr:colOff>
      <xdr:row>40</xdr:row>
      <xdr:rowOff>17582</xdr:rowOff>
    </xdr:to>
    <xdr:pic macro="[0]!Delete2">
      <xdr:nvPicPr>
        <xdr:cNvPr id="6" name="Picture 6" descr="Delete icons Royalty Free Vector Image - VectorStock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 preferRelativeResize="0">
          <a:picLocks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294" r="13270" b="33140"/>
        <a:stretch/>
      </xdr:blipFill>
      <xdr:spPr bwMode="auto">
        <a:xfrm>
          <a:off x="7786044" y="7368267"/>
          <a:ext cx="182880" cy="1828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34118</xdr:colOff>
      <xdr:row>39</xdr:row>
      <xdr:rowOff>5300</xdr:rowOff>
    </xdr:from>
    <xdr:to>
      <xdr:col>9</xdr:col>
      <xdr:colOff>216998</xdr:colOff>
      <xdr:row>40</xdr:row>
      <xdr:rowOff>24406</xdr:rowOff>
    </xdr:to>
    <xdr:pic macro="[0]!Delete3">
      <xdr:nvPicPr>
        <xdr:cNvPr id="8" name="Picture 6" descr="Delete icons Royalty Free Vector Image - VectorStock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 preferRelativeResize="0">
          <a:picLocks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294" r="13270" b="33140"/>
        <a:stretch/>
      </xdr:blipFill>
      <xdr:spPr bwMode="auto">
        <a:xfrm>
          <a:off x="11293521" y="7375091"/>
          <a:ext cx="182880" cy="1828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au2" displayName="Tableau2" ref="H40:I43" totalsRowShown="0" headerRowBorderDxfId="13" tableBorderDxfId="12" totalsRowBorderDxfId="11">
  <autoFilter ref="H40:I43" xr:uid="{00000000-0009-0000-0100-000002000000}">
    <filterColumn colId="0" hiddenButton="1"/>
    <filterColumn colId="1" hiddenButton="1"/>
  </autoFilter>
  <tableColumns count="2">
    <tableColumn id="1" xr3:uid="{00000000-0010-0000-0000-000001000000}" name="Eléments en cours" dataDxfId="10"/>
    <tableColumn id="2" xr3:uid="{00000000-0010-0000-0000-000002000000}" name="Nombre d'éléments"/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au3" displayName="Tableau3" ref="D40:E42" totalsRowShown="0" headerRowDxfId="9" headerRowBorderDxfId="8" tableBorderDxfId="7" totalsRowBorderDxfId="6">
  <autoFilter ref="D40:E42" xr:uid="{00000000-0009-0000-0100-000003000000}">
    <filterColumn colId="0" hiddenButton="1"/>
    <filterColumn colId="1" hiddenButton="1"/>
  </autoFilter>
  <tableColumns count="2">
    <tableColumn id="1" xr3:uid="{00000000-0010-0000-0100-000001000000}" name="Budget" dataDxfId="5"/>
    <tableColumn id="2" xr3:uid="{00000000-0010-0000-0100-000002000000}" name="En Euro" dataDxfId="4"/>
  </tableColumns>
  <tableStyleInfo name="TableStyleLight2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Tableau4" displayName="Tableau4" ref="A40:B44" totalsRowShown="0" headerRowBorderDxfId="3" tableBorderDxfId="2" totalsRowBorderDxfId="1">
  <autoFilter ref="A40:B44" xr:uid="{00000000-0009-0000-0100-000004000000}">
    <filterColumn colId="0" hiddenButton="1"/>
    <filterColumn colId="1" hiddenButton="1"/>
  </autoFilter>
  <tableColumns count="2">
    <tableColumn id="1" xr3:uid="{00000000-0010-0000-0200-000001000000}" name="Pourcentage des tâches accomplies"/>
    <tableColumn id="2" xr3:uid="{00000000-0010-0000-0200-000002000000}" name="%" dataDxfId="0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8:R113"/>
  <sheetViews>
    <sheetView topLeftCell="A25" workbookViewId="0">
      <selection activeCell="B34" sqref="B34"/>
    </sheetView>
  </sheetViews>
  <sheetFormatPr baseColWidth="10" defaultColWidth="11.44140625" defaultRowHeight="14.4" x14ac:dyDescent="0.3"/>
  <cols>
    <col min="1" max="1" width="14.33203125" style="76" customWidth="1"/>
    <col min="2" max="2" width="35.88671875" style="76" customWidth="1"/>
    <col min="3" max="3" width="14.77734375" style="76" customWidth="1"/>
    <col min="4" max="8" width="11.44140625" style="76"/>
    <col min="9" max="9" width="14.109375" style="76" bestFit="1" customWidth="1"/>
    <col min="10" max="10" width="15.5546875" style="76" bestFit="1" customWidth="1"/>
    <col min="11" max="12" width="11.44140625" style="76"/>
    <col min="13" max="13" width="10.88671875" style="76" customWidth="1"/>
    <col min="14" max="16384" width="11.44140625" style="76"/>
  </cols>
  <sheetData>
    <row r="8" spans="2:2" ht="21" x14ac:dyDescent="0.4">
      <c r="B8" s="75" t="s">
        <v>81</v>
      </c>
    </row>
    <row r="9" spans="2:2" x14ac:dyDescent="0.3">
      <c r="B9" s="50" t="s">
        <v>72</v>
      </c>
    </row>
    <row r="12" spans="2:2" x14ac:dyDescent="0.3">
      <c r="B12" s="45"/>
    </row>
    <row r="13" spans="2:2" x14ac:dyDescent="0.3">
      <c r="B13" s="45"/>
    </row>
    <row r="14" spans="2:2" x14ac:dyDescent="0.3">
      <c r="B14" s="45"/>
    </row>
    <row r="15" spans="2:2" x14ac:dyDescent="0.3">
      <c r="B15" s="45"/>
    </row>
    <row r="16" spans="2:2" x14ac:dyDescent="0.3">
      <c r="B16" s="45"/>
    </row>
    <row r="17" spans="1:18" x14ac:dyDescent="0.3">
      <c r="B17" s="45"/>
    </row>
    <row r="18" spans="1:18" ht="15.6" x14ac:dyDescent="0.3">
      <c r="B18" s="45"/>
      <c r="H18" s="77"/>
      <c r="I18" s="77"/>
      <c r="J18" s="77"/>
      <c r="K18" s="77"/>
      <c r="L18" s="77"/>
      <c r="M18" s="77"/>
    </row>
    <row r="19" spans="1:18" x14ac:dyDescent="0.3">
      <c r="B19" s="45"/>
    </row>
    <row r="20" spans="1:18" x14ac:dyDescent="0.3">
      <c r="B20" s="45"/>
    </row>
    <row r="21" spans="1:18" ht="21" x14ac:dyDescent="0.3">
      <c r="B21" s="71" t="s">
        <v>94</v>
      </c>
      <c r="C21" s="78"/>
      <c r="D21" s="78"/>
      <c r="E21" s="78"/>
      <c r="F21" s="78"/>
      <c r="G21" s="78"/>
      <c r="H21" s="78"/>
      <c r="I21" s="78"/>
      <c r="J21" s="78"/>
      <c r="K21" s="78"/>
      <c r="L21" s="78"/>
      <c r="M21" s="78"/>
      <c r="N21" s="78"/>
    </row>
    <row r="22" spans="1:18" ht="15.6" x14ac:dyDescent="0.3">
      <c r="B22" s="47" t="s">
        <v>74</v>
      </c>
      <c r="C22" s="46"/>
      <c r="D22" s="46"/>
      <c r="E22" s="46"/>
      <c r="F22" s="46"/>
    </row>
    <row r="23" spans="1:18" ht="15.6" x14ac:dyDescent="0.3">
      <c r="A23" s="79"/>
      <c r="B23" s="46" t="s">
        <v>75</v>
      </c>
      <c r="C23" s="80"/>
      <c r="D23" s="46"/>
      <c r="E23" s="46"/>
      <c r="F23" s="46"/>
    </row>
    <row r="24" spans="1:18" ht="15.6" x14ac:dyDescent="0.3">
      <c r="A24" s="79"/>
      <c r="B24" s="47" t="s">
        <v>76</v>
      </c>
      <c r="C24" s="46" t="s">
        <v>105</v>
      </c>
      <c r="D24" s="46"/>
      <c r="E24" s="46"/>
      <c r="F24" s="46"/>
    </row>
    <row r="25" spans="1:18" ht="15.6" x14ac:dyDescent="0.3">
      <c r="B25" s="47" t="s">
        <v>77</v>
      </c>
      <c r="C25" s="88" t="s">
        <v>82</v>
      </c>
      <c r="D25" s="88"/>
      <c r="E25" s="88"/>
      <c r="F25" s="88"/>
      <c r="G25" s="88"/>
      <c r="H25" s="88"/>
      <c r="I25" s="88"/>
      <c r="J25" s="88"/>
      <c r="K25" s="88"/>
      <c r="L25" s="88"/>
      <c r="M25" s="88"/>
      <c r="N25" s="88"/>
      <c r="O25" s="88"/>
      <c r="P25" s="88"/>
      <c r="Q25" s="88"/>
      <c r="R25" s="88"/>
    </row>
    <row r="26" spans="1:18" ht="15.6" x14ac:dyDescent="0.3">
      <c r="B26" s="47" t="s">
        <v>78</v>
      </c>
      <c r="C26" s="89" t="s">
        <v>83</v>
      </c>
      <c r="D26" s="89"/>
      <c r="E26" s="89"/>
      <c r="F26" s="89"/>
      <c r="G26" s="89"/>
      <c r="H26" s="89"/>
      <c r="I26" s="89"/>
      <c r="J26" s="89"/>
      <c r="K26" s="89"/>
      <c r="L26" s="89"/>
      <c r="M26" s="89"/>
      <c r="N26" s="89"/>
      <c r="O26" s="89"/>
      <c r="P26" s="89"/>
      <c r="Q26" s="77"/>
      <c r="R26" s="77"/>
    </row>
    <row r="27" spans="1:18" ht="15.6" x14ac:dyDescent="0.3">
      <c r="B27" s="47" t="s">
        <v>79</v>
      </c>
      <c r="C27" s="89" t="s">
        <v>84</v>
      </c>
      <c r="D27" s="89"/>
      <c r="E27" s="89"/>
      <c r="F27" s="89"/>
      <c r="G27" s="89"/>
      <c r="H27" s="89"/>
      <c r="I27" s="89"/>
      <c r="J27" s="89"/>
      <c r="K27" s="89"/>
      <c r="L27" s="89"/>
      <c r="M27" s="89"/>
      <c r="N27" s="89"/>
      <c r="O27" s="89"/>
      <c r="P27" s="89"/>
      <c r="Q27" s="77"/>
      <c r="R27" s="77"/>
    </row>
    <row r="28" spans="1:18" ht="15.6" x14ac:dyDescent="0.3">
      <c r="B28" s="47" t="s">
        <v>80</v>
      </c>
      <c r="C28" s="80" t="s">
        <v>85</v>
      </c>
      <c r="D28" s="77"/>
      <c r="E28" s="77"/>
      <c r="F28" s="77"/>
      <c r="G28" s="77"/>
      <c r="H28" s="77"/>
      <c r="I28" s="77"/>
      <c r="J28" s="77"/>
      <c r="K28" s="77"/>
      <c r="L28" s="77"/>
      <c r="M28" s="77"/>
      <c r="N28" s="77"/>
      <c r="O28" s="77"/>
      <c r="P28" s="77"/>
      <c r="Q28" s="77"/>
      <c r="R28" s="77"/>
    </row>
    <row r="29" spans="1:18" ht="15.6" x14ac:dyDescent="0.3">
      <c r="B29" s="47" t="s">
        <v>73</v>
      </c>
      <c r="C29" s="80" t="s">
        <v>86</v>
      </c>
      <c r="D29" s="77"/>
      <c r="E29" s="77"/>
      <c r="F29" s="77"/>
      <c r="G29" s="77"/>
      <c r="H29" s="77"/>
      <c r="I29" s="77"/>
      <c r="J29" s="77"/>
      <c r="K29" s="77"/>
      <c r="L29" s="77"/>
      <c r="M29" s="77"/>
      <c r="N29" s="77"/>
      <c r="O29" s="77"/>
      <c r="P29" s="77"/>
      <c r="Q29" s="77"/>
      <c r="R29" s="77"/>
    </row>
    <row r="30" spans="1:18" ht="15.6" x14ac:dyDescent="0.3">
      <c r="B30" s="47"/>
      <c r="C30" s="80"/>
      <c r="D30" s="77"/>
      <c r="E30" s="77"/>
      <c r="F30" s="77"/>
      <c r="G30" s="77"/>
      <c r="H30" s="77"/>
      <c r="I30" s="77"/>
      <c r="J30" s="77"/>
      <c r="K30" s="77"/>
      <c r="L30" s="77"/>
      <c r="M30" s="77"/>
      <c r="N30" s="77"/>
      <c r="O30" s="77"/>
      <c r="P30" s="77"/>
      <c r="Q30" s="77"/>
      <c r="R30" s="77"/>
    </row>
    <row r="31" spans="1:18" ht="36.6" customHeight="1" x14ac:dyDescent="0.3">
      <c r="B31" s="48" t="s">
        <v>89</v>
      </c>
      <c r="C31" s="90" t="s">
        <v>98</v>
      </c>
      <c r="D31" s="90"/>
      <c r="E31" s="90"/>
      <c r="F31" s="90"/>
      <c r="G31" s="90"/>
      <c r="H31" s="90"/>
      <c r="I31" s="90"/>
      <c r="J31" s="90"/>
      <c r="K31" s="90"/>
      <c r="L31" s="90"/>
      <c r="M31" s="90"/>
      <c r="N31" s="90"/>
      <c r="O31" s="77"/>
      <c r="P31" s="77"/>
      <c r="Q31" s="77"/>
      <c r="R31" s="77"/>
    </row>
    <row r="32" spans="1:18" ht="28.2" customHeight="1" x14ac:dyDescent="0.3">
      <c r="B32" s="48"/>
      <c r="C32" s="81"/>
      <c r="D32" s="81"/>
      <c r="E32" s="81"/>
      <c r="F32" s="81"/>
      <c r="G32" s="81"/>
      <c r="H32" s="81"/>
      <c r="I32" s="81"/>
      <c r="J32" s="81"/>
      <c r="K32" s="81"/>
      <c r="L32" s="81"/>
      <c r="M32" s="81"/>
      <c r="N32" s="81"/>
      <c r="O32" s="77"/>
      <c r="P32" s="77"/>
      <c r="Q32" s="77"/>
      <c r="R32" s="77"/>
    </row>
    <row r="33" spans="2:18" ht="28.2" customHeight="1" x14ac:dyDescent="0.3">
      <c r="B33" s="48"/>
      <c r="C33" s="81"/>
      <c r="D33" s="81"/>
      <c r="E33" s="81"/>
      <c r="F33" s="81"/>
      <c r="G33" s="81"/>
      <c r="H33" s="81"/>
      <c r="I33" s="81"/>
      <c r="J33" s="81"/>
      <c r="K33" s="81"/>
      <c r="L33" s="81"/>
      <c r="M33" s="81"/>
      <c r="N33" s="81"/>
      <c r="O33" s="77"/>
      <c r="P33" s="77"/>
      <c r="Q33" s="77"/>
      <c r="R33" s="77"/>
    </row>
    <row r="34" spans="2:18" ht="28.2" customHeight="1" x14ac:dyDescent="0.3">
      <c r="B34" s="48"/>
      <c r="C34" s="81"/>
      <c r="D34" s="81"/>
      <c r="E34" s="81"/>
      <c r="F34" s="81"/>
      <c r="G34" s="81"/>
      <c r="H34" s="81"/>
      <c r="I34" s="81"/>
      <c r="J34" s="81"/>
      <c r="K34" s="81"/>
      <c r="L34" s="81"/>
      <c r="M34" s="81"/>
      <c r="N34" s="81"/>
      <c r="O34" s="77"/>
      <c r="P34" s="77"/>
      <c r="Q34" s="77"/>
      <c r="R34" s="77"/>
    </row>
    <row r="35" spans="2:18" ht="15.6" x14ac:dyDescent="0.3">
      <c r="B35" s="47" t="s">
        <v>90</v>
      </c>
      <c r="C35" s="80" t="s">
        <v>93</v>
      </c>
      <c r="D35" s="77"/>
      <c r="E35" s="77"/>
      <c r="F35" s="77"/>
      <c r="G35" s="77"/>
      <c r="H35" s="77"/>
      <c r="I35" s="77"/>
      <c r="J35" s="77"/>
      <c r="K35" s="77"/>
      <c r="L35" s="77"/>
      <c r="M35" s="77"/>
      <c r="N35" s="77"/>
      <c r="O35" s="77"/>
      <c r="P35" s="77"/>
      <c r="Q35" s="77"/>
      <c r="R35" s="77"/>
    </row>
    <row r="36" spans="2:18" ht="15.6" x14ac:dyDescent="0.35">
      <c r="B36" s="47"/>
      <c r="C36" s="80"/>
      <c r="D36" s="77"/>
      <c r="E36" s="77"/>
      <c r="F36" s="77"/>
      <c r="G36" s="77"/>
      <c r="H36" s="77"/>
      <c r="I36" s="77"/>
      <c r="J36" s="77"/>
      <c r="K36" s="77"/>
      <c r="L36" s="77"/>
      <c r="M36" s="77"/>
      <c r="N36" s="77"/>
      <c r="O36" s="77"/>
      <c r="P36" s="77"/>
      <c r="Q36" s="77"/>
      <c r="R36" s="77"/>
    </row>
    <row r="37" spans="2:18" ht="15.6" x14ac:dyDescent="0.35">
      <c r="B37" s="47"/>
      <c r="C37" s="80"/>
      <c r="D37" s="77"/>
      <c r="E37" s="77"/>
      <c r="F37" s="77"/>
      <c r="G37" s="77"/>
      <c r="H37" s="77"/>
      <c r="I37" s="77"/>
      <c r="J37" s="77"/>
      <c r="K37" s="77"/>
      <c r="L37" s="77"/>
      <c r="M37" s="77"/>
      <c r="N37" s="77"/>
      <c r="O37" s="77"/>
      <c r="P37" s="77"/>
      <c r="Q37" s="77"/>
      <c r="R37" s="77"/>
    </row>
    <row r="38" spans="2:18" ht="15.6" x14ac:dyDescent="0.35">
      <c r="B38" s="47"/>
      <c r="C38" s="80"/>
      <c r="D38" s="77"/>
      <c r="E38" s="77"/>
      <c r="F38" s="77"/>
      <c r="G38" s="77"/>
      <c r="H38" s="77"/>
      <c r="I38" s="77"/>
      <c r="J38" s="77"/>
      <c r="K38" s="77"/>
      <c r="L38" s="77"/>
      <c r="M38" s="77"/>
      <c r="N38" s="77"/>
      <c r="O38" s="77"/>
      <c r="P38" s="77"/>
      <c r="Q38" s="77"/>
      <c r="R38" s="77"/>
    </row>
    <row r="39" spans="2:18" ht="15.6" x14ac:dyDescent="0.35">
      <c r="B39" s="47"/>
      <c r="C39" s="80"/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  <c r="Q39" s="77"/>
      <c r="R39" s="77"/>
    </row>
    <row r="40" spans="2:18" ht="15.6" x14ac:dyDescent="0.35">
      <c r="B40" s="47"/>
      <c r="C40" s="80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  <c r="Q40" s="77"/>
      <c r="R40" s="77"/>
    </row>
    <row r="41" spans="2:18" ht="15.6" x14ac:dyDescent="0.3">
      <c r="B41" s="47" t="s">
        <v>91</v>
      </c>
      <c r="C41" s="80" t="s">
        <v>92</v>
      </c>
      <c r="D41" s="77"/>
      <c r="E41" s="77"/>
      <c r="F41" s="77"/>
      <c r="G41" s="77"/>
      <c r="H41" s="77"/>
      <c r="I41" s="77"/>
      <c r="J41" s="77"/>
      <c r="K41" s="77"/>
      <c r="L41" s="77"/>
      <c r="M41" s="77"/>
      <c r="N41" s="77"/>
      <c r="O41" s="77"/>
      <c r="P41" s="77"/>
      <c r="Q41" s="77"/>
      <c r="R41" s="77"/>
    </row>
    <row r="42" spans="2:18" ht="15.6" x14ac:dyDescent="0.35">
      <c r="B42" s="47"/>
      <c r="C42" s="80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77"/>
    </row>
    <row r="43" spans="2:18" ht="15.6" x14ac:dyDescent="0.35">
      <c r="B43" s="80"/>
      <c r="C43" s="80"/>
      <c r="D43" s="77"/>
      <c r="E43" s="77"/>
      <c r="F43" s="77"/>
      <c r="G43" s="77"/>
      <c r="H43" s="77"/>
      <c r="I43" s="77"/>
      <c r="J43" s="77"/>
      <c r="K43" s="77"/>
      <c r="L43" s="77"/>
      <c r="M43" s="82"/>
      <c r="N43" s="77"/>
      <c r="O43" s="77"/>
      <c r="P43" s="77"/>
      <c r="Q43" s="77"/>
      <c r="R43" s="77"/>
    </row>
    <row r="44" spans="2:18" ht="15.6" x14ac:dyDescent="0.35">
      <c r="B44" s="80"/>
      <c r="C44" s="80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  <c r="R44" s="77"/>
    </row>
    <row r="45" spans="2:18" ht="15.6" x14ac:dyDescent="0.35">
      <c r="B45" s="80"/>
      <c r="C45" s="80"/>
      <c r="D45" s="77"/>
      <c r="E45" s="77"/>
      <c r="F45" s="77"/>
      <c r="G45" s="77"/>
      <c r="H45" s="77"/>
      <c r="I45" s="77"/>
      <c r="J45" s="77"/>
      <c r="K45" s="77"/>
      <c r="L45" s="77"/>
      <c r="M45" s="77"/>
      <c r="N45" s="77"/>
      <c r="O45" s="77"/>
      <c r="P45" s="77"/>
      <c r="Q45" s="77"/>
      <c r="R45" s="77"/>
    </row>
    <row r="46" spans="2:18" ht="15.6" x14ac:dyDescent="0.35">
      <c r="B46" s="47"/>
      <c r="C46" s="80"/>
      <c r="D46" s="77"/>
      <c r="E46" s="77"/>
      <c r="F46" s="77"/>
      <c r="G46" s="77"/>
      <c r="H46" s="77"/>
      <c r="I46" s="77"/>
      <c r="J46" s="77"/>
      <c r="K46" s="77"/>
      <c r="L46" s="77"/>
      <c r="M46" s="77"/>
      <c r="N46" s="77"/>
      <c r="O46" s="77"/>
      <c r="P46" s="77"/>
      <c r="Q46" s="77"/>
      <c r="R46" s="77"/>
    </row>
    <row r="47" spans="2:18" ht="19.8" customHeight="1" x14ac:dyDescent="0.35">
      <c r="B47" s="47" t="s">
        <v>87</v>
      </c>
      <c r="C47" s="80"/>
      <c r="E47" s="77"/>
      <c r="F47" s="77"/>
      <c r="G47" s="77"/>
      <c r="H47" s="77"/>
      <c r="I47" s="77"/>
      <c r="J47" s="77"/>
      <c r="K47" s="77"/>
      <c r="L47" s="77"/>
      <c r="M47" s="77"/>
      <c r="N47" s="77"/>
      <c r="O47" s="77"/>
      <c r="P47" s="77"/>
      <c r="Q47" s="77"/>
      <c r="R47" s="77"/>
    </row>
    <row r="48" spans="2:18" ht="36" customHeight="1" x14ac:dyDescent="0.3">
      <c r="B48" s="73" t="s">
        <v>88</v>
      </c>
      <c r="C48" s="80"/>
      <c r="O48" s="72"/>
      <c r="P48" s="72"/>
      <c r="Q48" s="77"/>
      <c r="R48" s="77"/>
    </row>
    <row r="49" spans="2:18" ht="31.2" customHeight="1" x14ac:dyDescent="0.3">
      <c r="B49" s="91" t="s">
        <v>99</v>
      </c>
      <c r="C49" s="91"/>
      <c r="D49" s="91"/>
      <c r="E49" s="91"/>
      <c r="F49" s="91"/>
      <c r="G49" s="91"/>
      <c r="H49" s="91"/>
      <c r="I49" s="91"/>
      <c r="J49" s="91"/>
      <c r="K49" s="91"/>
      <c r="L49" s="91"/>
      <c r="M49" s="91"/>
      <c r="N49" s="91"/>
      <c r="O49" s="72"/>
      <c r="P49" s="72"/>
      <c r="Q49" s="77"/>
      <c r="R49" s="77"/>
    </row>
    <row r="50" spans="2:18" ht="36" customHeight="1" x14ac:dyDescent="0.3">
      <c r="O50" s="49"/>
      <c r="P50" s="49"/>
      <c r="Q50" s="77"/>
      <c r="R50" s="77"/>
    </row>
    <row r="51" spans="2:18" ht="15.6" x14ac:dyDescent="0.3">
      <c r="B51" s="47"/>
      <c r="C51" s="80"/>
      <c r="D51" s="77"/>
      <c r="E51" s="77"/>
      <c r="F51" s="77"/>
      <c r="G51" s="77"/>
      <c r="H51" s="77"/>
      <c r="I51" s="77"/>
      <c r="J51" s="77"/>
      <c r="K51" s="77"/>
      <c r="L51" s="77"/>
      <c r="M51" s="77"/>
      <c r="N51" s="77"/>
      <c r="O51" s="77"/>
      <c r="P51" s="77"/>
      <c r="Q51" s="77"/>
      <c r="R51" s="77"/>
    </row>
    <row r="52" spans="2:18" ht="15.6" x14ac:dyDescent="0.3">
      <c r="B52" s="47"/>
      <c r="C52" s="80"/>
      <c r="D52" s="77"/>
      <c r="E52" s="77"/>
      <c r="F52" s="77"/>
      <c r="G52" s="77"/>
      <c r="H52" s="77"/>
      <c r="I52" s="77"/>
      <c r="J52" s="77"/>
      <c r="K52" s="77"/>
      <c r="L52" s="77"/>
      <c r="M52" s="77"/>
      <c r="N52" s="77"/>
      <c r="O52" s="77"/>
      <c r="P52" s="77"/>
      <c r="Q52" s="77"/>
      <c r="R52" s="77"/>
    </row>
    <row r="53" spans="2:18" ht="15.6" x14ac:dyDescent="0.3">
      <c r="B53" s="47"/>
      <c r="C53" s="80"/>
      <c r="D53" s="86"/>
      <c r="E53" s="86"/>
      <c r="F53" s="86"/>
      <c r="G53" s="86"/>
      <c r="H53" s="86"/>
      <c r="I53" s="86"/>
      <c r="J53" s="86"/>
      <c r="K53" s="86"/>
      <c r="L53" s="86"/>
      <c r="M53" s="86"/>
      <c r="N53" s="86"/>
      <c r="O53" s="86"/>
      <c r="P53" s="86"/>
      <c r="Q53" s="86"/>
      <c r="R53" s="86"/>
    </row>
    <row r="54" spans="2:18" ht="15.6" x14ac:dyDescent="0.3">
      <c r="B54" s="47"/>
      <c r="C54" s="80"/>
      <c r="D54" s="86"/>
      <c r="E54" s="86"/>
      <c r="F54" s="86"/>
      <c r="G54" s="86"/>
      <c r="H54" s="86"/>
      <c r="I54" s="86"/>
      <c r="J54" s="86"/>
      <c r="K54" s="86"/>
      <c r="L54" s="86"/>
      <c r="M54" s="86"/>
      <c r="N54" s="86"/>
      <c r="O54" s="86"/>
      <c r="P54" s="86"/>
      <c r="Q54" s="86"/>
      <c r="R54" s="86"/>
    </row>
    <row r="55" spans="2:18" ht="15.6" x14ac:dyDescent="0.3">
      <c r="B55" s="47"/>
      <c r="C55" s="80"/>
      <c r="D55" s="86"/>
      <c r="E55" s="86"/>
      <c r="F55" s="86"/>
      <c r="G55" s="86"/>
      <c r="H55" s="86"/>
      <c r="I55" s="86"/>
      <c r="J55" s="86"/>
      <c r="K55" s="86"/>
      <c r="L55" s="86"/>
      <c r="M55" s="86"/>
      <c r="N55" s="86"/>
      <c r="O55" s="86"/>
      <c r="P55" s="86"/>
      <c r="Q55" s="86"/>
      <c r="R55" s="86"/>
    </row>
    <row r="56" spans="2:18" ht="15.6" x14ac:dyDescent="0.3">
      <c r="B56" s="47"/>
      <c r="C56" s="80"/>
      <c r="D56" s="86"/>
      <c r="E56" s="86"/>
      <c r="F56" s="86"/>
      <c r="G56" s="86"/>
      <c r="H56" s="86"/>
      <c r="I56" s="86"/>
      <c r="J56" s="86"/>
      <c r="K56" s="86"/>
      <c r="L56" s="86"/>
      <c r="M56" s="86"/>
      <c r="N56" s="86"/>
      <c r="O56" s="86"/>
      <c r="P56" s="86"/>
      <c r="Q56" s="86"/>
      <c r="R56" s="86"/>
    </row>
    <row r="57" spans="2:18" ht="15.6" x14ac:dyDescent="0.3">
      <c r="B57" s="47"/>
      <c r="C57" s="80"/>
      <c r="D57" s="86"/>
      <c r="E57" s="86"/>
      <c r="F57" s="86"/>
      <c r="G57" s="86"/>
      <c r="H57" s="86"/>
      <c r="I57" s="86"/>
      <c r="J57" s="86"/>
      <c r="K57" s="86"/>
      <c r="L57" s="86"/>
      <c r="M57" s="86"/>
      <c r="N57" s="86"/>
      <c r="O57" s="86"/>
      <c r="P57" s="86"/>
      <c r="Q57" s="86"/>
      <c r="R57" s="86"/>
    </row>
    <row r="58" spans="2:18" ht="15.6" x14ac:dyDescent="0.3">
      <c r="B58" s="47"/>
      <c r="C58" s="80"/>
      <c r="D58" s="86"/>
      <c r="E58" s="86"/>
      <c r="F58" s="86"/>
      <c r="G58" s="86"/>
      <c r="H58" s="86"/>
      <c r="I58" s="86"/>
      <c r="J58" s="86"/>
      <c r="K58" s="86"/>
      <c r="L58" s="86"/>
      <c r="M58" s="86"/>
      <c r="N58" s="86"/>
      <c r="O58" s="86"/>
      <c r="P58" s="86"/>
      <c r="Q58" s="86"/>
      <c r="R58" s="86"/>
    </row>
    <row r="59" spans="2:18" ht="15.6" x14ac:dyDescent="0.3">
      <c r="B59" s="48"/>
      <c r="C59" s="89"/>
      <c r="D59" s="89"/>
      <c r="E59" s="89"/>
      <c r="F59" s="89"/>
      <c r="G59" s="89"/>
      <c r="H59" s="89"/>
      <c r="I59" s="89"/>
      <c r="J59" s="89"/>
      <c r="K59" s="89"/>
      <c r="L59" s="89"/>
      <c r="M59" s="89"/>
      <c r="N59" s="89"/>
      <c r="O59" s="89"/>
      <c r="P59" s="89"/>
    </row>
    <row r="60" spans="2:18" x14ac:dyDescent="0.3">
      <c r="B60" s="79"/>
    </row>
    <row r="61" spans="2:18" ht="15.6" x14ac:dyDescent="0.3">
      <c r="B61" s="46"/>
    </row>
    <row r="62" spans="2:18" ht="15.6" x14ac:dyDescent="0.3">
      <c r="B62" s="46"/>
    </row>
    <row r="63" spans="2:18" ht="15.6" x14ac:dyDescent="0.3">
      <c r="B63" s="46"/>
    </row>
    <row r="64" spans="2:18" ht="15.6" x14ac:dyDescent="0.3">
      <c r="B64" s="46"/>
    </row>
    <row r="65" spans="2:16" ht="15.6" x14ac:dyDescent="0.3">
      <c r="B65" s="46"/>
    </row>
    <row r="66" spans="2:16" ht="12.6" customHeight="1" x14ac:dyDescent="0.3">
      <c r="B66" s="48"/>
      <c r="C66" s="89"/>
      <c r="D66" s="89"/>
      <c r="E66" s="89"/>
      <c r="F66" s="89"/>
      <c r="G66" s="89"/>
      <c r="H66" s="89"/>
      <c r="I66" s="89"/>
      <c r="J66" s="89"/>
      <c r="K66" s="89"/>
      <c r="L66" s="89"/>
      <c r="M66" s="89"/>
      <c r="N66" s="89"/>
      <c r="O66" s="89"/>
      <c r="P66" s="89"/>
    </row>
    <row r="67" spans="2:16" ht="21" x14ac:dyDescent="0.3">
      <c r="B67" s="87" t="s">
        <v>95</v>
      </c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</row>
    <row r="68" spans="2:16" ht="21" x14ac:dyDescent="0.3">
      <c r="B68" s="83" t="s">
        <v>107</v>
      </c>
      <c r="C68" s="74"/>
      <c r="D68" s="74"/>
      <c r="E68" s="74"/>
      <c r="F68" s="74"/>
      <c r="G68" s="74"/>
      <c r="H68" s="74"/>
      <c r="I68" s="74"/>
      <c r="J68" s="74"/>
      <c r="K68" s="74"/>
      <c r="L68" s="74"/>
      <c r="M68" s="74"/>
      <c r="N68" s="74"/>
    </row>
    <row r="69" spans="2:16" ht="21" x14ac:dyDescent="0.3">
      <c r="B69" s="46" t="s">
        <v>113</v>
      </c>
      <c r="C69" s="74"/>
      <c r="D69" s="74"/>
      <c r="E69" s="74"/>
      <c r="F69" s="74"/>
      <c r="G69" s="74"/>
      <c r="H69" s="74"/>
      <c r="I69" s="74"/>
      <c r="J69" s="74"/>
      <c r="K69" s="74"/>
      <c r="L69" s="74"/>
      <c r="M69" s="74"/>
      <c r="N69" s="74"/>
    </row>
    <row r="70" spans="2:16" ht="21" x14ac:dyDescent="0.3">
      <c r="B70" s="46"/>
      <c r="C70" s="74"/>
      <c r="D70" s="74"/>
      <c r="E70" s="74"/>
      <c r="F70" s="74"/>
      <c r="G70" s="74"/>
      <c r="H70" s="74"/>
      <c r="I70" s="74"/>
      <c r="J70" s="74"/>
      <c r="K70" s="74"/>
      <c r="L70" s="74"/>
      <c r="M70" s="74"/>
      <c r="N70" s="74"/>
    </row>
    <row r="71" spans="2:16" ht="15.6" x14ac:dyDescent="0.3">
      <c r="B71" s="47" t="s">
        <v>108</v>
      </c>
      <c r="C71" s="80"/>
    </row>
    <row r="72" spans="2:16" ht="15.6" x14ac:dyDescent="0.3">
      <c r="B72" s="80" t="s">
        <v>109</v>
      </c>
    </row>
    <row r="73" spans="2:16" ht="15.6" x14ac:dyDescent="0.3">
      <c r="B73" s="80" t="s">
        <v>96</v>
      </c>
    </row>
    <row r="74" spans="2:16" ht="15.6" x14ac:dyDescent="0.3">
      <c r="B74" s="80" t="s">
        <v>97</v>
      </c>
      <c r="D74" s="80"/>
    </row>
    <row r="75" spans="2:16" ht="15.6" x14ac:dyDescent="0.3">
      <c r="B75" s="48"/>
      <c r="C75" s="80"/>
      <c r="D75" s="80"/>
    </row>
    <row r="76" spans="2:16" ht="15.6" x14ac:dyDescent="0.3">
      <c r="D76" s="80"/>
    </row>
    <row r="77" spans="2:16" ht="15.6" x14ac:dyDescent="0.3">
      <c r="D77" s="80"/>
    </row>
    <row r="78" spans="2:16" ht="15.6" x14ac:dyDescent="0.3">
      <c r="D78" s="80"/>
    </row>
    <row r="79" spans="2:16" ht="15.6" x14ac:dyDescent="0.3">
      <c r="D79" s="80"/>
    </row>
    <row r="80" spans="2:16" ht="15.6" x14ac:dyDescent="0.3">
      <c r="D80" s="80"/>
    </row>
    <row r="82" spans="2:2" ht="15.6" x14ac:dyDescent="0.3">
      <c r="B82" s="80" t="s">
        <v>100</v>
      </c>
    </row>
    <row r="90" spans="2:2" ht="15.6" customHeight="1" x14ac:dyDescent="0.3"/>
    <row r="91" spans="2:2" ht="15.6" x14ac:dyDescent="0.3">
      <c r="B91" s="80" t="s">
        <v>101</v>
      </c>
    </row>
    <row r="112" ht="31.8" customHeight="1" x14ac:dyDescent="0.3"/>
    <row r="113" spans="2:2" ht="15.6" x14ac:dyDescent="0.3">
      <c r="B113" s="80" t="s">
        <v>102</v>
      </c>
    </row>
  </sheetData>
  <mergeCells count="8">
    <mergeCell ref="B67:N67"/>
    <mergeCell ref="C25:R25"/>
    <mergeCell ref="C26:P26"/>
    <mergeCell ref="C59:P59"/>
    <mergeCell ref="C66:P66"/>
    <mergeCell ref="C27:P27"/>
    <mergeCell ref="C31:N31"/>
    <mergeCell ref="B49:N49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L64"/>
  <sheetViews>
    <sheetView showGridLines="0" topLeftCell="A31" zoomScale="70" zoomScaleNormal="70" workbookViewId="0">
      <selection activeCell="C9" sqref="C9"/>
    </sheetView>
  </sheetViews>
  <sheetFormatPr baseColWidth="10" defaultColWidth="12.5546875" defaultRowHeight="13.2" x14ac:dyDescent="0.25"/>
  <cols>
    <col min="1" max="1" width="4.88671875" style="13" customWidth="1"/>
    <col min="2" max="10" width="29.109375" style="13" customWidth="1"/>
    <col min="11" max="16384" width="12.5546875" style="13"/>
  </cols>
  <sheetData>
    <row r="1" spans="1:10" s="23" customFormat="1" ht="16.5" customHeight="1" x14ac:dyDescent="0.3"/>
    <row r="2" spans="1:10" s="23" customFormat="1" ht="16.5" customHeight="1" x14ac:dyDescent="0.3">
      <c r="B2" s="24"/>
      <c r="C2" s="24"/>
      <c r="D2" s="24"/>
      <c r="E2" s="24"/>
    </row>
    <row r="3" spans="1:10" s="23" customFormat="1" ht="16.5" customHeight="1" x14ac:dyDescent="0.3">
      <c r="B3" s="24"/>
      <c r="C3" s="24"/>
      <c r="D3" s="24"/>
      <c r="E3" s="24"/>
    </row>
    <row r="4" spans="1:10" s="23" customFormat="1" ht="16.5" customHeight="1" x14ac:dyDescent="0.3">
      <c r="B4" s="24"/>
      <c r="C4" s="24"/>
      <c r="D4" s="24"/>
      <c r="E4" s="24"/>
    </row>
    <row r="5" spans="1:10" s="23" customFormat="1" ht="16.5" customHeight="1" x14ac:dyDescent="0.3">
      <c r="C5" s="24"/>
      <c r="D5" s="24"/>
    </row>
    <row r="6" spans="1:10" s="27" customFormat="1" ht="21" customHeight="1" x14ac:dyDescent="0.35">
      <c r="B6" s="28" t="s">
        <v>14</v>
      </c>
      <c r="C6" s="92" t="s">
        <v>30</v>
      </c>
      <c r="D6" s="92"/>
      <c r="G6" s="29"/>
      <c r="H6" s="28" t="s">
        <v>15</v>
      </c>
      <c r="I6" s="93">
        <v>44694</v>
      </c>
      <c r="J6" s="94"/>
    </row>
    <row r="7" spans="1:10" s="27" customFormat="1" ht="5.0999999999999996" customHeight="1" x14ac:dyDescent="0.35">
      <c r="B7" s="31"/>
      <c r="C7" s="32"/>
      <c r="D7" s="32"/>
      <c r="G7" s="29"/>
      <c r="H7" s="31"/>
      <c r="J7" s="35"/>
    </row>
    <row r="8" spans="1:10" s="27" customFormat="1" ht="21" customHeight="1" x14ac:dyDescent="0.35">
      <c r="B8" s="30" t="s">
        <v>16</v>
      </c>
      <c r="C8" s="92" t="s">
        <v>115</v>
      </c>
      <c r="D8" s="92" t="s">
        <v>17</v>
      </c>
      <c r="G8" s="33"/>
      <c r="H8" s="30" t="s">
        <v>18</v>
      </c>
      <c r="I8" s="95">
        <v>44696</v>
      </c>
      <c r="J8" s="95"/>
    </row>
    <row r="9" spans="1:10" s="27" customFormat="1" ht="5.0999999999999996" customHeight="1" x14ac:dyDescent="0.35">
      <c r="B9" s="34"/>
      <c r="C9" s="32"/>
      <c r="D9" s="32"/>
      <c r="G9" s="29"/>
      <c r="H9" s="34"/>
      <c r="I9" s="36"/>
    </row>
    <row r="10" spans="1:10" s="27" customFormat="1" ht="21" customHeight="1" x14ac:dyDescent="0.35">
      <c r="B10" s="30" t="s">
        <v>19</v>
      </c>
      <c r="C10" s="92" t="s">
        <v>31</v>
      </c>
      <c r="D10" s="92" t="s">
        <v>20</v>
      </c>
      <c r="G10" s="33"/>
      <c r="H10" s="28" t="s">
        <v>21</v>
      </c>
      <c r="I10" s="93" t="s">
        <v>33</v>
      </c>
      <c r="J10" s="94"/>
    </row>
    <row r="11" spans="1:10" s="27" customFormat="1" ht="5.0999999999999996" customHeight="1" x14ac:dyDescent="0.35">
      <c r="B11" s="31"/>
      <c r="C11" s="32"/>
      <c r="D11" s="32"/>
      <c r="G11" s="29"/>
      <c r="H11" s="29"/>
      <c r="I11" s="29"/>
    </row>
    <row r="12" spans="1:10" s="27" customFormat="1" ht="21" customHeight="1" x14ac:dyDescent="0.35">
      <c r="B12" s="30" t="s">
        <v>22</v>
      </c>
      <c r="C12" s="92" t="s">
        <v>32</v>
      </c>
      <c r="D12" s="92" t="s">
        <v>23</v>
      </c>
      <c r="G12" s="33"/>
      <c r="H12" s="28" t="s">
        <v>25</v>
      </c>
      <c r="I12" s="96">
        <f>Données!B41</f>
        <v>0.12121212121212122</v>
      </c>
      <c r="J12" s="97"/>
    </row>
    <row r="13" spans="1:10" s="23" customFormat="1" ht="16.5" customHeight="1" thickBot="1" x14ac:dyDescent="0.35">
      <c r="A13" s="25"/>
      <c r="B13" s="26"/>
      <c r="E13" s="26"/>
      <c r="F13" s="26"/>
      <c r="G13" s="26"/>
      <c r="H13" s="26"/>
      <c r="I13" s="26"/>
      <c r="J13" s="26"/>
    </row>
    <row r="14" spans="1:10" s="23" customFormat="1" ht="18.75" customHeight="1" thickBot="1" x14ac:dyDescent="0.35">
      <c r="A14" s="25"/>
      <c r="B14" s="40" t="s">
        <v>27</v>
      </c>
      <c r="C14" s="37" t="s">
        <v>0</v>
      </c>
      <c r="D14" s="38" t="s">
        <v>1</v>
      </c>
      <c r="E14" s="39" t="s">
        <v>2</v>
      </c>
      <c r="F14" s="41" t="s">
        <v>3</v>
      </c>
    </row>
    <row r="15" spans="1:10" s="23" customFormat="1" ht="16.5" customHeight="1" x14ac:dyDescent="0.3">
      <c r="A15" s="25"/>
      <c r="B15" s="26"/>
      <c r="E15" s="26"/>
      <c r="F15" s="26"/>
      <c r="G15" s="26"/>
      <c r="H15" s="26"/>
      <c r="I15" s="26"/>
      <c r="J15" s="26"/>
    </row>
    <row r="16" spans="1:10" s="23" customFormat="1" ht="16.5" customHeight="1" x14ac:dyDescent="0.3">
      <c r="A16" s="25"/>
      <c r="B16" s="26"/>
      <c r="E16" s="26"/>
      <c r="F16" s="26"/>
      <c r="G16" s="26"/>
      <c r="H16" s="26"/>
      <c r="I16" s="26"/>
      <c r="J16" s="26"/>
    </row>
    <row r="17" spans="1:10" s="23" customFormat="1" ht="16.2" customHeight="1" x14ac:dyDescent="0.3">
      <c r="A17" s="25"/>
      <c r="B17" s="26"/>
      <c r="E17" s="26"/>
      <c r="F17" s="26"/>
      <c r="G17" s="26"/>
      <c r="H17" s="26"/>
      <c r="I17" s="26"/>
      <c r="J17" s="26"/>
    </row>
    <row r="18" spans="1:10" s="23" customFormat="1" ht="16.5" customHeight="1" x14ac:dyDescent="0.3">
      <c r="A18" s="25"/>
      <c r="B18" s="26"/>
      <c r="E18" s="26"/>
      <c r="F18" s="26"/>
      <c r="G18" s="26"/>
      <c r="H18" s="26"/>
      <c r="I18" s="26"/>
      <c r="J18" s="26"/>
    </row>
    <row r="19" spans="1:10" s="23" customFormat="1" ht="16.5" customHeight="1" x14ac:dyDescent="0.3">
      <c r="A19" s="25"/>
      <c r="B19" s="26"/>
      <c r="E19" s="26"/>
      <c r="F19" s="26"/>
      <c r="G19" s="26"/>
      <c r="H19" s="26"/>
      <c r="I19" s="26"/>
      <c r="J19" s="26"/>
    </row>
    <row r="20" spans="1:10" s="23" customFormat="1" ht="16.5" customHeight="1" x14ac:dyDescent="0.3">
      <c r="A20" s="25"/>
      <c r="B20" s="26"/>
      <c r="C20" s="26"/>
      <c r="D20" s="26"/>
      <c r="E20" s="26"/>
      <c r="F20" s="26"/>
      <c r="G20" s="26"/>
      <c r="H20" s="26"/>
      <c r="I20" s="26"/>
      <c r="J20" s="26"/>
    </row>
    <row r="21" spans="1:10" s="23" customFormat="1" ht="16.5" customHeight="1" x14ac:dyDescent="0.3">
      <c r="A21" s="25"/>
      <c r="B21" s="26"/>
      <c r="C21" s="26"/>
      <c r="D21" s="26"/>
      <c r="E21" s="26"/>
      <c r="F21" s="26"/>
      <c r="G21" s="26"/>
      <c r="H21" s="26"/>
      <c r="I21" s="26"/>
      <c r="J21" s="26"/>
    </row>
    <row r="22" spans="1:10" s="23" customFormat="1" ht="16.5" customHeight="1" x14ac:dyDescent="0.3">
      <c r="A22" s="25"/>
      <c r="B22" s="26"/>
      <c r="C22" s="26"/>
      <c r="D22" s="26"/>
      <c r="E22" s="26"/>
      <c r="F22" s="26"/>
      <c r="G22" s="26"/>
      <c r="H22" s="26"/>
      <c r="I22" s="26"/>
      <c r="J22" s="26"/>
    </row>
    <row r="23" spans="1:10" s="23" customFormat="1" ht="16.5" customHeight="1" x14ac:dyDescent="0.3">
      <c r="A23" s="25"/>
      <c r="B23" s="26"/>
      <c r="C23" s="26"/>
      <c r="D23" s="26"/>
      <c r="E23" s="26"/>
      <c r="F23" s="26"/>
      <c r="G23" s="26"/>
      <c r="H23" s="26"/>
      <c r="I23" s="26"/>
      <c r="J23" s="26"/>
    </row>
    <row r="24" spans="1:10" s="23" customFormat="1" ht="16.5" customHeight="1" x14ac:dyDescent="0.3">
      <c r="A24" s="25"/>
      <c r="B24" s="26"/>
      <c r="C24" s="26"/>
      <c r="D24" s="26"/>
      <c r="E24" s="26"/>
      <c r="F24" s="26"/>
      <c r="G24" s="26"/>
      <c r="H24" s="26"/>
      <c r="I24" s="26"/>
      <c r="J24" s="26"/>
    </row>
    <row r="25" spans="1:10" s="23" customFormat="1" ht="16.5" customHeight="1" x14ac:dyDescent="0.3">
      <c r="A25" s="25"/>
      <c r="B25" s="26"/>
      <c r="C25" s="26"/>
      <c r="D25" s="26"/>
      <c r="E25" s="26"/>
      <c r="F25" s="26"/>
      <c r="G25" s="26"/>
      <c r="H25" s="26"/>
      <c r="I25" s="26"/>
      <c r="J25" s="26"/>
    </row>
    <row r="26" spans="1:10" s="23" customFormat="1" ht="16.5" customHeight="1" x14ac:dyDescent="0.3">
      <c r="A26" s="25"/>
      <c r="B26" s="26"/>
      <c r="C26" s="26"/>
      <c r="D26" s="26"/>
      <c r="E26" s="26"/>
      <c r="F26" s="26"/>
      <c r="G26" s="26"/>
      <c r="H26" s="26"/>
      <c r="I26" s="26"/>
      <c r="J26" s="26"/>
    </row>
    <row r="27" spans="1:10" s="23" customFormat="1" ht="16.5" customHeight="1" x14ac:dyDescent="0.3">
      <c r="A27" s="25"/>
      <c r="B27" s="26"/>
      <c r="C27" s="26"/>
      <c r="D27" s="26"/>
      <c r="E27" s="26"/>
      <c r="F27" s="26"/>
      <c r="G27" s="26"/>
      <c r="H27" s="26"/>
      <c r="I27" s="26"/>
      <c r="J27" s="26"/>
    </row>
    <row r="28" spans="1:10" s="23" customFormat="1" ht="16.5" customHeight="1" x14ac:dyDescent="0.3">
      <c r="A28" s="25"/>
      <c r="B28" s="26"/>
      <c r="E28" s="26"/>
      <c r="F28" s="26"/>
      <c r="G28" s="26"/>
      <c r="H28" s="26"/>
      <c r="I28" s="26"/>
      <c r="J28" s="26"/>
    </row>
    <row r="29" spans="1:10" s="23" customFormat="1" ht="16.5" customHeight="1" x14ac:dyDescent="0.3">
      <c r="A29" s="25"/>
      <c r="B29" s="26"/>
      <c r="E29" s="26"/>
      <c r="F29" s="26"/>
      <c r="G29" s="26"/>
      <c r="H29" s="26"/>
      <c r="I29" s="26"/>
      <c r="J29" s="26"/>
    </row>
    <row r="30" spans="1:10" s="23" customFormat="1" ht="16.5" customHeight="1" x14ac:dyDescent="0.3">
      <c r="A30" s="25"/>
      <c r="B30" s="26"/>
      <c r="E30" s="26"/>
      <c r="F30" s="26"/>
      <c r="G30" s="26"/>
      <c r="H30" s="26"/>
      <c r="I30" s="26"/>
      <c r="J30" s="26"/>
    </row>
    <row r="31" spans="1:10" s="23" customFormat="1" ht="16.5" customHeight="1" x14ac:dyDescent="0.3">
      <c r="A31" s="25"/>
      <c r="B31" s="26"/>
      <c r="E31" s="26"/>
      <c r="F31" s="26"/>
      <c r="G31" s="26"/>
      <c r="H31" s="26"/>
      <c r="I31" s="26"/>
      <c r="J31" s="26"/>
    </row>
    <row r="32" spans="1:10" s="23" customFormat="1" ht="16.5" customHeight="1" x14ac:dyDescent="0.3">
      <c r="A32" s="25"/>
      <c r="B32" s="26"/>
      <c r="E32" s="26"/>
      <c r="F32" s="26"/>
      <c r="G32" s="26"/>
      <c r="H32" s="26"/>
      <c r="I32" s="26"/>
      <c r="J32" s="26"/>
    </row>
    <row r="33" spans="1:12" s="23" customFormat="1" ht="16.5" customHeight="1" x14ac:dyDescent="0.3">
      <c r="A33" s="25"/>
      <c r="B33" s="26"/>
      <c r="E33" s="26"/>
      <c r="F33" s="26"/>
      <c r="G33" s="26"/>
      <c r="H33" s="26"/>
      <c r="I33" s="26"/>
      <c r="J33" s="26"/>
    </row>
    <row r="34" spans="1:12" s="23" customFormat="1" ht="16.5" customHeight="1" x14ac:dyDescent="0.3">
      <c r="A34" s="25"/>
      <c r="B34" s="26"/>
      <c r="E34" s="26"/>
      <c r="F34" s="26"/>
      <c r="G34" s="26"/>
      <c r="H34" s="26"/>
      <c r="I34" s="26"/>
      <c r="J34" s="26"/>
    </row>
    <row r="35" spans="1:12" s="23" customFormat="1" ht="16.5" customHeight="1" x14ac:dyDescent="0.3">
      <c r="A35" s="25"/>
      <c r="B35" s="26"/>
      <c r="C35" s="26"/>
      <c r="D35" s="26"/>
      <c r="E35" s="26"/>
      <c r="F35" s="26"/>
      <c r="G35" s="26"/>
      <c r="H35" s="26"/>
      <c r="I35" s="26"/>
      <c r="J35" s="26"/>
    </row>
    <row r="36" spans="1:12" s="23" customFormat="1" ht="16.5" customHeight="1" x14ac:dyDescent="0.3">
      <c r="A36" s="25"/>
      <c r="B36" s="26"/>
      <c r="C36" s="26"/>
      <c r="D36" s="26"/>
      <c r="E36" s="26"/>
      <c r="F36" s="26"/>
      <c r="G36" s="26"/>
      <c r="H36" s="26"/>
      <c r="I36" s="26"/>
      <c r="J36" s="26"/>
    </row>
    <row r="37" spans="1:12" x14ac:dyDescent="0.25">
      <c r="A37" s="1"/>
      <c r="B37" s="3"/>
      <c r="C37" s="3"/>
      <c r="D37" s="3"/>
      <c r="E37" s="3"/>
      <c r="F37" s="3"/>
      <c r="G37" s="3"/>
      <c r="H37" s="1"/>
      <c r="I37" s="1"/>
      <c r="J37" s="1"/>
      <c r="K37" s="1"/>
      <c r="L37" s="1"/>
    </row>
    <row r="38" spans="1:12" x14ac:dyDescent="0.25">
      <c r="A38" s="1"/>
      <c r="B38" s="3"/>
      <c r="C38" s="3"/>
      <c r="D38" s="3"/>
      <c r="E38" s="3"/>
      <c r="F38" s="3"/>
      <c r="G38" s="3"/>
      <c r="H38" s="1"/>
      <c r="I38" s="1"/>
      <c r="J38" s="1"/>
      <c r="K38" s="1"/>
      <c r="L38" s="1"/>
    </row>
    <row r="39" spans="1:12" x14ac:dyDescent="0.25">
      <c r="A39" s="1"/>
      <c r="B39" s="5"/>
      <c r="C39" s="6"/>
      <c r="D39" s="6"/>
      <c r="E39" s="6"/>
      <c r="F39" s="6"/>
      <c r="G39" s="3"/>
      <c r="H39" s="1"/>
      <c r="I39" s="1"/>
      <c r="J39" s="1"/>
      <c r="K39" s="1"/>
      <c r="L39" s="1"/>
    </row>
    <row r="40" spans="1:12" x14ac:dyDescent="0.25">
      <c r="A40" s="1"/>
      <c r="B40" s="2"/>
      <c r="C40" s="3"/>
      <c r="D40" s="3"/>
      <c r="E40" s="3"/>
      <c r="F40" s="3"/>
      <c r="G40" s="3"/>
      <c r="H40" s="1"/>
      <c r="I40" s="1"/>
      <c r="J40" s="1"/>
      <c r="K40" s="1"/>
      <c r="L40" s="1"/>
    </row>
    <row r="41" spans="1:12" x14ac:dyDescent="0.25">
      <c r="A41" s="1"/>
      <c r="B41" s="2"/>
      <c r="C41" s="3"/>
      <c r="D41" s="3"/>
      <c r="E41" s="3"/>
      <c r="F41" s="3"/>
      <c r="G41" s="3"/>
      <c r="H41" s="1"/>
      <c r="I41" s="1"/>
      <c r="J41" s="1"/>
      <c r="K41" s="1"/>
      <c r="L41" s="1"/>
    </row>
    <row r="42" spans="1:12" x14ac:dyDescent="0.25">
      <c r="A42" s="1"/>
      <c r="B42" s="2"/>
      <c r="C42" s="3"/>
      <c r="D42" s="3"/>
      <c r="E42" s="3"/>
      <c r="F42" s="3"/>
      <c r="G42" s="3"/>
      <c r="H42" s="1"/>
      <c r="I42" s="1"/>
      <c r="J42" s="1"/>
      <c r="K42" s="1"/>
      <c r="L42" s="1"/>
    </row>
    <row r="43" spans="1:12" x14ac:dyDescent="0.25">
      <c r="A43" s="1"/>
      <c r="B43" s="2"/>
      <c r="C43" s="3"/>
      <c r="D43" s="3"/>
      <c r="E43" s="3"/>
      <c r="F43" s="3"/>
      <c r="G43" s="3"/>
      <c r="H43" s="1"/>
      <c r="I43" s="1"/>
      <c r="J43" s="1"/>
      <c r="K43" s="1"/>
      <c r="L43" s="1"/>
    </row>
    <row r="44" spans="1:12" x14ac:dyDescent="0.25">
      <c r="A44" s="1"/>
      <c r="B44" s="2"/>
      <c r="C44" s="3"/>
      <c r="D44" s="3"/>
      <c r="E44" s="3"/>
      <c r="F44" s="3"/>
      <c r="G44" s="3"/>
      <c r="H44" s="1"/>
      <c r="I44" s="1"/>
      <c r="J44" s="1"/>
      <c r="K44" s="1"/>
      <c r="L44" s="1"/>
    </row>
    <row r="45" spans="1:12" x14ac:dyDescent="0.25">
      <c r="A45" s="1"/>
      <c r="B45" s="2"/>
      <c r="C45" s="3"/>
      <c r="D45" s="3"/>
      <c r="E45" s="3"/>
      <c r="F45" s="3"/>
      <c r="G45" s="3"/>
      <c r="H45" s="1"/>
      <c r="I45" s="1"/>
      <c r="J45" s="1"/>
      <c r="K45" s="1"/>
      <c r="L45" s="1"/>
    </row>
    <row r="46" spans="1:12" x14ac:dyDescent="0.25">
      <c r="A46" s="1"/>
      <c r="B46" s="3"/>
      <c r="C46" s="3"/>
      <c r="D46" s="3"/>
      <c r="E46" s="3"/>
      <c r="F46" s="3"/>
      <c r="G46" s="3"/>
      <c r="H46" s="1"/>
      <c r="I46" s="1"/>
      <c r="J46" s="1"/>
      <c r="K46" s="1"/>
      <c r="L46" s="1"/>
    </row>
    <row r="47" spans="1:12" x14ac:dyDescent="0.25">
      <c r="A47" s="1"/>
      <c r="B47" s="3"/>
      <c r="C47" s="3"/>
      <c r="D47" s="3"/>
      <c r="E47" s="3"/>
      <c r="F47" s="3"/>
      <c r="G47" s="3"/>
      <c r="H47" s="1"/>
      <c r="I47" s="1"/>
      <c r="J47" s="1"/>
      <c r="K47" s="1"/>
      <c r="L47" s="1"/>
    </row>
    <row r="48" spans="1:12" x14ac:dyDescent="0.25">
      <c r="A48" s="1"/>
      <c r="B48" s="3"/>
      <c r="C48" s="3"/>
      <c r="D48" s="3"/>
      <c r="E48" s="3"/>
      <c r="F48" s="3"/>
      <c r="G48" s="3"/>
      <c r="H48" s="1"/>
      <c r="I48" s="1"/>
      <c r="J48" s="1"/>
      <c r="K48" s="1"/>
      <c r="L48" s="1"/>
    </row>
    <row r="49" spans="1:12" x14ac:dyDescent="0.25">
      <c r="A49" s="1"/>
      <c r="B49" s="3"/>
      <c r="C49" s="3"/>
      <c r="D49" s="3"/>
      <c r="E49" s="3"/>
      <c r="F49" s="3"/>
      <c r="G49" s="1"/>
      <c r="H49" s="1"/>
      <c r="I49" s="1"/>
      <c r="J49" s="1"/>
      <c r="K49" s="1"/>
      <c r="L49" s="1"/>
    </row>
    <row r="50" spans="1:12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</row>
    <row r="51" spans="1:1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</row>
    <row r="52" spans="1:1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</row>
    <row r="53" spans="1:12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</row>
    <row r="54" spans="1:1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</row>
    <row r="55" spans="1:1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</row>
    <row r="56" spans="1:12" ht="18" customHeight="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</row>
    <row r="57" spans="1:12" ht="30" customHeight="1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</row>
    <row r="58" spans="1:12" ht="30" customHeight="1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</row>
    <row r="59" spans="1:12" ht="30" customHeight="1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</row>
    <row r="60" spans="1:12" ht="18" customHeight="1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</row>
    <row r="61" spans="1:12" ht="18" customHeight="1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</row>
    <row r="62" spans="1:12" ht="27" customHeight="1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</row>
    <row r="63" spans="1:12" ht="27" customHeight="1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</row>
    <row r="64" spans="1:12" ht="12" customHeight="1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</row>
  </sheetData>
  <mergeCells count="8">
    <mergeCell ref="C6:D6"/>
    <mergeCell ref="C8:D8"/>
    <mergeCell ref="C10:D10"/>
    <mergeCell ref="C12:D12"/>
    <mergeCell ref="I6:J6"/>
    <mergeCell ref="I8:J8"/>
    <mergeCell ref="I10:J10"/>
    <mergeCell ref="I12:J12"/>
  </mergeCells>
  <conditionalFormatting sqref="C14:F14">
    <cfRule type="cellIs" dxfId="21" priority="1" operator="equal">
      <formula>$A$45</formula>
    </cfRule>
    <cfRule type="cellIs" dxfId="20" priority="2" operator="equal">
      <formula>$A$44</formula>
    </cfRule>
    <cfRule type="cellIs" dxfId="19" priority="3" operator="equal">
      <formula>$A$43</formula>
    </cfRule>
    <cfRule type="cellIs" dxfId="18" priority="4" operator="equal">
      <formula>$A$42</formula>
    </cfRule>
  </conditionalFormatting>
  <dataValidations count="1">
    <dataValidation type="list" allowBlank="1" showInputMessage="1" showErrorMessage="1" sqref="E37:E1048576" xr:uid="{00000000-0002-0000-0100-000000000000}">
      <formula1>#REF!</formula1>
    </dataValidation>
  </dataValidations>
  <pageMargins left="0.7" right="0.7" top="0.75" bottom="0.75" header="0.3" footer="0.3"/>
  <pageSetup paperSize="9" orientation="portrait" r:id="rId1"/>
  <ignoredErrors>
    <ignoredError sqref="I12" unlocked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2:K428"/>
  <sheetViews>
    <sheetView showGridLines="0" tabSelected="1" workbookViewId="0">
      <selection activeCell="A68" sqref="A68"/>
    </sheetView>
  </sheetViews>
  <sheetFormatPr baseColWidth="10" defaultColWidth="12.5546875" defaultRowHeight="13.2" x14ac:dyDescent="0.3"/>
  <cols>
    <col min="1" max="1" width="44.33203125" style="8" customWidth="1"/>
    <col min="2" max="2" width="20" style="8" customWidth="1"/>
    <col min="3" max="4" width="16.88671875" style="8" customWidth="1"/>
    <col min="5" max="5" width="15.6640625" style="8" bestFit="1" customWidth="1"/>
    <col min="6" max="6" width="15.6640625" style="8" customWidth="1"/>
    <col min="7" max="7" width="26" style="8" customWidth="1"/>
    <col min="8" max="8" width="20.77734375" style="8" customWidth="1"/>
    <col min="9" max="9" width="20.44140625" style="8" bestFit="1" customWidth="1"/>
    <col min="10" max="10" width="12.5546875" style="8"/>
    <col min="11" max="11" width="0" style="8" hidden="1" customWidth="1"/>
    <col min="12" max="16384" width="12.5546875" style="8"/>
  </cols>
  <sheetData>
    <row r="2" spans="1:11" x14ac:dyDescent="0.3">
      <c r="A2" s="7" t="s">
        <v>12</v>
      </c>
    </row>
    <row r="3" spans="1:11" x14ac:dyDescent="0.3">
      <c r="A3" s="14" t="s">
        <v>7</v>
      </c>
      <c r="B3" s="14" t="s">
        <v>8</v>
      </c>
      <c r="C3" s="85" t="s">
        <v>9</v>
      </c>
      <c r="D3" s="85" t="s">
        <v>10</v>
      </c>
      <c r="E3" s="85" t="s">
        <v>111</v>
      </c>
      <c r="F3" s="85" t="s">
        <v>112</v>
      </c>
      <c r="G3" s="85" t="s">
        <v>4</v>
      </c>
      <c r="K3" s="14" t="s">
        <v>110</v>
      </c>
    </row>
    <row r="4" spans="1:11" x14ac:dyDescent="0.3">
      <c r="A4" s="4" t="s">
        <v>34</v>
      </c>
      <c r="B4" s="4" t="s">
        <v>31</v>
      </c>
      <c r="C4" s="21">
        <v>44649</v>
      </c>
      <c r="D4" s="21">
        <v>44660</v>
      </c>
      <c r="E4" s="22">
        <f>D4-C4+1</f>
        <v>12</v>
      </c>
      <c r="F4" s="22">
        <f>NETWORKDAYS(C4,D4)</f>
        <v>9</v>
      </c>
      <c r="G4" s="15" t="s">
        <v>0</v>
      </c>
      <c r="K4" s="22">
        <f>D4-C4</f>
        <v>11</v>
      </c>
    </row>
    <row r="5" spans="1:11" ht="26.4" x14ac:dyDescent="0.3">
      <c r="A5" s="4" t="s">
        <v>35</v>
      </c>
      <c r="B5" s="4" t="s">
        <v>31</v>
      </c>
      <c r="C5" s="21">
        <v>44663</v>
      </c>
      <c r="D5" s="21">
        <v>44667</v>
      </c>
      <c r="E5" s="22">
        <f t="shared" ref="E5:E36" si="0">D5-C5+1</f>
        <v>5</v>
      </c>
      <c r="F5" s="22">
        <f t="shared" ref="F5:F36" si="1">NETWORKDAYS(C5,D5)</f>
        <v>4</v>
      </c>
      <c r="G5" s="16" t="s">
        <v>0</v>
      </c>
      <c r="K5" s="22">
        <f t="shared" ref="K5:K68" si="2">D5-C5</f>
        <v>4</v>
      </c>
    </row>
    <row r="6" spans="1:11" x14ac:dyDescent="0.3">
      <c r="A6" s="4" t="s">
        <v>36</v>
      </c>
      <c r="B6" s="4" t="s">
        <v>31</v>
      </c>
      <c r="C6" s="21">
        <v>44670</v>
      </c>
      <c r="D6" s="21">
        <v>44680</v>
      </c>
      <c r="E6" s="22">
        <f t="shared" si="0"/>
        <v>11</v>
      </c>
      <c r="F6" s="22">
        <f t="shared" si="1"/>
        <v>9</v>
      </c>
      <c r="G6" s="15" t="s">
        <v>0</v>
      </c>
      <c r="K6" s="22">
        <f t="shared" si="2"/>
        <v>10</v>
      </c>
    </row>
    <row r="7" spans="1:11" x14ac:dyDescent="0.3">
      <c r="A7" s="4" t="s">
        <v>37</v>
      </c>
      <c r="B7" s="4" t="s">
        <v>31</v>
      </c>
      <c r="C7" s="21">
        <v>44681</v>
      </c>
      <c r="D7" s="21">
        <v>44681</v>
      </c>
      <c r="E7" s="22">
        <f t="shared" si="0"/>
        <v>1</v>
      </c>
      <c r="F7" s="22">
        <f t="shared" si="1"/>
        <v>0</v>
      </c>
      <c r="G7" s="17" t="s">
        <v>0</v>
      </c>
      <c r="K7" s="22">
        <f t="shared" si="2"/>
        <v>0</v>
      </c>
    </row>
    <row r="8" spans="1:11" x14ac:dyDescent="0.3">
      <c r="A8" s="4" t="s">
        <v>106</v>
      </c>
      <c r="B8" s="4" t="s">
        <v>43</v>
      </c>
      <c r="C8" s="21">
        <v>44684</v>
      </c>
      <c r="D8" s="21">
        <v>44709</v>
      </c>
      <c r="E8" s="22">
        <f t="shared" si="0"/>
        <v>26</v>
      </c>
      <c r="F8" s="22">
        <f t="shared" si="1"/>
        <v>19</v>
      </c>
      <c r="G8" s="18" t="s">
        <v>1</v>
      </c>
      <c r="K8" s="22">
        <f t="shared" si="2"/>
        <v>25</v>
      </c>
    </row>
    <row r="9" spans="1:11" x14ac:dyDescent="0.3">
      <c r="A9" s="4" t="s">
        <v>38</v>
      </c>
      <c r="B9" s="4" t="s">
        <v>31</v>
      </c>
      <c r="C9" s="21">
        <v>44712</v>
      </c>
      <c r="D9" s="21">
        <v>44741</v>
      </c>
      <c r="E9" s="22">
        <f t="shared" si="0"/>
        <v>30</v>
      </c>
      <c r="F9" s="22">
        <f t="shared" si="1"/>
        <v>22</v>
      </c>
      <c r="G9" s="18" t="s">
        <v>2</v>
      </c>
      <c r="K9" s="22">
        <f t="shared" si="2"/>
        <v>29</v>
      </c>
    </row>
    <row r="10" spans="1:11" x14ac:dyDescent="0.3">
      <c r="A10" s="4" t="s">
        <v>39</v>
      </c>
      <c r="B10" s="4" t="s">
        <v>31</v>
      </c>
      <c r="C10" s="21">
        <v>44712</v>
      </c>
      <c r="D10" s="21">
        <v>44741</v>
      </c>
      <c r="E10" s="22">
        <f t="shared" si="0"/>
        <v>30</v>
      </c>
      <c r="F10" s="22">
        <f t="shared" si="1"/>
        <v>22</v>
      </c>
      <c r="G10" s="18" t="s">
        <v>2</v>
      </c>
      <c r="K10" s="22">
        <f t="shared" si="2"/>
        <v>29</v>
      </c>
    </row>
    <row r="11" spans="1:11" x14ac:dyDescent="0.3">
      <c r="A11" s="4" t="s">
        <v>40</v>
      </c>
      <c r="B11" s="4" t="s">
        <v>42</v>
      </c>
      <c r="C11" s="21">
        <v>44712</v>
      </c>
      <c r="D11" s="21">
        <v>44741</v>
      </c>
      <c r="E11" s="22">
        <f t="shared" si="0"/>
        <v>30</v>
      </c>
      <c r="F11" s="22">
        <f t="shared" si="1"/>
        <v>22</v>
      </c>
      <c r="G11" s="18" t="s">
        <v>3</v>
      </c>
      <c r="K11" s="22">
        <f t="shared" si="2"/>
        <v>29</v>
      </c>
    </row>
    <row r="12" spans="1:11" ht="26.4" x14ac:dyDescent="0.3">
      <c r="A12" s="4" t="s">
        <v>41</v>
      </c>
      <c r="B12" s="4" t="s">
        <v>31</v>
      </c>
      <c r="C12" s="21">
        <v>44742</v>
      </c>
      <c r="D12" s="21">
        <v>44742</v>
      </c>
      <c r="E12" s="22">
        <f t="shared" si="0"/>
        <v>1</v>
      </c>
      <c r="F12" s="22">
        <f t="shared" si="1"/>
        <v>1</v>
      </c>
      <c r="G12" s="18" t="s">
        <v>3</v>
      </c>
      <c r="K12" s="22">
        <f t="shared" si="2"/>
        <v>0</v>
      </c>
    </row>
    <row r="13" spans="1:11" ht="26.4" x14ac:dyDescent="0.3">
      <c r="A13" s="4" t="s">
        <v>44</v>
      </c>
      <c r="B13" s="4" t="s">
        <v>45</v>
      </c>
      <c r="C13" s="21">
        <v>44743</v>
      </c>
      <c r="D13" s="21">
        <v>44833</v>
      </c>
      <c r="E13" s="22">
        <f t="shared" si="0"/>
        <v>91</v>
      </c>
      <c r="F13" s="22">
        <f t="shared" si="1"/>
        <v>65</v>
      </c>
      <c r="G13" s="18" t="s">
        <v>3</v>
      </c>
      <c r="K13" s="22">
        <f t="shared" si="2"/>
        <v>90</v>
      </c>
    </row>
    <row r="14" spans="1:11" x14ac:dyDescent="0.3">
      <c r="A14" s="4" t="s">
        <v>49</v>
      </c>
      <c r="B14" s="4" t="s">
        <v>43</v>
      </c>
      <c r="C14" s="21">
        <v>44743</v>
      </c>
      <c r="D14" s="21">
        <v>44833</v>
      </c>
      <c r="E14" s="22">
        <f t="shared" si="0"/>
        <v>91</v>
      </c>
      <c r="F14" s="22">
        <f t="shared" si="1"/>
        <v>65</v>
      </c>
      <c r="G14" s="18" t="s">
        <v>3</v>
      </c>
      <c r="K14" s="22">
        <f t="shared" si="2"/>
        <v>90</v>
      </c>
    </row>
    <row r="15" spans="1:11" x14ac:dyDescent="0.3">
      <c r="A15" s="4" t="s">
        <v>46</v>
      </c>
      <c r="B15" s="4" t="s">
        <v>45</v>
      </c>
      <c r="C15" s="21">
        <v>44805</v>
      </c>
      <c r="D15" s="21">
        <v>44832</v>
      </c>
      <c r="E15" s="22">
        <f t="shared" si="0"/>
        <v>28</v>
      </c>
      <c r="F15" s="22">
        <f t="shared" si="1"/>
        <v>20</v>
      </c>
      <c r="G15" s="18" t="s">
        <v>3</v>
      </c>
      <c r="K15" s="22">
        <f t="shared" si="2"/>
        <v>27</v>
      </c>
    </row>
    <row r="16" spans="1:11" x14ac:dyDescent="0.3">
      <c r="A16" s="4" t="s">
        <v>47</v>
      </c>
      <c r="B16" s="4" t="s">
        <v>50</v>
      </c>
      <c r="C16" s="21">
        <v>44833</v>
      </c>
      <c r="D16" s="21">
        <v>44833</v>
      </c>
      <c r="E16" s="22">
        <f t="shared" si="0"/>
        <v>1</v>
      </c>
      <c r="F16" s="22">
        <f t="shared" si="1"/>
        <v>1</v>
      </c>
      <c r="G16" s="18" t="s">
        <v>3</v>
      </c>
      <c r="K16" s="22">
        <f t="shared" si="2"/>
        <v>0</v>
      </c>
    </row>
    <row r="17" spans="1:11" ht="26.4" x14ac:dyDescent="0.3">
      <c r="A17" s="4" t="s">
        <v>48</v>
      </c>
      <c r="B17" s="4" t="s">
        <v>31</v>
      </c>
      <c r="C17" s="21">
        <v>44834</v>
      </c>
      <c r="D17" s="21">
        <v>44834</v>
      </c>
      <c r="E17" s="22">
        <f t="shared" si="0"/>
        <v>1</v>
      </c>
      <c r="F17" s="22">
        <f t="shared" si="1"/>
        <v>1</v>
      </c>
      <c r="G17" s="19" t="s">
        <v>3</v>
      </c>
      <c r="K17" s="22">
        <f t="shared" si="2"/>
        <v>0</v>
      </c>
    </row>
    <row r="18" spans="1:11" ht="26.4" x14ac:dyDescent="0.3">
      <c r="A18" s="4" t="s">
        <v>51</v>
      </c>
      <c r="B18" s="4" t="s">
        <v>50</v>
      </c>
      <c r="C18" s="21">
        <v>44835</v>
      </c>
      <c r="D18" s="21">
        <v>44863</v>
      </c>
      <c r="E18" s="22">
        <f t="shared" si="0"/>
        <v>29</v>
      </c>
      <c r="F18" s="22">
        <f t="shared" si="1"/>
        <v>20</v>
      </c>
      <c r="G18" s="19" t="s">
        <v>3</v>
      </c>
      <c r="K18" s="22">
        <f t="shared" si="2"/>
        <v>28</v>
      </c>
    </row>
    <row r="19" spans="1:11" x14ac:dyDescent="0.3">
      <c r="A19" s="4" t="s">
        <v>52</v>
      </c>
      <c r="B19" s="4" t="s">
        <v>42</v>
      </c>
      <c r="C19" s="21">
        <v>44851</v>
      </c>
      <c r="D19" s="21">
        <v>44866</v>
      </c>
      <c r="E19" s="22">
        <f t="shared" si="0"/>
        <v>16</v>
      </c>
      <c r="F19" s="22">
        <f t="shared" si="1"/>
        <v>12</v>
      </c>
      <c r="G19" s="19" t="s">
        <v>3</v>
      </c>
      <c r="K19" s="22">
        <f t="shared" si="2"/>
        <v>15</v>
      </c>
    </row>
    <row r="20" spans="1:11" ht="26.4" x14ac:dyDescent="0.3">
      <c r="A20" s="4" t="s">
        <v>53</v>
      </c>
      <c r="B20" s="4" t="s">
        <v>43</v>
      </c>
      <c r="C20" s="21">
        <v>44866</v>
      </c>
      <c r="D20" s="21">
        <v>44891</v>
      </c>
      <c r="E20" s="22">
        <f t="shared" si="0"/>
        <v>26</v>
      </c>
      <c r="F20" s="22">
        <f t="shared" si="1"/>
        <v>19</v>
      </c>
      <c r="G20" s="19" t="s">
        <v>3</v>
      </c>
      <c r="K20" s="22">
        <f t="shared" si="2"/>
        <v>25</v>
      </c>
    </row>
    <row r="21" spans="1:11" x14ac:dyDescent="0.3">
      <c r="A21" s="4" t="s">
        <v>54</v>
      </c>
      <c r="B21" s="4" t="s">
        <v>43</v>
      </c>
      <c r="C21" s="21">
        <v>44892</v>
      </c>
      <c r="D21" s="21">
        <v>44892</v>
      </c>
      <c r="E21" s="22">
        <f t="shared" si="0"/>
        <v>1</v>
      </c>
      <c r="F21" s="22">
        <f t="shared" si="1"/>
        <v>0</v>
      </c>
      <c r="G21" s="19" t="s">
        <v>3</v>
      </c>
      <c r="K21" s="22">
        <f t="shared" si="2"/>
        <v>0</v>
      </c>
    </row>
    <row r="22" spans="1:11" x14ac:dyDescent="0.3">
      <c r="A22" s="4" t="s">
        <v>55</v>
      </c>
      <c r="B22" s="4" t="s">
        <v>43</v>
      </c>
      <c r="C22" s="21">
        <v>44893</v>
      </c>
      <c r="D22" s="21">
        <v>44893</v>
      </c>
      <c r="E22" s="22">
        <f t="shared" si="0"/>
        <v>1</v>
      </c>
      <c r="F22" s="22">
        <f t="shared" si="1"/>
        <v>1</v>
      </c>
      <c r="G22" s="19" t="s">
        <v>3</v>
      </c>
      <c r="K22" s="22">
        <f t="shared" si="2"/>
        <v>0</v>
      </c>
    </row>
    <row r="23" spans="1:11" x14ac:dyDescent="0.3">
      <c r="A23" s="4" t="s">
        <v>56</v>
      </c>
      <c r="B23" s="4" t="s">
        <v>43</v>
      </c>
      <c r="C23" s="21">
        <v>44893</v>
      </c>
      <c r="D23" s="21">
        <v>44893</v>
      </c>
      <c r="E23" s="22">
        <f t="shared" si="0"/>
        <v>1</v>
      </c>
      <c r="F23" s="22">
        <f t="shared" si="1"/>
        <v>1</v>
      </c>
      <c r="G23" s="19" t="s">
        <v>3</v>
      </c>
      <c r="K23" s="22">
        <f t="shared" si="2"/>
        <v>0</v>
      </c>
    </row>
    <row r="24" spans="1:11" x14ac:dyDescent="0.3">
      <c r="A24" s="4" t="s">
        <v>57</v>
      </c>
      <c r="B24" s="4" t="s">
        <v>43</v>
      </c>
      <c r="C24" s="21">
        <v>44893</v>
      </c>
      <c r="D24" s="21">
        <v>44893</v>
      </c>
      <c r="E24" s="22">
        <f t="shared" si="0"/>
        <v>1</v>
      </c>
      <c r="F24" s="22">
        <f t="shared" si="1"/>
        <v>1</v>
      </c>
      <c r="G24" s="19" t="s">
        <v>3</v>
      </c>
      <c r="K24" s="22">
        <f t="shared" si="2"/>
        <v>0</v>
      </c>
    </row>
    <row r="25" spans="1:11" x14ac:dyDescent="0.3">
      <c r="A25" s="44" t="s">
        <v>58</v>
      </c>
      <c r="B25" s="4" t="s">
        <v>50</v>
      </c>
      <c r="C25" s="21">
        <v>44893</v>
      </c>
      <c r="D25" s="21">
        <v>44893</v>
      </c>
      <c r="E25" s="22">
        <f t="shared" si="0"/>
        <v>1</v>
      </c>
      <c r="F25" s="22">
        <f t="shared" si="1"/>
        <v>1</v>
      </c>
      <c r="G25" s="19" t="s">
        <v>3</v>
      </c>
      <c r="K25" s="22">
        <f t="shared" si="2"/>
        <v>0</v>
      </c>
    </row>
    <row r="26" spans="1:11" x14ac:dyDescent="0.3">
      <c r="A26" s="43" t="s">
        <v>59</v>
      </c>
      <c r="B26" s="4" t="s">
        <v>61</v>
      </c>
      <c r="C26" s="21">
        <v>44894</v>
      </c>
      <c r="D26" s="21">
        <v>44894</v>
      </c>
      <c r="E26" s="22">
        <f t="shared" si="0"/>
        <v>1</v>
      </c>
      <c r="F26" s="22">
        <f t="shared" si="1"/>
        <v>1</v>
      </c>
      <c r="G26" s="19" t="s">
        <v>3</v>
      </c>
      <c r="K26" s="22">
        <f t="shared" si="2"/>
        <v>0</v>
      </c>
    </row>
    <row r="27" spans="1:11" ht="26.4" x14ac:dyDescent="0.3">
      <c r="A27" s="4" t="s">
        <v>60</v>
      </c>
      <c r="B27" s="4" t="s">
        <v>43</v>
      </c>
      <c r="C27" s="21">
        <v>44894</v>
      </c>
      <c r="D27" s="21">
        <v>44932</v>
      </c>
      <c r="E27" s="22">
        <f t="shared" si="0"/>
        <v>39</v>
      </c>
      <c r="F27" s="22">
        <f t="shared" si="1"/>
        <v>29</v>
      </c>
      <c r="G27" s="19" t="s">
        <v>3</v>
      </c>
      <c r="K27" s="22">
        <f t="shared" si="2"/>
        <v>38</v>
      </c>
    </row>
    <row r="28" spans="1:11" x14ac:dyDescent="0.3">
      <c r="A28" s="4" t="s">
        <v>62</v>
      </c>
      <c r="B28" s="4" t="s">
        <v>43</v>
      </c>
      <c r="C28" s="21">
        <v>44894</v>
      </c>
      <c r="D28" s="21">
        <v>44932</v>
      </c>
      <c r="E28" s="22">
        <f t="shared" si="0"/>
        <v>39</v>
      </c>
      <c r="F28" s="22">
        <f t="shared" si="1"/>
        <v>29</v>
      </c>
      <c r="G28" s="19" t="s">
        <v>3</v>
      </c>
      <c r="K28" s="22">
        <f t="shared" si="2"/>
        <v>38</v>
      </c>
    </row>
    <row r="29" spans="1:11" x14ac:dyDescent="0.3">
      <c r="A29" s="4" t="s">
        <v>63</v>
      </c>
      <c r="B29" s="4" t="s">
        <v>50</v>
      </c>
      <c r="C29" s="21">
        <v>44894</v>
      </c>
      <c r="D29" s="21">
        <v>44932</v>
      </c>
      <c r="E29" s="22">
        <f t="shared" si="0"/>
        <v>39</v>
      </c>
      <c r="F29" s="22">
        <f t="shared" si="1"/>
        <v>29</v>
      </c>
      <c r="G29" s="19" t="s">
        <v>3</v>
      </c>
      <c r="K29" s="22">
        <f t="shared" si="2"/>
        <v>38</v>
      </c>
    </row>
    <row r="30" spans="1:11" x14ac:dyDescent="0.3">
      <c r="A30" s="4" t="s">
        <v>64</v>
      </c>
      <c r="B30" s="4" t="s">
        <v>61</v>
      </c>
      <c r="C30" s="21">
        <v>44896</v>
      </c>
      <c r="D30" s="21">
        <v>44900</v>
      </c>
      <c r="E30" s="22">
        <f t="shared" si="0"/>
        <v>5</v>
      </c>
      <c r="F30" s="22">
        <f t="shared" si="1"/>
        <v>3</v>
      </c>
      <c r="G30" s="19" t="s">
        <v>3</v>
      </c>
      <c r="K30" s="22">
        <f t="shared" si="2"/>
        <v>4</v>
      </c>
    </row>
    <row r="31" spans="1:11" x14ac:dyDescent="0.3">
      <c r="A31" s="4" t="s">
        <v>65</v>
      </c>
      <c r="B31" s="4" t="s">
        <v>61</v>
      </c>
      <c r="C31" s="21">
        <v>44927</v>
      </c>
      <c r="D31" s="21">
        <v>44931</v>
      </c>
      <c r="E31" s="22">
        <f t="shared" si="0"/>
        <v>5</v>
      </c>
      <c r="F31" s="22">
        <f t="shared" si="1"/>
        <v>4</v>
      </c>
      <c r="G31" s="19" t="s">
        <v>3</v>
      </c>
      <c r="K31" s="22">
        <f t="shared" si="2"/>
        <v>4</v>
      </c>
    </row>
    <row r="32" spans="1:11" x14ac:dyDescent="0.3">
      <c r="A32" s="4" t="s">
        <v>66</v>
      </c>
      <c r="B32" s="4" t="s">
        <v>31</v>
      </c>
      <c r="C32" s="21">
        <v>44933</v>
      </c>
      <c r="D32" s="21">
        <v>44933</v>
      </c>
      <c r="E32" s="22">
        <f t="shared" si="0"/>
        <v>1</v>
      </c>
      <c r="F32" s="22">
        <f t="shared" si="1"/>
        <v>0</v>
      </c>
      <c r="G32" s="19" t="s">
        <v>3</v>
      </c>
      <c r="K32" s="22">
        <f t="shared" si="2"/>
        <v>0</v>
      </c>
    </row>
    <row r="33" spans="1:11" x14ac:dyDescent="0.3">
      <c r="A33" s="4" t="s">
        <v>67</v>
      </c>
      <c r="B33" s="4" t="s">
        <v>61</v>
      </c>
      <c r="C33" s="21">
        <v>44943</v>
      </c>
      <c r="D33" s="21">
        <v>44954</v>
      </c>
      <c r="E33" s="22">
        <f t="shared" si="0"/>
        <v>12</v>
      </c>
      <c r="F33" s="22">
        <f t="shared" si="1"/>
        <v>9</v>
      </c>
      <c r="G33" s="19" t="s">
        <v>3</v>
      </c>
      <c r="K33" s="22">
        <f t="shared" si="2"/>
        <v>11</v>
      </c>
    </row>
    <row r="34" spans="1:11" x14ac:dyDescent="0.3">
      <c r="A34" s="4" t="s">
        <v>68</v>
      </c>
      <c r="B34" s="4" t="s">
        <v>31</v>
      </c>
      <c r="C34" s="21">
        <v>44943</v>
      </c>
      <c r="D34" s="21">
        <v>44954</v>
      </c>
      <c r="E34" s="22">
        <f t="shared" si="0"/>
        <v>12</v>
      </c>
      <c r="F34" s="22">
        <f t="shared" si="1"/>
        <v>9</v>
      </c>
      <c r="G34" s="19" t="s">
        <v>3</v>
      </c>
      <c r="K34" s="22">
        <f t="shared" si="2"/>
        <v>11</v>
      </c>
    </row>
    <row r="35" spans="1:11" x14ac:dyDescent="0.3">
      <c r="A35" s="4" t="s">
        <v>69</v>
      </c>
      <c r="B35" s="4" t="s">
        <v>71</v>
      </c>
      <c r="C35" s="21">
        <v>44944</v>
      </c>
      <c r="D35" s="21">
        <v>44953</v>
      </c>
      <c r="E35" s="22">
        <f t="shared" si="0"/>
        <v>10</v>
      </c>
      <c r="F35" s="22">
        <f t="shared" si="1"/>
        <v>8</v>
      </c>
      <c r="G35" s="19" t="s">
        <v>3</v>
      </c>
      <c r="K35" s="22">
        <f t="shared" si="2"/>
        <v>9</v>
      </c>
    </row>
    <row r="36" spans="1:11" x14ac:dyDescent="0.3">
      <c r="A36" s="42" t="s">
        <v>70</v>
      </c>
      <c r="B36" s="4" t="s">
        <v>61</v>
      </c>
      <c r="C36" s="21">
        <v>44955</v>
      </c>
      <c r="D36" s="21">
        <v>44955</v>
      </c>
      <c r="E36" s="22">
        <f t="shared" si="0"/>
        <v>1</v>
      </c>
      <c r="F36" s="22">
        <f t="shared" si="1"/>
        <v>0</v>
      </c>
      <c r="G36" s="19" t="s">
        <v>3</v>
      </c>
      <c r="K36" s="22">
        <f t="shared" si="2"/>
        <v>0</v>
      </c>
    </row>
    <row r="37" spans="1:11" x14ac:dyDescent="0.3">
      <c r="A37" s="10"/>
      <c r="B37" s="11"/>
      <c r="C37" s="12"/>
      <c r="D37" s="12"/>
      <c r="E37" s="11"/>
      <c r="F37" s="11"/>
      <c r="G37" s="20"/>
      <c r="H37" s="9"/>
      <c r="I37" s="9"/>
      <c r="J37" s="9"/>
      <c r="K37" s="22">
        <f t="shared" si="2"/>
        <v>0</v>
      </c>
    </row>
    <row r="38" spans="1:11" x14ac:dyDescent="0.3">
      <c r="G38" s="9"/>
      <c r="H38" s="9"/>
      <c r="I38" s="9"/>
      <c r="J38" s="9"/>
      <c r="K38" s="22">
        <f t="shared" si="2"/>
        <v>0</v>
      </c>
    </row>
    <row r="39" spans="1:11" x14ac:dyDescent="0.3">
      <c r="G39" s="9"/>
      <c r="J39" s="9"/>
      <c r="K39" s="22">
        <f t="shared" si="2"/>
        <v>0</v>
      </c>
    </row>
    <row r="40" spans="1:11" x14ac:dyDescent="0.3">
      <c r="A40" s="54" t="s">
        <v>11</v>
      </c>
      <c r="B40" s="68" t="s">
        <v>26</v>
      </c>
      <c r="D40" s="60" t="s">
        <v>5</v>
      </c>
      <c r="E40" s="61" t="s">
        <v>24</v>
      </c>
      <c r="F40" s="84"/>
      <c r="G40" s="9"/>
      <c r="H40" s="54" t="s">
        <v>13</v>
      </c>
      <c r="I40" s="55" t="s">
        <v>114</v>
      </c>
      <c r="J40" s="9"/>
      <c r="K40" s="22" t="e">
        <f t="shared" si="2"/>
        <v>#VALUE!</v>
      </c>
    </row>
    <row r="41" spans="1:11" x14ac:dyDescent="0.3">
      <c r="A41" s="64" t="s">
        <v>0</v>
      </c>
      <c r="B41" s="67">
        <f>COUNTIF(G:G,A41)/(COUNTIF(G:G,A41)+COUNTIF(G:G,A42)+COUNTIF(G:G,A43)+COUNTIF(G:G,A44))</f>
        <v>0.12121212121212122</v>
      </c>
      <c r="D41" s="58" t="s">
        <v>104</v>
      </c>
      <c r="E41" s="59">
        <v>22000</v>
      </c>
      <c r="F41" s="84"/>
      <c r="G41" s="9"/>
      <c r="H41" s="51" t="s">
        <v>28</v>
      </c>
      <c r="I41" s="52">
        <v>2</v>
      </c>
      <c r="J41" s="9"/>
      <c r="K41" s="22" t="e">
        <f t="shared" si="2"/>
        <v>#VALUE!</v>
      </c>
    </row>
    <row r="42" spans="1:11" x14ac:dyDescent="0.3">
      <c r="A42" s="65" t="s">
        <v>1</v>
      </c>
      <c r="B42" s="67">
        <f>COUNTIF(G:G,A42)/(COUNTIF(G:G,A41)+COUNTIF(G:G,A42)+COUNTIF(G:G,A43)+COUNTIF(G:G,A44))</f>
        <v>3.0303030303030304E-2</v>
      </c>
      <c r="D42" s="62" t="s">
        <v>103</v>
      </c>
      <c r="E42" s="63">
        <v>420000</v>
      </c>
      <c r="F42" s="84"/>
      <c r="G42" s="9"/>
      <c r="H42" s="51" t="s">
        <v>6</v>
      </c>
      <c r="I42" s="53">
        <v>5</v>
      </c>
      <c r="J42" s="9"/>
      <c r="K42" s="22" t="e">
        <f t="shared" si="2"/>
        <v>#VALUE!</v>
      </c>
    </row>
    <row r="43" spans="1:11" ht="14.4" x14ac:dyDescent="0.3">
      <c r="A43" s="66" t="s">
        <v>2</v>
      </c>
      <c r="B43" s="67">
        <f>COUNTIF(G:G,A43)/(COUNTIF(G:G,A41)+COUNTIF(G:G,A42)+COUNTIF(G:G,A43)+COUNTIF(G:G,A44))</f>
        <v>6.0606060606060608E-2</v>
      </c>
      <c r="E43"/>
      <c r="F43"/>
      <c r="G43" s="9"/>
      <c r="H43" s="56" t="s">
        <v>29</v>
      </c>
      <c r="I43" s="57">
        <v>4</v>
      </c>
      <c r="J43" s="9"/>
      <c r="K43" s="22">
        <f t="shared" si="2"/>
        <v>0</v>
      </c>
    </row>
    <row r="44" spans="1:11" ht="14.4" x14ac:dyDescent="0.3">
      <c r="A44" s="69" t="s">
        <v>3</v>
      </c>
      <c r="B44" s="70">
        <f>COUNTIF(G:G,A44)/(COUNTIF(G:G,A41)+COUNTIF(G:G,A42)+COUNTIF(G:G,A43)+COUNTIF(G:G,A44))</f>
        <v>0.78787878787878785</v>
      </c>
      <c r="E44"/>
      <c r="F44"/>
      <c r="G44" s="9"/>
      <c r="H44" s="9"/>
      <c r="I44" s="9"/>
      <c r="J44" s="9"/>
      <c r="K44" s="22">
        <f t="shared" si="2"/>
        <v>0</v>
      </c>
    </row>
    <row r="45" spans="1:11" x14ac:dyDescent="0.3">
      <c r="G45" s="9"/>
      <c r="H45" s="9"/>
      <c r="I45" s="9"/>
      <c r="J45" s="9"/>
      <c r="K45" s="22">
        <f t="shared" si="2"/>
        <v>0</v>
      </c>
    </row>
    <row r="46" spans="1:11" x14ac:dyDescent="0.3">
      <c r="G46" s="9"/>
      <c r="H46" s="9"/>
      <c r="I46" s="9"/>
      <c r="J46" s="9"/>
      <c r="K46" s="22">
        <f t="shared" si="2"/>
        <v>0</v>
      </c>
    </row>
    <row r="47" spans="1:11" x14ac:dyDescent="0.3">
      <c r="G47" s="9"/>
      <c r="J47" s="9"/>
      <c r="K47" s="22">
        <f t="shared" si="2"/>
        <v>0</v>
      </c>
    </row>
    <row r="48" spans="1:11" x14ac:dyDescent="0.3">
      <c r="K48" s="22">
        <f t="shared" si="2"/>
        <v>0</v>
      </c>
    </row>
    <row r="49" spans="11:11" x14ac:dyDescent="0.3">
      <c r="K49" s="22">
        <f t="shared" si="2"/>
        <v>0</v>
      </c>
    </row>
    <row r="50" spans="11:11" x14ac:dyDescent="0.3">
      <c r="K50" s="22">
        <f t="shared" si="2"/>
        <v>0</v>
      </c>
    </row>
    <row r="51" spans="11:11" x14ac:dyDescent="0.3">
      <c r="K51" s="22">
        <f t="shared" si="2"/>
        <v>0</v>
      </c>
    </row>
    <row r="52" spans="11:11" x14ac:dyDescent="0.3">
      <c r="K52" s="22">
        <f t="shared" si="2"/>
        <v>0</v>
      </c>
    </row>
    <row r="53" spans="11:11" x14ac:dyDescent="0.3">
      <c r="K53" s="22">
        <f t="shared" si="2"/>
        <v>0</v>
      </c>
    </row>
    <row r="54" spans="11:11" x14ac:dyDescent="0.3">
      <c r="K54" s="22">
        <f t="shared" si="2"/>
        <v>0</v>
      </c>
    </row>
    <row r="55" spans="11:11" x14ac:dyDescent="0.3">
      <c r="K55" s="22">
        <f t="shared" si="2"/>
        <v>0</v>
      </c>
    </row>
    <row r="56" spans="11:11" x14ac:dyDescent="0.3">
      <c r="K56" s="22">
        <f t="shared" si="2"/>
        <v>0</v>
      </c>
    </row>
    <row r="57" spans="11:11" x14ac:dyDescent="0.3">
      <c r="K57" s="22">
        <f t="shared" si="2"/>
        <v>0</v>
      </c>
    </row>
    <row r="58" spans="11:11" x14ac:dyDescent="0.3">
      <c r="K58" s="22">
        <f t="shared" si="2"/>
        <v>0</v>
      </c>
    </row>
    <row r="59" spans="11:11" x14ac:dyDescent="0.3">
      <c r="K59" s="22">
        <f t="shared" si="2"/>
        <v>0</v>
      </c>
    </row>
    <row r="60" spans="11:11" x14ac:dyDescent="0.3">
      <c r="K60" s="22">
        <f t="shared" si="2"/>
        <v>0</v>
      </c>
    </row>
    <row r="61" spans="11:11" x14ac:dyDescent="0.3">
      <c r="K61" s="22">
        <f t="shared" si="2"/>
        <v>0</v>
      </c>
    </row>
    <row r="62" spans="11:11" x14ac:dyDescent="0.3">
      <c r="K62" s="22">
        <f t="shared" si="2"/>
        <v>0</v>
      </c>
    </row>
    <row r="63" spans="11:11" x14ac:dyDescent="0.3">
      <c r="K63" s="22">
        <f t="shared" si="2"/>
        <v>0</v>
      </c>
    </row>
    <row r="64" spans="11:11" x14ac:dyDescent="0.3">
      <c r="K64" s="22">
        <f t="shared" si="2"/>
        <v>0</v>
      </c>
    </row>
    <row r="65" spans="11:11" x14ac:dyDescent="0.3">
      <c r="K65" s="22">
        <f t="shared" si="2"/>
        <v>0</v>
      </c>
    </row>
    <row r="66" spans="11:11" x14ac:dyDescent="0.3">
      <c r="K66" s="22">
        <f t="shared" si="2"/>
        <v>0</v>
      </c>
    </row>
    <row r="67" spans="11:11" x14ac:dyDescent="0.3">
      <c r="K67" s="22">
        <f t="shared" si="2"/>
        <v>0</v>
      </c>
    </row>
    <row r="68" spans="11:11" x14ac:dyDescent="0.3">
      <c r="K68" s="22">
        <f t="shared" si="2"/>
        <v>0</v>
      </c>
    </row>
    <row r="69" spans="11:11" x14ac:dyDescent="0.3">
      <c r="K69" s="22">
        <f t="shared" ref="K69:K132" si="3">D69-C69</f>
        <v>0</v>
      </c>
    </row>
    <row r="70" spans="11:11" x14ac:dyDescent="0.3">
      <c r="K70" s="22">
        <f t="shared" si="3"/>
        <v>0</v>
      </c>
    </row>
    <row r="71" spans="11:11" x14ac:dyDescent="0.3">
      <c r="K71" s="22">
        <f t="shared" si="3"/>
        <v>0</v>
      </c>
    </row>
    <row r="72" spans="11:11" x14ac:dyDescent="0.3">
      <c r="K72" s="22">
        <f t="shared" si="3"/>
        <v>0</v>
      </c>
    </row>
    <row r="73" spans="11:11" x14ac:dyDescent="0.3">
      <c r="K73" s="22">
        <f t="shared" si="3"/>
        <v>0</v>
      </c>
    </row>
    <row r="74" spans="11:11" x14ac:dyDescent="0.3">
      <c r="K74" s="22">
        <f t="shared" si="3"/>
        <v>0</v>
      </c>
    </row>
    <row r="75" spans="11:11" x14ac:dyDescent="0.3">
      <c r="K75" s="22">
        <f t="shared" si="3"/>
        <v>0</v>
      </c>
    </row>
    <row r="76" spans="11:11" x14ac:dyDescent="0.3">
      <c r="K76" s="22">
        <f t="shared" si="3"/>
        <v>0</v>
      </c>
    </row>
    <row r="77" spans="11:11" x14ac:dyDescent="0.3">
      <c r="K77" s="22">
        <f t="shared" si="3"/>
        <v>0</v>
      </c>
    </row>
    <row r="78" spans="11:11" x14ac:dyDescent="0.3">
      <c r="K78" s="22">
        <f t="shared" si="3"/>
        <v>0</v>
      </c>
    </row>
    <row r="79" spans="11:11" x14ac:dyDescent="0.3">
      <c r="K79" s="22">
        <f t="shared" si="3"/>
        <v>0</v>
      </c>
    </row>
    <row r="80" spans="11:11" x14ac:dyDescent="0.3">
      <c r="K80" s="22">
        <f t="shared" si="3"/>
        <v>0</v>
      </c>
    </row>
    <row r="81" spans="11:11" x14ac:dyDescent="0.3">
      <c r="K81" s="22">
        <f t="shared" si="3"/>
        <v>0</v>
      </c>
    </row>
    <row r="82" spans="11:11" x14ac:dyDescent="0.3">
      <c r="K82" s="22">
        <f t="shared" si="3"/>
        <v>0</v>
      </c>
    </row>
    <row r="83" spans="11:11" x14ac:dyDescent="0.3">
      <c r="K83" s="22">
        <f t="shared" si="3"/>
        <v>0</v>
      </c>
    </row>
    <row r="84" spans="11:11" x14ac:dyDescent="0.3">
      <c r="K84" s="22">
        <f t="shared" si="3"/>
        <v>0</v>
      </c>
    </row>
    <row r="85" spans="11:11" x14ac:dyDescent="0.3">
      <c r="K85" s="22">
        <f t="shared" si="3"/>
        <v>0</v>
      </c>
    </row>
    <row r="86" spans="11:11" x14ac:dyDescent="0.3">
      <c r="K86" s="22">
        <f t="shared" si="3"/>
        <v>0</v>
      </c>
    </row>
    <row r="87" spans="11:11" x14ac:dyDescent="0.3">
      <c r="K87" s="22">
        <f t="shared" si="3"/>
        <v>0</v>
      </c>
    </row>
    <row r="88" spans="11:11" x14ac:dyDescent="0.3">
      <c r="K88" s="22">
        <f t="shared" si="3"/>
        <v>0</v>
      </c>
    </row>
    <row r="89" spans="11:11" x14ac:dyDescent="0.3">
      <c r="K89" s="22">
        <f t="shared" si="3"/>
        <v>0</v>
      </c>
    </row>
    <row r="90" spans="11:11" x14ac:dyDescent="0.3">
      <c r="K90" s="22">
        <f t="shared" si="3"/>
        <v>0</v>
      </c>
    </row>
    <row r="91" spans="11:11" x14ac:dyDescent="0.3">
      <c r="K91" s="22">
        <f t="shared" si="3"/>
        <v>0</v>
      </c>
    </row>
    <row r="92" spans="11:11" x14ac:dyDescent="0.3">
      <c r="K92" s="22">
        <f t="shared" si="3"/>
        <v>0</v>
      </c>
    </row>
    <row r="93" spans="11:11" x14ac:dyDescent="0.3">
      <c r="K93" s="22">
        <f t="shared" si="3"/>
        <v>0</v>
      </c>
    </row>
    <row r="94" spans="11:11" x14ac:dyDescent="0.3">
      <c r="K94" s="22">
        <f t="shared" si="3"/>
        <v>0</v>
      </c>
    </row>
    <row r="95" spans="11:11" x14ac:dyDescent="0.3">
      <c r="K95" s="22">
        <f t="shared" si="3"/>
        <v>0</v>
      </c>
    </row>
    <row r="96" spans="11:11" x14ac:dyDescent="0.3">
      <c r="K96" s="22">
        <f t="shared" si="3"/>
        <v>0</v>
      </c>
    </row>
    <row r="97" spans="11:11" x14ac:dyDescent="0.3">
      <c r="K97" s="22">
        <f t="shared" si="3"/>
        <v>0</v>
      </c>
    </row>
    <row r="98" spans="11:11" x14ac:dyDescent="0.3">
      <c r="K98" s="22">
        <f t="shared" si="3"/>
        <v>0</v>
      </c>
    </row>
    <row r="99" spans="11:11" x14ac:dyDescent="0.3">
      <c r="K99" s="22">
        <f t="shared" si="3"/>
        <v>0</v>
      </c>
    </row>
    <row r="100" spans="11:11" x14ac:dyDescent="0.3">
      <c r="K100" s="22">
        <f t="shared" si="3"/>
        <v>0</v>
      </c>
    </row>
    <row r="101" spans="11:11" x14ac:dyDescent="0.3">
      <c r="K101" s="22">
        <f t="shared" si="3"/>
        <v>0</v>
      </c>
    </row>
    <row r="102" spans="11:11" x14ac:dyDescent="0.3">
      <c r="K102" s="22">
        <f t="shared" si="3"/>
        <v>0</v>
      </c>
    </row>
    <row r="103" spans="11:11" x14ac:dyDescent="0.3">
      <c r="K103" s="22">
        <f t="shared" si="3"/>
        <v>0</v>
      </c>
    </row>
    <row r="104" spans="11:11" x14ac:dyDescent="0.3">
      <c r="K104" s="22">
        <f t="shared" si="3"/>
        <v>0</v>
      </c>
    </row>
    <row r="105" spans="11:11" x14ac:dyDescent="0.3">
      <c r="K105" s="22">
        <f t="shared" si="3"/>
        <v>0</v>
      </c>
    </row>
    <row r="106" spans="11:11" x14ac:dyDescent="0.3">
      <c r="K106" s="22">
        <f t="shared" si="3"/>
        <v>0</v>
      </c>
    </row>
    <row r="107" spans="11:11" x14ac:dyDescent="0.3">
      <c r="K107" s="22">
        <f t="shared" si="3"/>
        <v>0</v>
      </c>
    </row>
    <row r="108" spans="11:11" x14ac:dyDescent="0.3">
      <c r="K108" s="22">
        <f t="shared" si="3"/>
        <v>0</v>
      </c>
    </row>
    <row r="109" spans="11:11" x14ac:dyDescent="0.3">
      <c r="K109" s="22">
        <f t="shared" si="3"/>
        <v>0</v>
      </c>
    </row>
    <row r="110" spans="11:11" x14ac:dyDescent="0.3">
      <c r="K110" s="22">
        <f t="shared" si="3"/>
        <v>0</v>
      </c>
    </row>
    <row r="111" spans="11:11" x14ac:dyDescent="0.3">
      <c r="K111" s="22">
        <f t="shared" si="3"/>
        <v>0</v>
      </c>
    </row>
    <row r="112" spans="11:11" x14ac:dyDescent="0.3">
      <c r="K112" s="22">
        <f t="shared" si="3"/>
        <v>0</v>
      </c>
    </row>
    <row r="113" spans="11:11" x14ac:dyDescent="0.3">
      <c r="K113" s="22">
        <f t="shared" si="3"/>
        <v>0</v>
      </c>
    </row>
    <row r="114" spans="11:11" x14ac:dyDescent="0.3">
      <c r="K114" s="22">
        <f t="shared" si="3"/>
        <v>0</v>
      </c>
    </row>
    <row r="115" spans="11:11" x14ac:dyDescent="0.3">
      <c r="K115" s="22">
        <f t="shared" si="3"/>
        <v>0</v>
      </c>
    </row>
    <row r="116" spans="11:11" x14ac:dyDescent="0.3">
      <c r="K116" s="22">
        <f t="shared" si="3"/>
        <v>0</v>
      </c>
    </row>
    <row r="117" spans="11:11" x14ac:dyDescent="0.3">
      <c r="K117" s="22">
        <f t="shared" si="3"/>
        <v>0</v>
      </c>
    </row>
    <row r="118" spans="11:11" x14ac:dyDescent="0.3">
      <c r="K118" s="22">
        <f t="shared" si="3"/>
        <v>0</v>
      </c>
    </row>
    <row r="119" spans="11:11" x14ac:dyDescent="0.3">
      <c r="K119" s="22">
        <f t="shared" si="3"/>
        <v>0</v>
      </c>
    </row>
    <row r="120" spans="11:11" x14ac:dyDescent="0.3">
      <c r="K120" s="22">
        <f t="shared" si="3"/>
        <v>0</v>
      </c>
    </row>
    <row r="121" spans="11:11" x14ac:dyDescent="0.3">
      <c r="K121" s="22">
        <f t="shared" si="3"/>
        <v>0</v>
      </c>
    </row>
    <row r="122" spans="11:11" x14ac:dyDescent="0.3">
      <c r="K122" s="22">
        <f t="shared" si="3"/>
        <v>0</v>
      </c>
    </row>
    <row r="123" spans="11:11" x14ac:dyDescent="0.3">
      <c r="K123" s="22">
        <f t="shared" si="3"/>
        <v>0</v>
      </c>
    </row>
    <row r="124" spans="11:11" x14ac:dyDescent="0.3">
      <c r="K124" s="22">
        <f t="shared" si="3"/>
        <v>0</v>
      </c>
    </row>
    <row r="125" spans="11:11" x14ac:dyDescent="0.3">
      <c r="K125" s="22">
        <f t="shared" si="3"/>
        <v>0</v>
      </c>
    </row>
    <row r="126" spans="11:11" x14ac:dyDescent="0.3">
      <c r="K126" s="22">
        <f t="shared" si="3"/>
        <v>0</v>
      </c>
    </row>
    <row r="127" spans="11:11" x14ac:dyDescent="0.3">
      <c r="K127" s="22">
        <f t="shared" si="3"/>
        <v>0</v>
      </c>
    </row>
    <row r="128" spans="11:11" x14ac:dyDescent="0.3">
      <c r="K128" s="22">
        <f t="shared" si="3"/>
        <v>0</v>
      </c>
    </row>
    <row r="129" spans="11:11" x14ac:dyDescent="0.3">
      <c r="K129" s="22">
        <f t="shared" si="3"/>
        <v>0</v>
      </c>
    </row>
    <row r="130" spans="11:11" x14ac:dyDescent="0.3">
      <c r="K130" s="22">
        <f t="shared" si="3"/>
        <v>0</v>
      </c>
    </row>
    <row r="131" spans="11:11" x14ac:dyDescent="0.3">
      <c r="K131" s="22">
        <f t="shared" si="3"/>
        <v>0</v>
      </c>
    </row>
    <row r="132" spans="11:11" x14ac:dyDescent="0.3">
      <c r="K132" s="22">
        <f t="shared" si="3"/>
        <v>0</v>
      </c>
    </row>
    <row r="133" spans="11:11" x14ac:dyDescent="0.3">
      <c r="K133" s="22">
        <f t="shared" ref="K133:K196" si="4">D133-C133</f>
        <v>0</v>
      </c>
    </row>
    <row r="134" spans="11:11" x14ac:dyDescent="0.3">
      <c r="K134" s="22">
        <f t="shared" si="4"/>
        <v>0</v>
      </c>
    </row>
    <row r="135" spans="11:11" x14ac:dyDescent="0.3">
      <c r="K135" s="22">
        <f t="shared" si="4"/>
        <v>0</v>
      </c>
    </row>
    <row r="136" spans="11:11" x14ac:dyDescent="0.3">
      <c r="K136" s="22">
        <f t="shared" si="4"/>
        <v>0</v>
      </c>
    </row>
    <row r="137" spans="11:11" x14ac:dyDescent="0.3">
      <c r="K137" s="22">
        <f t="shared" si="4"/>
        <v>0</v>
      </c>
    </row>
    <row r="138" spans="11:11" x14ac:dyDescent="0.3">
      <c r="K138" s="22">
        <f t="shared" si="4"/>
        <v>0</v>
      </c>
    </row>
    <row r="139" spans="11:11" x14ac:dyDescent="0.3">
      <c r="K139" s="22">
        <f t="shared" si="4"/>
        <v>0</v>
      </c>
    </row>
    <row r="140" spans="11:11" x14ac:dyDescent="0.3">
      <c r="K140" s="22">
        <f t="shared" si="4"/>
        <v>0</v>
      </c>
    </row>
    <row r="141" spans="11:11" x14ac:dyDescent="0.3">
      <c r="K141" s="22">
        <f t="shared" si="4"/>
        <v>0</v>
      </c>
    </row>
    <row r="142" spans="11:11" x14ac:dyDescent="0.3">
      <c r="K142" s="22">
        <f t="shared" si="4"/>
        <v>0</v>
      </c>
    </row>
    <row r="143" spans="11:11" x14ac:dyDescent="0.3">
      <c r="K143" s="22">
        <f t="shared" si="4"/>
        <v>0</v>
      </c>
    </row>
    <row r="144" spans="11:11" x14ac:dyDescent="0.3">
      <c r="K144" s="22">
        <f t="shared" si="4"/>
        <v>0</v>
      </c>
    </row>
    <row r="145" spans="11:11" x14ac:dyDescent="0.3">
      <c r="K145" s="22">
        <f t="shared" si="4"/>
        <v>0</v>
      </c>
    </row>
    <row r="146" spans="11:11" x14ac:dyDescent="0.3">
      <c r="K146" s="22">
        <f t="shared" si="4"/>
        <v>0</v>
      </c>
    </row>
    <row r="147" spans="11:11" x14ac:dyDescent="0.3">
      <c r="K147" s="22">
        <f t="shared" si="4"/>
        <v>0</v>
      </c>
    </row>
    <row r="148" spans="11:11" x14ac:dyDescent="0.3">
      <c r="K148" s="22">
        <f t="shared" si="4"/>
        <v>0</v>
      </c>
    </row>
    <row r="149" spans="11:11" x14ac:dyDescent="0.3">
      <c r="K149" s="22">
        <f t="shared" si="4"/>
        <v>0</v>
      </c>
    </row>
    <row r="150" spans="11:11" x14ac:dyDescent="0.3">
      <c r="K150" s="22">
        <f t="shared" si="4"/>
        <v>0</v>
      </c>
    </row>
    <row r="151" spans="11:11" x14ac:dyDescent="0.3">
      <c r="K151" s="22">
        <f t="shared" si="4"/>
        <v>0</v>
      </c>
    </row>
    <row r="152" spans="11:11" x14ac:dyDescent="0.3">
      <c r="K152" s="22">
        <f t="shared" si="4"/>
        <v>0</v>
      </c>
    </row>
    <row r="153" spans="11:11" x14ac:dyDescent="0.3">
      <c r="K153" s="22">
        <f t="shared" si="4"/>
        <v>0</v>
      </c>
    </row>
    <row r="154" spans="11:11" x14ac:dyDescent="0.3">
      <c r="K154" s="22">
        <f t="shared" si="4"/>
        <v>0</v>
      </c>
    </row>
    <row r="155" spans="11:11" x14ac:dyDescent="0.3">
      <c r="K155" s="22">
        <f t="shared" si="4"/>
        <v>0</v>
      </c>
    </row>
    <row r="156" spans="11:11" x14ac:dyDescent="0.3">
      <c r="K156" s="22">
        <f t="shared" si="4"/>
        <v>0</v>
      </c>
    </row>
    <row r="157" spans="11:11" x14ac:dyDescent="0.3">
      <c r="K157" s="22">
        <f t="shared" si="4"/>
        <v>0</v>
      </c>
    </row>
    <row r="158" spans="11:11" x14ac:dyDescent="0.3">
      <c r="K158" s="22">
        <f t="shared" si="4"/>
        <v>0</v>
      </c>
    </row>
    <row r="159" spans="11:11" x14ac:dyDescent="0.3">
      <c r="K159" s="22">
        <f t="shared" si="4"/>
        <v>0</v>
      </c>
    </row>
    <row r="160" spans="11:11" x14ac:dyDescent="0.3">
      <c r="K160" s="22">
        <f t="shared" si="4"/>
        <v>0</v>
      </c>
    </row>
    <row r="161" spans="11:11" x14ac:dyDescent="0.3">
      <c r="K161" s="22">
        <f t="shared" si="4"/>
        <v>0</v>
      </c>
    </row>
    <row r="162" spans="11:11" x14ac:dyDescent="0.3">
      <c r="K162" s="22">
        <f t="shared" si="4"/>
        <v>0</v>
      </c>
    </row>
    <row r="163" spans="11:11" x14ac:dyDescent="0.3">
      <c r="K163" s="22">
        <f t="shared" si="4"/>
        <v>0</v>
      </c>
    </row>
    <row r="164" spans="11:11" x14ac:dyDescent="0.3">
      <c r="K164" s="22">
        <f t="shared" si="4"/>
        <v>0</v>
      </c>
    </row>
    <row r="165" spans="11:11" x14ac:dyDescent="0.3">
      <c r="K165" s="22">
        <f t="shared" si="4"/>
        <v>0</v>
      </c>
    </row>
    <row r="166" spans="11:11" x14ac:dyDescent="0.3">
      <c r="K166" s="22">
        <f t="shared" si="4"/>
        <v>0</v>
      </c>
    </row>
    <row r="167" spans="11:11" x14ac:dyDescent="0.3">
      <c r="K167" s="22">
        <f t="shared" si="4"/>
        <v>0</v>
      </c>
    </row>
    <row r="168" spans="11:11" x14ac:dyDescent="0.3">
      <c r="K168" s="22">
        <f t="shared" si="4"/>
        <v>0</v>
      </c>
    </row>
    <row r="169" spans="11:11" x14ac:dyDescent="0.3">
      <c r="K169" s="22">
        <f t="shared" si="4"/>
        <v>0</v>
      </c>
    </row>
    <row r="170" spans="11:11" x14ac:dyDescent="0.3">
      <c r="K170" s="22">
        <f t="shared" si="4"/>
        <v>0</v>
      </c>
    </row>
    <row r="171" spans="11:11" x14ac:dyDescent="0.3">
      <c r="K171" s="22">
        <f t="shared" si="4"/>
        <v>0</v>
      </c>
    </row>
    <row r="172" spans="11:11" x14ac:dyDescent="0.3">
      <c r="K172" s="22">
        <f t="shared" si="4"/>
        <v>0</v>
      </c>
    </row>
    <row r="173" spans="11:11" x14ac:dyDescent="0.3">
      <c r="K173" s="22">
        <f t="shared" si="4"/>
        <v>0</v>
      </c>
    </row>
    <row r="174" spans="11:11" x14ac:dyDescent="0.3">
      <c r="K174" s="22">
        <f t="shared" si="4"/>
        <v>0</v>
      </c>
    </row>
    <row r="175" spans="11:11" x14ac:dyDescent="0.3">
      <c r="K175" s="22">
        <f t="shared" si="4"/>
        <v>0</v>
      </c>
    </row>
    <row r="176" spans="11:11" x14ac:dyDescent="0.3">
      <c r="K176" s="22">
        <f t="shared" si="4"/>
        <v>0</v>
      </c>
    </row>
    <row r="177" spans="11:11" x14ac:dyDescent="0.3">
      <c r="K177" s="22">
        <f t="shared" si="4"/>
        <v>0</v>
      </c>
    </row>
    <row r="178" spans="11:11" x14ac:dyDescent="0.3">
      <c r="K178" s="22">
        <f t="shared" si="4"/>
        <v>0</v>
      </c>
    </row>
    <row r="179" spans="11:11" x14ac:dyDescent="0.3">
      <c r="K179" s="22">
        <f t="shared" si="4"/>
        <v>0</v>
      </c>
    </row>
    <row r="180" spans="11:11" x14ac:dyDescent="0.3">
      <c r="K180" s="22">
        <f t="shared" si="4"/>
        <v>0</v>
      </c>
    </row>
    <row r="181" spans="11:11" x14ac:dyDescent="0.3">
      <c r="K181" s="22">
        <f t="shared" si="4"/>
        <v>0</v>
      </c>
    </row>
    <row r="182" spans="11:11" x14ac:dyDescent="0.3">
      <c r="K182" s="22">
        <f t="shared" si="4"/>
        <v>0</v>
      </c>
    </row>
    <row r="183" spans="11:11" x14ac:dyDescent="0.3">
      <c r="K183" s="22">
        <f t="shared" si="4"/>
        <v>0</v>
      </c>
    </row>
    <row r="184" spans="11:11" x14ac:dyDescent="0.3">
      <c r="K184" s="22">
        <f t="shared" si="4"/>
        <v>0</v>
      </c>
    </row>
    <row r="185" spans="11:11" x14ac:dyDescent="0.3">
      <c r="K185" s="22">
        <f t="shared" si="4"/>
        <v>0</v>
      </c>
    </row>
    <row r="186" spans="11:11" x14ac:dyDescent="0.3">
      <c r="K186" s="22">
        <f t="shared" si="4"/>
        <v>0</v>
      </c>
    </row>
    <row r="187" spans="11:11" x14ac:dyDescent="0.3">
      <c r="K187" s="22">
        <f t="shared" si="4"/>
        <v>0</v>
      </c>
    </row>
    <row r="188" spans="11:11" x14ac:dyDescent="0.3">
      <c r="K188" s="22">
        <f t="shared" si="4"/>
        <v>0</v>
      </c>
    </row>
    <row r="189" spans="11:11" x14ac:dyDescent="0.3">
      <c r="K189" s="22">
        <f t="shared" si="4"/>
        <v>0</v>
      </c>
    </row>
    <row r="190" spans="11:11" x14ac:dyDescent="0.3">
      <c r="K190" s="22">
        <f t="shared" si="4"/>
        <v>0</v>
      </c>
    </row>
    <row r="191" spans="11:11" x14ac:dyDescent="0.3">
      <c r="K191" s="22">
        <f t="shared" si="4"/>
        <v>0</v>
      </c>
    </row>
    <row r="192" spans="11:11" x14ac:dyDescent="0.3">
      <c r="K192" s="22">
        <f t="shared" si="4"/>
        <v>0</v>
      </c>
    </row>
    <row r="193" spans="11:11" x14ac:dyDescent="0.3">
      <c r="K193" s="22">
        <f t="shared" si="4"/>
        <v>0</v>
      </c>
    </row>
    <row r="194" spans="11:11" x14ac:dyDescent="0.3">
      <c r="K194" s="22">
        <f t="shared" si="4"/>
        <v>0</v>
      </c>
    </row>
    <row r="195" spans="11:11" x14ac:dyDescent="0.3">
      <c r="K195" s="22">
        <f t="shared" si="4"/>
        <v>0</v>
      </c>
    </row>
    <row r="196" spans="11:11" x14ac:dyDescent="0.3">
      <c r="K196" s="22">
        <f t="shared" si="4"/>
        <v>0</v>
      </c>
    </row>
    <row r="197" spans="11:11" x14ac:dyDescent="0.3">
      <c r="K197" s="22">
        <f t="shared" ref="K197:K260" si="5">D197-C197</f>
        <v>0</v>
      </c>
    </row>
    <row r="198" spans="11:11" x14ac:dyDescent="0.3">
      <c r="K198" s="22">
        <f t="shared" si="5"/>
        <v>0</v>
      </c>
    </row>
    <row r="199" spans="11:11" x14ac:dyDescent="0.3">
      <c r="K199" s="22">
        <f t="shared" si="5"/>
        <v>0</v>
      </c>
    </row>
    <row r="200" spans="11:11" x14ac:dyDescent="0.3">
      <c r="K200" s="22">
        <f t="shared" si="5"/>
        <v>0</v>
      </c>
    </row>
    <row r="201" spans="11:11" x14ac:dyDescent="0.3">
      <c r="K201" s="22">
        <f t="shared" si="5"/>
        <v>0</v>
      </c>
    </row>
    <row r="202" spans="11:11" x14ac:dyDescent="0.3">
      <c r="K202" s="22">
        <f t="shared" si="5"/>
        <v>0</v>
      </c>
    </row>
    <row r="203" spans="11:11" x14ac:dyDescent="0.3">
      <c r="K203" s="22">
        <f t="shared" si="5"/>
        <v>0</v>
      </c>
    </row>
    <row r="204" spans="11:11" x14ac:dyDescent="0.3">
      <c r="K204" s="22">
        <f t="shared" si="5"/>
        <v>0</v>
      </c>
    </row>
    <row r="205" spans="11:11" x14ac:dyDescent="0.3">
      <c r="K205" s="22">
        <f t="shared" si="5"/>
        <v>0</v>
      </c>
    </row>
    <row r="206" spans="11:11" x14ac:dyDescent="0.3">
      <c r="K206" s="22">
        <f t="shared" si="5"/>
        <v>0</v>
      </c>
    </row>
    <row r="207" spans="11:11" x14ac:dyDescent="0.3">
      <c r="K207" s="22">
        <f t="shared" si="5"/>
        <v>0</v>
      </c>
    </row>
    <row r="208" spans="11:11" x14ac:dyDescent="0.3">
      <c r="K208" s="22">
        <f t="shared" si="5"/>
        <v>0</v>
      </c>
    </row>
    <row r="209" spans="11:11" x14ac:dyDescent="0.3">
      <c r="K209" s="22">
        <f t="shared" si="5"/>
        <v>0</v>
      </c>
    </row>
    <row r="210" spans="11:11" x14ac:dyDescent="0.3">
      <c r="K210" s="22">
        <f t="shared" si="5"/>
        <v>0</v>
      </c>
    </row>
    <row r="211" spans="11:11" x14ac:dyDescent="0.3">
      <c r="K211" s="22">
        <f t="shared" si="5"/>
        <v>0</v>
      </c>
    </row>
    <row r="212" spans="11:11" x14ac:dyDescent="0.3">
      <c r="K212" s="22">
        <f t="shared" si="5"/>
        <v>0</v>
      </c>
    </row>
    <row r="213" spans="11:11" x14ac:dyDescent="0.3">
      <c r="K213" s="22">
        <f t="shared" si="5"/>
        <v>0</v>
      </c>
    </row>
    <row r="214" spans="11:11" x14ac:dyDescent="0.3">
      <c r="K214" s="22">
        <f t="shared" si="5"/>
        <v>0</v>
      </c>
    </row>
    <row r="215" spans="11:11" x14ac:dyDescent="0.3">
      <c r="K215" s="22">
        <f t="shared" si="5"/>
        <v>0</v>
      </c>
    </row>
    <row r="216" spans="11:11" x14ac:dyDescent="0.3">
      <c r="K216" s="22">
        <f t="shared" si="5"/>
        <v>0</v>
      </c>
    </row>
    <row r="217" spans="11:11" x14ac:dyDescent="0.3">
      <c r="K217" s="22">
        <f t="shared" si="5"/>
        <v>0</v>
      </c>
    </row>
    <row r="218" spans="11:11" x14ac:dyDescent="0.3">
      <c r="K218" s="22">
        <f t="shared" si="5"/>
        <v>0</v>
      </c>
    </row>
    <row r="219" spans="11:11" x14ac:dyDescent="0.3">
      <c r="K219" s="22">
        <f t="shared" si="5"/>
        <v>0</v>
      </c>
    </row>
    <row r="220" spans="11:11" x14ac:dyDescent="0.3">
      <c r="K220" s="22">
        <f t="shared" si="5"/>
        <v>0</v>
      </c>
    </row>
    <row r="221" spans="11:11" x14ac:dyDescent="0.3">
      <c r="K221" s="22">
        <f t="shared" si="5"/>
        <v>0</v>
      </c>
    </row>
    <row r="222" spans="11:11" x14ac:dyDescent="0.3">
      <c r="K222" s="22">
        <f t="shared" si="5"/>
        <v>0</v>
      </c>
    </row>
    <row r="223" spans="11:11" x14ac:dyDescent="0.3">
      <c r="K223" s="22">
        <f t="shared" si="5"/>
        <v>0</v>
      </c>
    </row>
    <row r="224" spans="11:11" x14ac:dyDescent="0.3">
      <c r="K224" s="22">
        <f t="shared" si="5"/>
        <v>0</v>
      </c>
    </row>
    <row r="225" spans="11:11" x14ac:dyDescent="0.3">
      <c r="K225" s="22">
        <f t="shared" si="5"/>
        <v>0</v>
      </c>
    </row>
    <row r="226" spans="11:11" x14ac:dyDescent="0.3">
      <c r="K226" s="22">
        <f t="shared" si="5"/>
        <v>0</v>
      </c>
    </row>
    <row r="227" spans="11:11" x14ac:dyDescent="0.3">
      <c r="K227" s="22">
        <f t="shared" si="5"/>
        <v>0</v>
      </c>
    </row>
    <row r="228" spans="11:11" x14ac:dyDescent="0.3">
      <c r="K228" s="22">
        <f t="shared" si="5"/>
        <v>0</v>
      </c>
    </row>
    <row r="229" spans="11:11" x14ac:dyDescent="0.3">
      <c r="K229" s="22">
        <f t="shared" si="5"/>
        <v>0</v>
      </c>
    </row>
    <row r="230" spans="11:11" x14ac:dyDescent="0.3">
      <c r="K230" s="22">
        <f t="shared" si="5"/>
        <v>0</v>
      </c>
    </row>
    <row r="231" spans="11:11" x14ac:dyDescent="0.3">
      <c r="K231" s="22">
        <f t="shared" si="5"/>
        <v>0</v>
      </c>
    </row>
    <row r="232" spans="11:11" x14ac:dyDescent="0.3">
      <c r="K232" s="22">
        <f t="shared" si="5"/>
        <v>0</v>
      </c>
    </row>
    <row r="233" spans="11:11" x14ac:dyDescent="0.3">
      <c r="K233" s="22">
        <f t="shared" si="5"/>
        <v>0</v>
      </c>
    </row>
    <row r="234" spans="11:11" x14ac:dyDescent="0.3">
      <c r="K234" s="22">
        <f t="shared" si="5"/>
        <v>0</v>
      </c>
    </row>
    <row r="235" spans="11:11" x14ac:dyDescent="0.3">
      <c r="K235" s="22">
        <f t="shared" si="5"/>
        <v>0</v>
      </c>
    </row>
    <row r="236" spans="11:11" x14ac:dyDescent="0.3">
      <c r="K236" s="22">
        <f t="shared" si="5"/>
        <v>0</v>
      </c>
    </row>
    <row r="237" spans="11:11" x14ac:dyDescent="0.3">
      <c r="K237" s="22">
        <f t="shared" si="5"/>
        <v>0</v>
      </c>
    </row>
    <row r="238" spans="11:11" x14ac:dyDescent="0.3">
      <c r="K238" s="22">
        <f t="shared" si="5"/>
        <v>0</v>
      </c>
    </row>
    <row r="239" spans="11:11" x14ac:dyDescent="0.3">
      <c r="K239" s="22">
        <f t="shared" si="5"/>
        <v>0</v>
      </c>
    </row>
    <row r="240" spans="11:11" x14ac:dyDescent="0.3">
      <c r="K240" s="22">
        <f t="shared" si="5"/>
        <v>0</v>
      </c>
    </row>
    <row r="241" spans="11:11" x14ac:dyDescent="0.3">
      <c r="K241" s="22">
        <f t="shared" si="5"/>
        <v>0</v>
      </c>
    </row>
    <row r="242" spans="11:11" x14ac:dyDescent="0.3">
      <c r="K242" s="22">
        <f t="shared" si="5"/>
        <v>0</v>
      </c>
    </row>
    <row r="243" spans="11:11" x14ac:dyDescent="0.3">
      <c r="K243" s="22">
        <f t="shared" si="5"/>
        <v>0</v>
      </c>
    </row>
    <row r="244" spans="11:11" x14ac:dyDescent="0.3">
      <c r="K244" s="22">
        <f t="shared" si="5"/>
        <v>0</v>
      </c>
    </row>
    <row r="245" spans="11:11" x14ac:dyDescent="0.3">
      <c r="K245" s="22">
        <f t="shared" si="5"/>
        <v>0</v>
      </c>
    </row>
    <row r="246" spans="11:11" x14ac:dyDescent="0.3">
      <c r="K246" s="22">
        <f t="shared" si="5"/>
        <v>0</v>
      </c>
    </row>
    <row r="247" spans="11:11" x14ac:dyDescent="0.3">
      <c r="K247" s="22">
        <f t="shared" si="5"/>
        <v>0</v>
      </c>
    </row>
    <row r="248" spans="11:11" x14ac:dyDescent="0.3">
      <c r="K248" s="22">
        <f t="shared" si="5"/>
        <v>0</v>
      </c>
    </row>
    <row r="249" spans="11:11" x14ac:dyDescent="0.3">
      <c r="K249" s="22">
        <f t="shared" si="5"/>
        <v>0</v>
      </c>
    </row>
    <row r="250" spans="11:11" x14ac:dyDescent="0.3">
      <c r="K250" s="22">
        <f t="shared" si="5"/>
        <v>0</v>
      </c>
    </row>
    <row r="251" spans="11:11" x14ac:dyDescent="0.3">
      <c r="K251" s="22">
        <f t="shared" si="5"/>
        <v>0</v>
      </c>
    </row>
    <row r="252" spans="11:11" x14ac:dyDescent="0.3">
      <c r="K252" s="22">
        <f t="shared" si="5"/>
        <v>0</v>
      </c>
    </row>
    <row r="253" spans="11:11" x14ac:dyDescent="0.3">
      <c r="K253" s="22">
        <f t="shared" si="5"/>
        <v>0</v>
      </c>
    </row>
    <row r="254" spans="11:11" x14ac:dyDescent="0.3">
      <c r="K254" s="22">
        <f t="shared" si="5"/>
        <v>0</v>
      </c>
    </row>
    <row r="255" spans="11:11" x14ac:dyDescent="0.3">
      <c r="K255" s="22">
        <f t="shared" si="5"/>
        <v>0</v>
      </c>
    </row>
    <row r="256" spans="11:11" x14ac:dyDescent="0.3">
      <c r="K256" s="22">
        <f t="shared" si="5"/>
        <v>0</v>
      </c>
    </row>
    <row r="257" spans="11:11" x14ac:dyDescent="0.3">
      <c r="K257" s="22">
        <f t="shared" si="5"/>
        <v>0</v>
      </c>
    </row>
    <row r="258" spans="11:11" x14ac:dyDescent="0.3">
      <c r="K258" s="22">
        <f t="shared" si="5"/>
        <v>0</v>
      </c>
    </row>
    <row r="259" spans="11:11" x14ac:dyDescent="0.3">
      <c r="K259" s="22">
        <f t="shared" si="5"/>
        <v>0</v>
      </c>
    </row>
    <row r="260" spans="11:11" x14ac:dyDescent="0.3">
      <c r="K260" s="22">
        <f t="shared" si="5"/>
        <v>0</v>
      </c>
    </row>
    <row r="261" spans="11:11" x14ac:dyDescent="0.3">
      <c r="K261" s="22">
        <f t="shared" ref="K261:K324" si="6">D261-C261</f>
        <v>0</v>
      </c>
    </row>
    <row r="262" spans="11:11" x14ac:dyDescent="0.3">
      <c r="K262" s="22">
        <f t="shared" si="6"/>
        <v>0</v>
      </c>
    </row>
    <row r="263" spans="11:11" x14ac:dyDescent="0.3">
      <c r="K263" s="22">
        <f t="shared" si="6"/>
        <v>0</v>
      </c>
    </row>
    <row r="264" spans="11:11" x14ac:dyDescent="0.3">
      <c r="K264" s="22">
        <f t="shared" si="6"/>
        <v>0</v>
      </c>
    </row>
    <row r="265" spans="11:11" x14ac:dyDescent="0.3">
      <c r="K265" s="22">
        <f t="shared" si="6"/>
        <v>0</v>
      </c>
    </row>
    <row r="266" spans="11:11" x14ac:dyDescent="0.3">
      <c r="K266" s="22">
        <f t="shared" si="6"/>
        <v>0</v>
      </c>
    </row>
    <row r="267" spans="11:11" x14ac:dyDescent="0.3">
      <c r="K267" s="22">
        <f t="shared" si="6"/>
        <v>0</v>
      </c>
    </row>
    <row r="268" spans="11:11" x14ac:dyDescent="0.3">
      <c r="K268" s="22">
        <f t="shared" si="6"/>
        <v>0</v>
      </c>
    </row>
    <row r="269" spans="11:11" x14ac:dyDescent="0.3">
      <c r="K269" s="22">
        <f t="shared" si="6"/>
        <v>0</v>
      </c>
    </row>
    <row r="270" spans="11:11" x14ac:dyDescent="0.3">
      <c r="K270" s="22">
        <f t="shared" si="6"/>
        <v>0</v>
      </c>
    </row>
    <row r="271" spans="11:11" x14ac:dyDescent="0.3">
      <c r="K271" s="22">
        <f t="shared" si="6"/>
        <v>0</v>
      </c>
    </row>
    <row r="272" spans="11:11" x14ac:dyDescent="0.3">
      <c r="K272" s="22">
        <f t="shared" si="6"/>
        <v>0</v>
      </c>
    </row>
    <row r="273" spans="11:11" x14ac:dyDescent="0.3">
      <c r="K273" s="22">
        <f t="shared" si="6"/>
        <v>0</v>
      </c>
    </row>
    <row r="274" spans="11:11" x14ac:dyDescent="0.3">
      <c r="K274" s="22">
        <f t="shared" si="6"/>
        <v>0</v>
      </c>
    </row>
    <row r="275" spans="11:11" x14ac:dyDescent="0.3">
      <c r="K275" s="22">
        <f t="shared" si="6"/>
        <v>0</v>
      </c>
    </row>
    <row r="276" spans="11:11" x14ac:dyDescent="0.3">
      <c r="K276" s="22">
        <f t="shared" si="6"/>
        <v>0</v>
      </c>
    </row>
    <row r="277" spans="11:11" x14ac:dyDescent="0.3">
      <c r="K277" s="22">
        <f t="shared" si="6"/>
        <v>0</v>
      </c>
    </row>
    <row r="278" spans="11:11" x14ac:dyDescent="0.3">
      <c r="K278" s="22">
        <f t="shared" si="6"/>
        <v>0</v>
      </c>
    </row>
    <row r="279" spans="11:11" x14ac:dyDescent="0.3">
      <c r="K279" s="22">
        <f t="shared" si="6"/>
        <v>0</v>
      </c>
    </row>
    <row r="280" spans="11:11" x14ac:dyDescent="0.3">
      <c r="K280" s="22">
        <f t="shared" si="6"/>
        <v>0</v>
      </c>
    </row>
    <row r="281" spans="11:11" x14ac:dyDescent="0.3">
      <c r="K281" s="22">
        <f t="shared" si="6"/>
        <v>0</v>
      </c>
    </row>
    <row r="282" spans="11:11" x14ac:dyDescent="0.3">
      <c r="K282" s="22">
        <f t="shared" si="6"/>
        <v>0</v>
      </c>
    </row>
    <row r="283" spans="11:11" x14ac:dyDescent="0.3">
      <c r="K283" s="22">
        <f t="shared" si="6"/>
        <v>0</v>
      </c>
    </row>
    <row r="284" spans="11:11" x14ac:dyDescent="0.3">
      <c r="K284" s="22">
        <f t="shared" si="6"/>
        <v>0</v>
      </c>
    </row>
    <row r="285" spans="11:11" x14ac:dyDescent="0.3">
      <c r="K285" s="22">
        <f t="shared" si="6"/>
        <v>0</v>
      </c>
    </row>
    <row r="286" spans="11:11" x14ac:dyDescent="0.3">
      <c r="K286" s="22">
        <f t="shared" si="6"/>
        <v>0</v>
      </c>
    </row>
    <row r="287" spans="11:11" x14ac:dyDescent="0.3">
      <c r="K287" s="22">
        <f t="shared" si="6"/>
        <v>0</v>
      </c>
    </row>
    <row r="288" spans="11:11" x14ac:dyDescent="0.3">
      <c r="K288" s="22">
        <f t="shared" si="6"/>
        <v>0</v>
      </c>
    </row>
    <row r="289" spans="11:11" x14ac:dyDescent="0.3">
      <c r="K289" s="22">
        <f t="shared" si="6"/>
        <v>0</v>
      </c>
    </row>
    <row r="290" spans="11:11" x14ac:dyDescent="0.3">
      <c r="K290" s="22">
        <f t="shared" si="6"/>
        <v>0</v>
      </c>
    </row>
    <row r="291" spans="11:11" x14ac:dyDescent="0.3">
      <c r="K291" s="22">
        <f t="shared" si="6"/>
        <v>0</v>
      </c>
    </row>
    <row r="292" spans="11:11" x14ac:dyDescent="0.3">
      <c r="K292" s="22">
        <f t="shared" si="6"/>
        <v>0</v>
      </c>
    </row>
    <row r="293" spans="11:11" x14ac:dyDescent="0.3">
      <c r="K293" s="22">
        <f t="shared" si="6"/>
        <v>0</v>
      </c>
    </row>
    <row r="294" spans="11:11" x14ac:dyDescent="0.3">
      <c r="K294" s="22">
        <f t="shared" si="6"/>
        <v>0</v>
      </c>
    </row>
    <row r="295" spans="11:11" x14ac:dyDescent="0.3">
      <c r="K295" s="22">
        <f t="shared" si="6"/>
        <v>0</v>
      </c>
    </row>
    <row r="296" spans="11:11" x14ac:dyDescent="0.3">
      <c r="K296" s="22">
        <f t="shared" si="6"/>
        <v>0</v>
      </c>
    </row>
    <row r="297" spans="11:11" x14ac:dyDescent="0.3">
      <c r="K297" s="22">
        <f t="shared" si="6"/>
        <v>0</v>
      </c>
    </row>
    <row r="298" spans="11:11" x14ac:dyDescent="0.3">
      <c r="K298" s="22">
        <f t="shared" si="6"/>
        <v>0</v>
      </c>
    </row>
    <row r="299" spans="11:11" x14ac:dyDescent="0.3">
      <c r="K299" s="22">
        <f t="shared" si="6"/>
        <v>0</v>
      </c>
    </row>
    <row r="300" spans="11:11" x14ac:dyDescent="0.3">
      <c r="K300" s="22">
        <f t="shared" si="6"/>
        <v>0</v>
      </c>
    </row>
    <row r="301" spans="11:11" x14ac:dyDescent="0.3">
      <c r="K301" s="22">
        <f t="shared" si="6"/>
        <v>0</v>
      </c>
    </row>
    <row r="302" spans="11:11" x14ac:dyDescent="0.3">
      <c r="K302" s="22">
        <f t="shared" si="6"/>
        <v>0</v>
      </c>
    </row>
    <row r="303" spans="11:11" x14ac:dyDescent="0.3">
      <c r="K303" s="22">
        <f t="shared" si="6"/>
        <v>0</v>
      </c>
    </row>
    <row r="304" spans="11:11" x14ac:dyDescent="0.3">
      <c r="K304" s="22">
        <f t="shared" si="6"/>
        <v>0</v>
      </c>
    </row>
    <row r="305" spans="11:11" x14ac:dyDescent="0.3">
      <c r="K305" s="22">
        <f t="shared" si="6"/>
        <v>0</v>
      </c>
    </row>
    <row r="306" spans="11:11" x14ac:dyDescent="0.3">
      <c r="K306" s="22">
        <f t="shared" si="6"/>
        <v>0</v>
      </c>
    </row>
    <row r="307" spans="11:11" x14ac:dyDescent="0.3">
      <c r="K307" s="22">
        <f t="shared" si="6"/>
        <v>0</v>
      </c>
    </row>
    <row r="308" spans="11:11" x14ac:dyDescent="0.3">
      <c r="K308" s="22">
        <f t="shared" si="6"/>
        <v>0</v>
      </c>
    </row>
    <row r="309" spans="11:11" x14ac:dyDescent="0.3">
      <c r="K309" s="22">
        <f t="shared" si="6"/>
        <v>0</v>
      </c>
    </row>
    <row r="310" spans="11:11" x14ac:dyDescent="0.3">
      <c r="K310" s="22">
        <f t="shared" si="6"/>
        <v>0</v>
      </c>
    </row>
    <row r="311" spans="11:11" x14ac:dyDescent="0.3">
      <c r="K311" s="22">
        <f t="shared" si="6"/>
        <v>0</v>
      </c>
    </row>
    <row r="312" spans="11:11" x14ac:dyDescent="0.3">
      <c r="K312" s="22">
        <f t="shared" si="6"/>
        <v>0</v>
      </c>
    </row>
    <row r="313" spans="11:11" x14ac:dyDescent="0.3">
      <c r="K313" s="22">
        <f t="shared" si="6"/>
        <v>0</v>
      </c>
    </row>
    <row r="314" spans="11:11" x14ac:dyDescent="0.3">
      <c r="K314" s="22">
        <f t="shared" si="6"/>
        <v>0</v>
      </c>
    </row>
    <row r="315" spans="11:11" x14ac:dyDescent="0.3">
      <c r="K315" s="22">
        <f t="shared" si="6"/>
        <v>0</v>
      </c>
    </row>
    <row r="316" spans="11:11" x14ac:dyDescent="0.3">
      <c r="K316" s="22">
        <f t="shared" si="6"/>
        <v>0</v>
      </c>
    </row>
    <row r="317" spans="11:11" x14ac:dyDescent="0.3">
      <c r="K317" s="22">
        <f t="shared" si="6"/>
        <v>0</v>
      </c>
    </row>
    <row r="318" spans="11:11" x14ac:dyDescent="0.3">
      <c r="K318" s="22">
        <f t="shared" si="6"/>
        <v>0</v>
      </c>
    </row>
    <row r="319" spans="11:11" x14ac:dyDescent="0.3">
      <c r="K319" s="22">
        <f t="shared" si="6"/>
        <v>0</v>
      </c>
    </row>
    <row r="320" spans="11:11" x14ac:dyDescent="0.3">
      <c r="K320" s="22">
        <f t="shared" si="6"/>
        <v>0</v>
      </c>
    </row>
    <row r="321" spans="11:11" x14ac:dyDescent="0.3">
      <c r="K321" s="22">
        <f t="shared" si="6"/>
        <v>0</v>
      </c>
    </row>
    <row r="322" spans="11:11" x14ac:dyDescent="0.3">
      <c r="K322" s="22">
        <f t="shared" si="6"/>
        <v>0</v>
      </c>
    </row>
    <row r="323" spans="11:11" x14ac:dyDescent="0.3">
      <c r="K323" s="22">
        <f t="shared" si="6"/>
        <v>0</v>
      </c>
    </row>
    <row r="324" spans="11:11" x14ac:dyDescent="0.3">
      <c r="K324" s="22">
        <f t="shared" si="6"/>
        <v>0</v>
      </c>
    </row>
    <row r="325" spans="11:11" x14ac:dyDescent="0.3">
      <c r="K325" s="22">
        <f t="shared" ref="K325:K388" si="7">D325-C325</f>
        <v>0</v>
      </c>
    </row>
    <row r="326" spans="11:11" x14ac:dyDescent="0.3">
      <c r="K326" s="22">
        <f t="shared" si="7"/>
        <v>0</v>
      </c>
    </row>
    <row r="327" spans="11:11" x14ac:dyDescent="0.3">
      <c r="K327" s="22">
        <f t="shared" si="7"/>
        <v>0</v>
      </c>
    </row>
    <row r="328" spans="11:11" x14ac:dyDescent="0.3">
      <c r="K328" s="22">
        <f t="shared" si="7"/>
        <v>0</v>
      </c>
    </row>
    <row r="329" spans="11:11" x14ac:dyDescent="0.3">
      <c r="K329" s="22">
        <f t="shared" si="7"/>
        <v>0</v>
      </c>
    </row>
    <row r="330" spans="11:11" x14ac:dyDescent="0.3">
      <c r="K330" s="22">
        <f t="shared" si="7"/>
        <v>0</v>
      </c>
    </row>
    <row r="331" spans="11:11" x14ac:dyDescent="0.3">
      <c r="K331" s="22">
        <f t="shared" si="7"/>
        <v>0</v>
      </c>
    </row>
    <row r="332" spans="11:11" x14ac:dyDescent="0.3">
      <c r="K332" s="22">
        <f t="shared" si="7"/>
        <v>0</v>
      </c>
    </row>
    <row r="333" spans="11:11" x14ac:dyDescent="0.3">
      <c r="K333" s="22">
        <f t="shared" si="7"/>
        <v>0</v>
      </c>
    </row>
    <row r="334" spans="11:11" x14ac:dyDescent="0.3">
      <c r="K334" s="22">
        <f t="shared" si="7"/>
        <v>0</v>
      </c>
    </row>
    <row r="335" spans="11:11" x14ac:dyDescent="0.3">
      <c r="K335" s="22">
        <f t="shared" si="7"/>
        <v>0</v>
      </c>
    </row>
    <row r="336" spans="11:11" x14ac:dyDescent="0.3">
      <c r="K336" s="22">
        <f t="shared" si="7"/>
        <v>0</v>
      </c>
    </row>
    <row r="337" spans="11:11" x14ac:dyDescent="0.3">
      <c r="K337" s="22">
        <f t="shared" si="7"/>
        <v>0</v>
      </c>
    </row>
    <row r="338" spans="11:11" x14ac:dyDescent="0.3">
      <c r="K338" s="22">
        <f t="shared" si="7"/>
        <v>0</v>
      </c>
    </row>
    <row r="339" spans="11:11" x14ac:dyDescent="0.3">
      <c r="K339" s="22">
        <f t="shared" si="7"/>
        <v>0</v>
      </c>
    </row>
    <row r="340" spans="11:11" x14ac:dyDescent="0.3">
      <c r="K340" s="22">
        <f t="shared" si="7"/>
        <v>0</v>
      </c>
    </row>
    <row r="341" spans="11:11" x14ac:dyDescent="0.3">
      <c r="K341" s="22">
        <f t="shared" si="7"/>
        <v>0</v>
      </c>
    </row>
    <row r="342" spans="11:11" x14ac:dyDescent="0.3">
      <c r="K342" s="22">
        <f t="shared" si="7"/>
        <v>0</v>
      </c>
    </row>
    <row r="343" spans="11:11" x14ac:dyDescent="0.3">
      <c r="K343" s="22">
        <f t="shared" si="7"/>
        <v>0</v>
      </c>
    </row>
    <row r="344" spans="11:11" x14ac:dyDescent="0.3">
      <c r="K344" s="22">
        <f t="shared" si="7"/>
        <v>0</v>
      </c>
    </row>
    <row r="345" spans="11:11" x14ac:dyDescent="0.3">
      <c r="K345" s="22">
        <f t="shared" si="7"/>
        <v>0</v>
      </c>
    </row>
    <row r="346" spans="11:11" x14ac:dyDescent="0.3">
      <c r="K346" s="22">
        <f t="shared" si="7"/>
        <v>0</v>
      </c>
    </row>
    <row r="347" spans="11:11" x14ac:dyDescent="0.3">
      <c r="K347" s="22">
        <f t="shared" si="7"/>
        <v>0</v>
      </c>
    </row>
    <row r="348" spans="11:11" x14ac:dyDescent="0.3">
      <c r="K348" s="22">
        <f t="shared" si="7"/>
        <v>0</v>
      </c>
    </row>
    <row r="349" spans="11:11" x14ac:dyDescent="0.3">
      <c r="K349" s="22">
        <f t="shared" si="7"/>
        <v>0</v>
      </c>
    </row>
    <row r="350" spans="11:11" x14ac:dyDescent="0.3">
      <c r="K350" s="22">
        <f t="shared" si="7"/>
        <v>0</v>
      </c>
    </row>
    <row r="351" spans="11:11" x14ac:dyDescent="0.3">
      <c r="K351" s="22">
        <f t="shared" si="7"/>
        <v>0</v>
      </c>
    </row>
    <row r="352" spans="11:11" x14ac:dyDescent="0.3">
      <c r="K352" s="22">
        <f t="shared" si="7"/>
        <v>0</v>
      </c>
    </row>
    <row r="353" spans="11:11" x14ac:dyDescent="0.3">
      <c r="K353" s="22">
        <f t="shared" si="7"/>
        <v>0</v>
      </c>
    </row>
    <row r="354" spans="11:11" x14ac:dyDescent="0.3">
      <c r="K354" s="22">
        <f t="shared" si="7"/>
        <v>0</v>
      </c>
    </row>
    <row r="355" spans="11:11" x14ac:dyDescent="0.3">
      <c r="K355" s="22">
        <f t="shared" si="7"/>
        <v>0</v>
      </c>
    </row>
    <row r="356" spans="11:11" x14ac:dyDescent="0.3">
      <c r="K356" s="22">
        <f t="shared" si="7"/>
        <v>0</v>
      </c>
    </row>
    <row r="357" spans="11:11" x14ac:dyDescent="0.3">
      <c r="K357" s="22">
        <f t="shared" si="7"/>
        <v>0</v>
      </c>
    </row>
    <row r="358" spans="11:11" x14ac:dyDescent="0.3">
      <c r="K358" s="22">
        <f t="shared" si="7"/>
        <v>0</v>
      </c>
    </row>
    <row r="359" spans="11:11" x14ac:dyDescent="0.3">
      <c r="K359" s="22">
        <f t="shared" si="7"/>
        <v>0</v>
      </c>
    </row>
    <row r="360" spans="11:11" x14ac:dyDescent="0.3">
      <c r="K360" s="22">
        <f t="shared" si="7"/>
        <v>0</v>
      </c>
    </row>
    <row r="361" spans="11:11" x14ac:dyDescent="0.3">
      <c r="K361" s="22">
        <f t="shared" si="7"/>
        <v>0</v>
      </c>
    </row>
    <row r="362" spans="11:11" x14ac:dyDescent="0.3">
      <c r="K362" s="22">
        <f t="shared" si="7"/>
        <v>0</v>
      </c>
    </row>
    <row r="363" spans="11:11" x14ac:dyDescent="0.3">
      <c r="K363" s="22">
        <f t="shared" si="7"/>
        <v>0</v>
      </c>
    </row>
    <row r="364" spans="11:11" x14ac:dyDescent="0.3">
      <c r="K364" s="22">
        <f t="shared" si="7"/>
        <v>0</v>
      </c>
    </row>
    <row r="365" spans="11:11" x14ac:dyDescent="0.3">
      <c r="K365" s="22">
        <f t="shared" si="7"/>
        <v>0</v>
      </c>
    </row>
    <row r="366" spans="11:11" x14ac:dyDescent="0.3">
      <c r="K366" s="22">
        <f t="shared" si="7"/>
        <v>0</v>
      </c>
    </row>
    <row r="367" spans="11:11" x14ac:dyDescent="0.3">
      <c r="K367" s="22">
        <f t="shared" si="7"/>
        <v>0</v>
      </c>
    </row>
    <row r="368" spans="11:11" x14ac:dyDescent="0.3">
      <c r="K368" s="22">
        <f t="shared" si="7"/>
        <v>0</v>
      </c>
    </row>
    <row r="369" spans="11:11" x14ac:dyDescent="0.3">
      <c r="K369" s="22">
        <f t="shared" si="7"/>
        <v>0</v>
      </c>
    </row>
    <row r="370" spans="11:11" x14ac:dyDescent="0.3">
      <c r="K370" s="22">
        <f t="shared" si="7"/>
        <v>0</v>
      </c>
    </row>
    <row r="371" spans="11:11" x14ac:dyDescent="0.3">
      <c r="K371" s="22">
        <f t="shared" si="7"/>
        <v>0</v>
      </c>
    </row>
    <row r="372" spans="11:11" x14ac:dyDescent="0.3">
      <c r="K372" s="22">
        <f t="shared" si="7"/>
        <v>0</v>
      </c>
    </row>
    <row r="373" spans="11:11" x14ac:dyDescent="0.3">
      <c r="K373" s="22">
        <f t="shared" si="7"/>
        <v>0</v>
      </c>
    </row>
    <row r="374" spans="11:11" x14ac:dyDescent="0.3">
      <c r="K374" s="22">
        <f t="shared" si="7"/>
        <v>0</v>
      </c>
    </row>
    <row r="375" spans="11:11" x14ac:dyDescent="0.3">
      <c r="K375" s="22">
        <f t="shared" si="7"/>
        <v>0</v>
      </c>
    </row>
    <row r="376" spans="11:11" x14ac:dyDescent="0.3">
      <c r="K376" s="22">
        <f t="shared" si="7"/>
        <v>0</v>
      </c>
    </row>
    <row r="377" spans="11:11" x14ac:dyDescent="0.3">
      <c r="K377" s="22">
        <f t="shared" si="7"/>
        <v>0</v>
      </c>
    </row>
    <row r="378" spans="11:11" x14ac:dyDescent="0.3">
      <c r="K378" s="22">
        <f t="shared" si="7"/>
        <v>0</v>
      </c>
    </row>
    <row r="379" spans="11:11" x14ac:dyDescent="0.3">
      <c r="K379" s="22">
        <f t="shared" si="7"/>
        <v>0</v>
      </c>
    </row>
    <row r="380" spans="11:11" x14ac:dyDescent="0.3">
      <c r="K380" s="22">
        <f t="shared" si="7"/>
        <v>0</v>
      </c>
    </row>
    <row r="381" spans="11:11" x14ac:dyDescent="0.3">
      <c r="K381" s="22">
        <f t="shared" si="7"/>
        <v>0</v>
      </c>
    </row>
    <row r="382" spans="11:11" x14ac:dyDescent="0.3">
      <c r="K382" s="22">
        <f t="shared" si="7"/>
        <v>0</v>
      </c>
    </row>
    <row r="383" spans="11:11" x14ac:dyDescent="0.3">
      <c r="K383" s="22">
        <f t="shared" si="7"/>
        <v>0</v>
      </c>
    </row>
    <row r="384" spans="11:11" x14ac:dyDescent="0.3">
      <c r="K384" s="22">
        <f t="shared" si="7"/>
        <v>0</v>
      </c>
    </row>
    <row r="385" spans="11:11" x14ac:dyDescent="0.3">
      <c r="K385" s="22">
        <f t="shared" si="7"/>
        <v>0</v>
      </c>
    </row>
    <row r="386" spans="11:11" x14ac:dyDescent="0.3">
      <c r="K386" s="22">
        <f t="shared" si="7"/>
        <v>0</v>
      </c>
    </row>
    <row r="387" spans="11:11" x14ac:dyDescent="0.3">
      <c r="K387" s="22">
        <f t="shared" si="7"/>
        <v>0</v>
      </c>
    </row>
    <row r="388" spans="11:11" x14ac:dyDescent="0.3">
      <c r="K388" s="22">
        <f t="shared" si="7"/>
        <v>0</v>
      </c>
    </row>
    <row r="389" spans="11:11" x14ac:dyDescent="0.3">
      <c r="K389" s="22">
        <f t="shared" ref="K389:K428" si="8">D389-C389</f>
        <v>0</v>
      </c>
    </row>
    <row r="390" spans="11:11" x14ac:dyDescent="0.3">
      <c r="K390" s="22">
        <f t="shared" si="8"/>
        <v>0</v>
      </c>
    </row>
    <row r="391" spans="11:11" x14ac:dyDescent="0.3">
      <c r="K391" s="22">
        <f t="shared" si="8"/>
        <v>0</v>
      </c>
    </row>
    <row r="392" spans="11:11" x14ac:dyDescent="0.3">
      <c r="K392" s="22">
        <f t="shared" si="8"/>
        <v>0</v>
      </c>
    </row>
    <row r="393" spans="11:11" x14ac:dyDescent="0.3">
      <c r="K393" s="22">
        <f t="shared" si="8"/>
        <v>0</v>
      </c>
    </row>
    <row r="394" spans="11:11" x14ac:dyDescent="0.3">
      <c r="K394" s="22">
        <f t="shared" si="8"/>
        <v>0</v>
      </c>
    </row>
    <row r="395" spans="11:11" x14ac:dyDescent="0.3">
      <c r="K395" s="22">
        <f t="shared" si="8"/>
        <v>0</v>
      </c>
    </row>
    <row r="396" spans="11:11" x14ac:dyDescent="0.3">
      <c r="K396" s="22">
        <f t="shared" si="8"/>
        <v>0</v>
      </c>
    </row>
    <row r="397" spans="11:11" x14ac:dyDescent="0.3">
      <c r="K397" s="22">
        <f t="shared" si="8"/>
        <v>0</v>
      </c>
    </row>
    <row r="398" spans="11:11" x14ac:dyDescent="0.3">
      <c r="K398" s="22">
        <f t="shared" si="8"/>
        <v>0</v>
      </c>
    </row>
    <row r="399" spans="11:11" x14ac:dyDescent="0.3">
      <c r="K399" s="22">
        <f t="shared" si="8"/>
        <v>0</v>
      </c>
    </row>
    <row r="400" spans="11:11" x14ac:dyDescent="0.3">
      <c r="K400" s="22">
        <f t="shared" si="8"/>
        <v>0</v>
      </c>
    </row>
    <row r="401" spans="11:11" x14ac:dyDescent="0.3">
      <c r="K401" s="22">
        <f t="shared" si="8"/>
        <v>0</v>
      </c>
    </row>
    <row r="402" spans="11:11" x14ac:dyDescent="0.3">
      <c r="K402" s="22">
        <f t="shared" si="8"/>
        <v>0</v>
      </c>
    </row>
    <row r="403" spans="11:11" x14ac:dyDescent="0.3">
      <c r="K403" s="22">
        <f t="shared" si="8"/>
        <v>0</v>
      </c>
    </row>
    <row r="404" spans="11:11" x14ac:dyDescent="0.3">
      <c r="K404" s="22">
        <f t="shared" si="8"/>
        <v>0</v>
      </c>
    </row>
    <row r="405" spans="11:11" x14ac:dyDescent="0.3">
      <c r="K405" s="22">
        <f t="shared" si="8"/>
        <v>0</v>
      </c>
    </row>
    <row r="406" spans="11:11" x14ac:dyDescent="0.3">
      <c r="K406" s="22">
        <f t="shared" si="8"/>
        <v>0</v>
      </c>
    </row>
    <row r="407" spans="11:11" x14ac:dyDescent="0.3">
      <c r="K407" s="22">
        <f t="shared" si="8"/>
        <v>0</v>
      </c>
    </row>
    <row r="408" spans="11:11" x14ac:dyDescent="0.3">
      <c r="K408" s="22">
        <f t="shared" si="8"/>
        <v>0</v>
      </c>
    </row>
    <row r="409" spans="11:11" x14ac:dyDescent="0.3">
      <c r="K409" s="22">
        <f t="shared" si="8"/>
        <v>0</v>
      </c>
    </row>
    <row r="410" spans="11:11" x14ac:dyDescent="0.3">
      <c r="K410" s="22">
        <f t="shared" si="8"/>
        <v>0</v>
      </c>
    </row>
    <row r="411" spans="11:11" x14ac:dyDescent="0.3">
      <c r="K411" s="22">
        <f t="shared" si="8"/>
        <v>0</v>
      </c>
    </row>
    <row r="412" spans="11:11" x14ac:dyDescent="0.3">
      <c r="K412" s="22">
        <f t="shared" si="8"/>
        <v>0</v>
      </c>
    </row>
    <row r="413" spans="11:11" x14ac:dyDescent="0.3">
      <c r="K413" s="22">
        <f t="shared" si="8"/>
        <v>0</v>
      </c>
    </row>
    <row r="414" spans="11:11" x14ac:dyDescent="0.3">
      <c r="K414" s="22">
        <f t="shared" si="8"/>
        <v>0</v>
      </c>
    </row>
    <row r="415" spans="11:11" x14ac:dyDescent="0.3">
      <c r="K415" s="22">
        <f t="shared" si="8"/>
        <v>0</v>
      </c>
    </row>
    <row r="416" spans="11:11" x14ac:dyDescent="0.3">
      <c r="K416" s="22">
        <f t="shared" si="8"/>
        <v>0</v>
      </c>
    </row>
    <row r="417" spans="11:11" x14ac:dyDescent="0.3">
      <c r="K417" s="22">
        <f t="shared" si="8"/>
        <v>0</v>
      </c>
    </row>
    <row r="418" spans="11:11" x14ac:dyDescent="0.3">
      <c r="K418" s="22">
        <f t="shared" si="8"/>
        <v>0</v>
      </c>
    </row>
    <row r="419" spans="11:11" x14ac:dyDescent="0.3">
      <c r="K419" s="22">
        <f t="shared" si="8"/>
        <v>0</v>
      </c>
    </row>
    <row r="420" spans="11:11" x14ac:dyDescent="0.3">
      <c r="K420" s="22">
        <f t="shared" si="8"/>
        <v>0</v>
      </c>
    </row>
    <row r="421" spans="11:11" x14ac:dyDescent="0.3">
      <c r="K421" s="22">
        <f t="shared" si="8"/>
        <v>0</v>
      </c>
    </row>
    <row r="422" spans="11:11" x14ac:dyDescent="0.3">
      <c r="K422" s="22">
        <f t="shared" si="8"/>
        <v>0</v>
      </c>
    </row>
    <row r="423" spans="11:11" x14ac:dyDescent="0.3">
      <c r="K423" s="22">
        <f t="shared" si="8"/>
        <v>0</v>
      </c>
    </row>
    <row r="424" spans="11:11" x14ac:dyDescent="0.3">
      <c r="K424" s="22">
        <f t="shared" si="8"/>
        <v>0</v>
      </c>
    </row>
    <row r="425" spans="11:11" x14ac:dyDescent="0.3">
      <c r="K425" s="22">
        <f t="shared" si="8"/>
        <v>0</v>
      </c>
    </row>
    <row r="426" spans="11:11" x14ac:dyDescent="0.3">
      <c r="K426" s="22">
        <f t="shared" si="8"/>
        <v>0</v>
      </c>
    </row>
    <row r="427" spans="11:11" x14ac:dyDescent="0.3">
      <c r="K427" s="22">
        <f t="shared" si="8"/>
        <v>0</v>
      </c>
    </row>
    <row r="428" spans="11:11" x14ac:dyDescent="0.3">
      <c r="K428" s="22">
        <f t="shared" si="8"/>
        <v>0</v>
      </c>
    </row>
  </sheetData>
  <conditionalFormatting sqref="A41:A44 G4:G37">
    <cfRule type="cellIs" dxfId="17" priority="37" operator="equal">
      <formula>$A$44</formula>
    </cfRule>
    <cfRule type="cellIs" dxfId="16" priority="38" operator="equal">
      <formula>$A$43</formula>
    </cfRule>
    <cfRule type="cellIs" dxfId="15" priority="39" operator="equal">
      <formula>$A$42</formula>
    </cfRule>
    <cfRule type="cellIs" dxfId="14" priority="40" operator="equal">
      <formula>$A$41</formula>
    </cfRule>
  </conditionalFormatting>
  <dataValidations count="1">
    <dataValidation type="list" allowBlank="1" showInputMessage="1" showErrorMessage="1" sqref="G48:G1048576 G4:G37" xr:uid="{00000000-0002-0000-0200-000000000000}">
      <formula1>$A$41:$A$44</formula1>
    </dataValidation>
  </dataValidations>
  <pageMargins left="0.7" right="0.7" top="0.75" bottom="0.75" header="0.3" footer="0.3"/>
  <pageSetup paperSize="9" orientation="portrait" r:id="rId1"/>
  <drawing r:id="rId2"/>
  <tableParts count="3"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3</vt:i4>
      </vt:variant>
    </vt:vector>
  </HeadingPairs>
  <TitlesOfParts>
    <vt:vector size="6" baseType="lpstr">
      <vt:lpstr>Guide d'utilisation</vt:lpstr>
      <vt:lpstr>Dashboard de projet</vt:lpstr>
      <vt:lpstr>Données</vt:lpstr>
      <vt:lpstr>Budget</vt:lpstr>
      <vt:lpstr>Elements</vt:lpstr>
      <vt:lpstr>Taches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Manal Jalila</dc:creator>
  <cp:lastModifiedBy>Sara</cp:lastModifiedBy>
  <dcterms:created xsi:type="dcterms:W3CDTF">2020-05-06T12:23:49Z</dcterms:created>
  <dcterms:modified xsi:type="dcterms:W3CDTF">2022-03-15T09:47:14Z</dcterms:modified>
</cp:coreProperties>
</file>