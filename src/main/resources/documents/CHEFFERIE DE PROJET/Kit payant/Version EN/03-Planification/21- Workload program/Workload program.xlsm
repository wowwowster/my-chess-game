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13_ncr:1_{82E43A72-EB36-4678-8FD9-5AE6E5298EB7}" xr6:coauthVersionLast="47" xr6:coauthVersionMax="47" xr10:uidLastSave="{00000000-0000-0000-0000-000000000000}"/>
  <bookViews>
    <workbookView xWindow="-120" yWindow="-120" windowWidth="20730" windowHeight="11160" activeTab="2" xr2:uid="{00000000-000D-0000-FFFF-FFFF00000000}"/>
  </bookViews>
  <sheets>
    <sheet name="User guide" sheetId="7" r:id="rId1"/>
    <sheet name="Resources" sheetId="8" r:id="rId2"/>
    <sheet name="Workload plan" sheetId="2" r:id="rId3"/>
    <sheet name="Settings" sheetId="9" r:id="rId4"/>
  </sheets>
  <definedNames>
    <definedName name="constYac">1</definedName>
    <definedName name="Noms" localSheetId="1">Resources!$C$18:$C$40</definedName>
    <definedName name="Noms" localSheetId="3">Resources!$C$18:$C$40</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17" i="2" l="1"/>
  <c r="BK15" i="2" s="1"/>
  <c r="BJ17" i="2"/>
  <c r="BJ18" i="2" s="1"/>
  <c r="BI17" i="2"/>
  <c r="BI15" i="2" s="1"/>
  <c r="BH17" i="2"/>
  <c r="BH15" i="2" s="1"/>
  <c r="BG17" i="2"/>
  <c r="BG15" i="2" s="1"/>
  <c r="BF17" i="2"/>
  <c r="BF18" i="2" s="1"/>
  <c r="BE17" i="2"/>
  <c r="BE15" i="2" s="1"/>
  <c r="BD17" i="2"/>
  <c r="BD15" i="2" s="1"/>
  <c r="BC17" i="2"/>
  <c r="BC15" i="2" s="1"/>
  <c r="BB17" i="2"/>
  <c r="BB18" i="2" s="1"/>
  <c r="BA17" i="2"/>
  <c r="BA15" i="2" s="1"/>
  <c r="AZ17" i="2"/>
  <c r="AZ15" i="2" s="1"/>
  <c r="AY17" i="2"/>
  <c r="AY15" i="2" s="1"/>
  <c r="AX17" i="2"/>
  <c r="AX18" i="2" s="1"/>
  <c r="AW17" i="2"/>
  <c r="AW15" i="2" s="1"/>
  <c r="AV17" i="2"/>
  <c r="AV15" i="2" s="1"/>
  <c r="AU17" i="2"/>
  <c r="AU15" i="2" s="1"/>
  <c r="AT17" i="2"/>
  <c r="AT18" i="2" s="1"/>
  <c r="AS17" i="2"/>
  <c r="AS15" i="2" s="1"/>
  <c r="AR17" i="2"/>
  <c r="AR15" i="2" s="1"/>
  <c r="AQ17" i="2"/>
  <c r="AQ15" i="2" s="1"/>
  <c r="AP17" i="2"/>
  <c r="AP18" i="2" s="1"/>
  <c r="AO17" i="2"/>
  <c r="AO15" i="2" s="1"/>
  <c r="AN17" i="2"/>
  <c r="AN15" i="2" s="1"/>
  <c r="AM17" i="2"/>
  <c r="AM15" i="2" s="1"/>
  <c r="AL17" i="2"/>
  <c r="AL18" i="2" s="1"/>
  <c r="AK17" i="2"/>
  <c r="AK15" i="2" s="1"/>
  <c r="AJ17" i="2"/>
  <c r="AJ15" i="2" s="1"/>
  <c r="AI17" i="2"/>
  <c r="AI15" i="2" s="1"/>
  <c r="AH17" i="2"/>
  <c r="AH18" i="2" s="1"/>
  <c r="AG17" i="2"/>
  <c r="AG15" i="2" s="1"/>
  <c r="AF17" i="2"/>
  <c r="AF15" i="2" s="1"/>
  <c r="AE17" i="2"/>
  <c r="AE15" i="2" s="1"/>
  <c r="AD17" i="2"/>
  <c r="AD18" i="2" s="1"/>
  <c r="AC17" i="2"/>
  <c r="AC15" i="2" s="1"/>
  <c r="AB17" i="2"/>
  <c r="AB15" i="2" s="1"/>
  <c r="AA17" i="2"/>
  <c r="AA15" i="2" s="1"/>
  <c r="Z17" i="2"/>
  <c r="Z18" i="2" s="1"/>
  <c r="Y17" i="2"/>
  <c r="Y15" i="2" s="1"/>
  <c r="X17" i="2"/>
  <c r="X15" i="2" s="1"/>
  <c r="W17" i="2"/>
  <c r="W15" i="2" s="1"/>
  <c r="V17" i="2"/>
  <c r="V18" i="2" s="1"/>
  <c r="U17" i="2"/>
  <c r="U15" i="2" s="1"/>
  <c r="T17" i="2"/>
  <c r="T15" i="2" s="1"/>
  <c r="S17" i="2"/>
  <c r="S15" i="2" s="1"/>
  <c r="R17" i="2"/>
  <c r="R18" i="2" s="1"/>
  <c r="Q17" i="2"/>
  <c r="Q15" i="2" s="1"/>
  <c r="P17" i="2"/>
  <c r="P15" i="2" s="1"/>
  <c r="O17" i="2"/>
  <c r="O15" i="2" s="1"/>
  <c r="N17" i="2"/>
  <c r="N18" i="2" s="1"/>
  <c r="M17" i="2"/>
  <c r="M15" i="2" s="1"/>
  <c r="L17" i="2"/>
  <c r="L15" i="2" s="1"/>
  <c r="K17" i="2"/>
  <c r="K15" i="2" s="1"/>
  <c r="M18" i="2"/>
  <c r="Q18" i="2"/>
  <c r="U18" i="2"/>
  <c r="Y18" i="2"/>
  <c r="AC18" i="2"/>
  <c r="AE18" i="2"/>
  <c r="AG18" i="2"/>
  <c r="AI18" i="2"/>
  <c r="AK18" i="2"/>
  <c r="AM18" i="2"/>
  <c r="AO18" i="2"/>
  <c r="AQ18" i="2"/>
  <c r="AS18" i="2"/>
  <c r="AU18" i="2"/>
  <c r="AW18" i="2"/>
  <c r="AY18" i="2"/>
  <c r="BA18" i="2"/>
  <c r="BC18" i="2"/>
  <c r="BE18" i="2"/>
  <c r="BG18" i="2"/>
  <c r="BI18" i="2"/>
  <c r="BK18" i="2"/>
  <c r="K18" i="8"/>
  <c r="K19" i="8"/>
  <c r="K20" i="8"/>
  <c r="K21" i="8"/>
  <c r="K22" i="8"/>
  <c r="K23" i="8"/>
  <c r="K24" i="8"/>
  <c r="K25" i="8"/>
  <c r="K26" i="8"/>
  <c r="K27" i="8"/>
  <c r="K28" i="8"/>
  <c r="K29" i="8"/>
  <c r="K30" i="8"/>
  <c r="K31" i="8"/>
  <c r="K32" i="8"/>
  <c r="K33" i="8"/>
  <c r="K34" i="8"/>
  <c r="K35" i="8"/>
  <c r="K36" i="8"/>
  <c r="K37" i="8"/>
  <c r="K38" i="8"/>
  <c r="L38" i="8" s="1"/>
  <c r="J18" i="8"/>
  <c r="L18" i="8" s="1"/>
  <c r="J19" i="8"/>
  <c r="L19" i="8" s="1"/>
  <c r="J20" i="8"/>
  <c r="L20" i="8" s="1"/>
  <c r="J21" i="8"/>
  <c r="L21" i="8" s="1"/>
  <c r="J22" i="8"/>
  <c r="L22" i="8" s="1"/>
  <c r="J23" i="8"/>
  <c r="L23" i="8" s="1"/>
  <c r="J24" i="8"/>
  <c r="L24" i="8" s="1"/>
  <c r="J25" i="8"/>
  <c r="L25" i="8" s="1"/>
  <c r="J26" i="8"/>
  <c r="L26" i="8" s="1"/>
  <c r="J27" i="8"/>
  <c r="L27" i="8" s="1"/>
  <c r="J28" i="8"/>
  <c r="L28" i="8" s="1"/>
  <c r="J29" i="8"/>
  <c r="L29" i="8" s="1"/>
  <c r="J30" i="8"/>
  <c r="L30" i="8" s="1"/>
  <c r="J31" i="8"/>
  <c r="L31" i="8" s="1"/>
  <c r="J32" i="8"/>
  <c r="L32" i="8" s="1"/>
  <c r="J33" i="8"/>
  <c r="L33" i="8" s="1"/>
  <c r="J34" i="8"/>
  <c r="L34" i="8" s="1"/>
  <c r="J35" i="8"/>
  <c r="L35" i="8" s="1"/>
  <c r="J36" i="8"/>
  <c r="L36" i="8" s="1"/>
  <c r="J37" i="8"/>
  <c r="L37" i="8" s="1"/>
  <c r="J38" i="8"/>
  <c r="I41" i="2"/>
  <c r="I61" i="2"/>
  <c r="I144" i="2"/>
  <c r="H28" i="2"/>
  <c r="H158" i="2"/>
  <c r="H157" i="2"/>
  <c r="H156" i="2"/>
  <c r="H155" i="2"/>
  <c r="H154" i="2"/>
  <c r="H153" i="2"/>
  <c r="H152" i="2"/>
  <c r="H151" i="2"/>
  <c r="H150" i="2"/>
  <c r="H149" i="2"/>
  <c r="H148" i="2"/>
  <c r="H147" i="2"/>
  <c r="H146" i="2"/>
  <c r="H145" i="2"/>
  <c r="F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F61" i="2"/>
  <c r="H60" i="2"/>
  <c r="H59" i="2"/>
  <c r="H58" i="2"/>
  <c r="H57" i="2"/>
  <c r="H56" i="2"/>
  <c r="H55" i="2"/>
  <c r="H54" i="2"/>
  <c r="H53" i="2"/>
  <c r="H52" i="2"/>
  <c r="H51" i="2"/>
  <c r="H50" i="2"/>
  <c r="H49" i="2"/>
  <c r="H48" i="2"/>
  <c r="H47" i="2"/>
  <c r="H46" i="2"/>
  <c r="H45" i="2"/>
  <c r="H44" i="2"/>
  <c r="H43" i="2"/>
  <c r="H42" i="2"/>
  <c r="F41" i="2"/>
  <c r="H40" i="2"/>
  <c r="H39" i="2"/>
  <c r="H38" i="2"/>
  <c r="H37" i="2"/>
  <c r="H36" i="2"/>
  <c r="H35" i="2"/>
  <c r="H34" i="2"/>
  <c r="H33" i="2"/>
  <c r="H32" i="2"/>
  <c r="H31" i="2"/>
  <c r="I30" i="2"/>
  <c r="F30" i="2"/>
  <c r="H29" i="2"/>
  <c r="H27" i="2"/>
  <c r="H26" i="2"/>
  <c r="H25" i="2"/>
  <c r="H24" i="2"/>
  <c r="H23" i="2"/>
  <c r="H22" i="2"/>
  <c r="H19" i="2" s="1"/>
  <c r="H18" i="2" s="1"/>
  <c r="H21" i="2"/>
  <c r="H20" i="2"/>
  <c r="I19" i="2"/>
  <c r="F19" i="2"/>
  <c r="F18" i="2" s="1"/>
  <c r="G18" i="2" s="1"/>
  <c r="H144" i="2"/>
  <c r="G144" i="2" s="1"/>
  <c r="H61" i="2"/>
  <c r="G61" i="2" s="1"/>
  <c r="H41" i="2"/>
  <c r="G41" i="2" s="1"/>
  <c r="H30" i="2"/>
  <c r="G30" i="2" s="1"/>
  <c r="G19" i="2" l="1"/>
  <c r="I18" i="2"/>
  <c r="BH18" i="2"/>
  <c r="BD18" i="2"/>
  <c r="AZ18" i="2"/>
  <c r="AV18" i="2"/>
  <c r="AR18" i="2"/>
  <c r="AN18" i="2"/>
  <c r="AJ18" i="2"/>
  <c r="AF18" i="2"/>
  <c r="AB18" i="2"/>
  <c r="X18" i="2"/>
  <c r="T18" i="2"/>
  <c r="P18" i="2"/>
  <c r="L18" i="2"/>
  <c r="N15" i="2"/>
  <c r="R15" i="2"/>
  <c r="V15" i="2"/>
  <c r="Z15" i="2"/>
  <c r="AD15" i="2"/>
  <c r="AH15" i="2"/>
  <c r="AL15" i="2"/>
  <c r="AP15" i="2"/>
  <c r="AT15" i="2"/>
  <c r="AX15" i="2"/>
  <c r="BB15" i="2"/>
  <c r="BF15" i="2"/>
  <c r="BJ15" i="2"/>
  <c r="AA18" i="2"/>
  <c r="W18" i="2"/>
  <c r="S18" i="2"/>
  <c r="O18" i="2"/>
  <c r="K18" i="2"/>
  <c r="I159" i="2"/>
</calcChain>
</file>

<file path=xl/sharedStrings.xml><?xml version="1.0" encoding="utf-8"?>
<sst xmlns="http://schemas.openxmlformats.org/spreadsheetml/2006/main" count="711" uniqueCount="423">
  <si>
    <t>A</t>
  </si>
  <si>
    <t>Deadline</t>
  </si>
  <si>
    <t>1.0</t>
  </si>
  <si>
    <t>1.1</t>
  </si>
  <si>
    <t>1.2</t>
  </si>
  <si>
    <t>1.3</t>
  </si>
  <si>
    <t>1.4</t>
  </si>
  <si>
    <t>2.1</t>
  </si>
  <si>
    <t>2.2</t>
  </si>
  <si>
    <t>2.3</t>
  </si>
  <si>
    <t>2.4</t>
  </si>
  <si>
    <t>2.5</t>
  </si>
  <si>
    <t>3.1</t>
  </si>
  <si>
    <t>3.2</t>
  </si>
  <si>
    <t>3.3</t>
  </si>
  <si>
    <t>3.4</t>
  </si>
  <si>
    <t>3.5</t>
  </si>
  <si>
    <t>4.1</t>
  </si>
  <si>
    <t>4.2</t>
  </si>
  <si>
    <t>4.3</t>
  </si>
  <si>
    <t>4.4</t>
  </si>
  <si>
    <t>4.5</t>
  </si>
  <si>
    <t>De</t>
  </si>
  <si>
    <t>5.1</t>
  </si>
  <si>
    <t>5.2</t>
  </si>
  <si>
    <t>5.3</t>
  </si>
  <si>
    <t>5.4</t>
  </si>
  <si>
    <t>5.5</t>
  </si>
  <si>
    <t>2.6</t>
  </si>
  <si>
    <t xml:space="preserve"> </t>
  </si>
  <si>
    <t>1,2,3,4</t>
  </si>
  <si>
    <t>ID</t>
  </si>
  <si>
    <t>Mme.Dupont</t>
  </si>
  <si>
    <t>V2.3</t>
  </si>
  <si>
    <t>Deadline:</t>
  </si>
  <si>
    <t>ID:</t>
  </si>
  <si>
    <t>Chantal Dupont</t>
  </si>
  <si>
    <t>DupontC@confassis.com</t>
  </si>
  <si>
    <t>Olivier Robespierre</t>
  </si>
  <si>
    <t>Sponsor</t>
  </si>
  <si>
    <t>RobespierreO@confassis.com</t>
  </si>
  <si>
    <t>Jacques Meunier</t>
  </si>
  <si>
    <t>MeunierJ@confassis.com</t>
  </si>
  <si>
    <t>Monique Davant</t>
  </si>
  <si>
    <t>DavantM@confassis.com</t>
  </si>
  <si>
    <t>Denise Attali</t>
  </si>
  <si>
    <t>AttaliD@confassis.com</t>
  </si>
  <si>
    <t>Jean Albert</t>
  </si>
  <si>
    <t>AlbertJ@confassis.com</t>
  </si>
  <si>
    <t>Eric Duteil</t>
  </si>
  <si>
    <t>DuteilE@confassis.com</t>
  </si>
  <si>
    <t>Daniel Château</t>
  </si>
  <si>
    <t>ChateauD@confassis.com</t>
  </si>
  <si>
    <t>DupuisB@confassis.com</t>
  </si>
  <si>
    <t>Marianne Anselme</t>
  </si>
  <si>
    <t>AnselmeM@confassis.com</t>
  </si>
  <si>
    <t>Gérard Lourte</t>
  </si>
  <si>
    <t>LourteG@confassis.com</t>
  </si>
  <si>
    <t>Marcel Poste</t>
  </si>
  <si>
    <t>PosteM@confassis.com</t>
  </si>
  <si>
    <t>Bernard Tassin</t>
  </si>
  <si>
    <t>TassinB@confassis.com</t>
  </si>
  <si>
    <t>Edouard Leperre</t>
  </si>
  <si>
    <t>LeperreE@confassis.com</t>
  </si>
  <si>
    <t>Carine Refour</t>
  </si>
  <si>
    <t>RefourC@confassis.com</t>
  </si>
  <si>
    <t>Henri Saulnier</t>
  </si>
  <si>
    <t>SaulnierH@confassis.com</t>
  </si>
  <si>
    <t>Marc Ellin</t>
  </si>
  <si>
    <t>EllinM@confassis.com</t>
  </si>
  <si>
    <t>Juliette Binot</t>
  </si>
  <si>
    <t>BinotJ@confassis.com</t>
  </si>
  <si>
    <t>Antoine Fleur</t>
  </si>
  <si>
    <t>FleurA@confassis.com</t>
  </si>
  <si>
    <t>Georges Clonet</t>
  </si>
  <si>
    <t>ClonetG@confassis.com</t>
  </si>
  <si>
    <t>Utilisateurs CMRL</t>
  </si>
  <si>
    <t>1.5</t>
  </si>
  <si>
    <t>1.6</t>
  </si>
  <si>
    <t>1.7</t>
  </si>
  <si>
    <t>1.8</t>
  </si>
  <si>
    <t>1.9</t>
  </si>
  <si>
    <t>1.1-1.7</t>
  </si>
  <si>
    <t>2.1-2.6</t>
  </si>
  <si>
    <t>2.1-2.7</t>
  </si>
  <si>
    <t>Bernard Dupuis</t>
  </si>
  <si>
    <t>3.6</t>
  </si>
  <si>
    <t>3.7</t>
  </si>
  <si>
    <t>3.8</t>
  </si>
  <si>
    <t>3.9</t>
  </si>
  <si>
    <t>3.10</t>
  </si>
  <si>
    <t>3.11</t>
  </si>
  <si>
    <t>3.12</t>
  </si>
  <si>
    <t>3.13</t>
  </si>
  <si>
    <t>3.14</t>
  </si>
  <si>
    <t>3.15</t>
  </si>
  <si>
    <t>3.16</t>
  </si>
  <si>
    <t>3.17</t>
  </si>
  <si>
    <t>3.18</t>
  </si>
  <si>
    <t>3.19</t>
  </si>
  <si>
    <t>2.7</t>
  </si>
  <si>
    <t>2.8</t>
  </si>
  <si>
    <t>2.9</t>
  </si>
  <si>
    <t>2.10</t>
  </si>
  <si>
    <t>3.1-3.11</t>
  </si>
  <si>
    <t>4.6</t>
  </si>
  <si>
    <t>4.7</t>
  </si>
  <si>
    <t>4.8</t>
  </si>
  <si>
    <t>4.9</t>
  </si>
  <si>
    <t>4.10</t>
  </si>
  <si>
    <t>4.11</t>
  </si>
  <si>
    <t>4.12</t>
  </si>
  <si>
    <t>4.13</t>
  </si>
  <si>
    <t>4.14</t>
  </si>
  <si>
    <t>4.15</t>
  </si>
  <si>
    <t>4.16</t>
  </si>
  <si>
    <t>4.17</t>
  </si>
  <si>
    <t>4.18</t>
  </si>
  <si>
    <t>4.19</t>
  </si>
  <si>
    <t>4.1-4.17</t>
  </si>
  <si>
    <t>4.20</t>
  </si>
  <si>
    <t>4.21</t>
  </si>
  <si>
    <t>4.22</t>
  </si>
  <si>
    <t>4.23</t>
  </si>
  <si>
    <t>4.24</t>
  </si>
  <si>
    <t>4.18-4.23</t>
  </si>
  <si>
    <t>4.25</t>
  </si>
  <si>
    <t>4.26</t>
  </si>
  <si>
    <t>4.27</t>
  </si>
  <si>
    <t>4.28</t>
  </si>
  <si>
    <t>4.29</t>
  </si>
  <si>
    <t>4.30</t>
  </si>
  <si>
    <t>4.31</t>
  </si>
  <si>
    <t>4.32</t>
  </si>
  <si>
    <t>4.33</t>
  </si>
  <si>
    <t>4.34</t>
  </si>
  <si>
    <t>4.35</t>
  </si>
  <si>
    <t>4.36</t>
  </si>
  <si>
    <t>4.37</t>
  </si>
  <si>
    <t>4.38</t>
  </si>
  <si>
    <t>4.39</t>
  </si>
  <si>
    <t>4.40</t>
  </si>
  <si>
    <t>4.24-4.39</t>
  </si>
  <si>
    <t>4.41</t>
  </si>
  <si>
    <t>4.42</t>
  </si>
  <si>
    <t>4.43</t>
  </si>
  <si>
    <t>4.44</t>
  </si>
  <si>
    <t>4.45</t>
  </si>
  <si>
    <t>4.46</t>
  </si>
  <si>
    <t>4.47</t>
  </si>
  <si>
    <t>4.48</t>
  </si>
  <si>
    <t>4.49</t>
  </si>
  <si>
    <t>4.50</t>
  </si>
  <si>
    <t>4.51</t>
  </si>
  <si>
    <t>4.52</t>
  </si>
  <si>
    <t>4.53</t>
  </si>
  <si>
    <t>4.54</t>
  </si>
  <si>
    <t>4.55</t>
  </si>
  <si>
    <t>4.56</t>
  </si>
  <si>
    <t>4.57</t>
  </si>
  <si>
    <t>4.58</t>
  </si>
  <si>
    <t>4.40-4.57</t>
  </si>
  <si>
    <t>4.59</t>
  </si>
  <si>
    <t>Comité de Direction</t>
  </si>
  <si>
    <t>4.60</t>
  </si>
  <si>
    <t>TOUS</t>
  </si>
  <si>
    <t>4.61</t>
  </si>
  <si>
    <t>4.62</t>
  </si>
  <si>
    <t>4.63</t>
  </si>
  <si>
    <t>4.64</t>
  </si>
  <si>
    <t>4.65</t>
  </si>
  <si>
    <t>4.66</t>
  </si>
  <si>
    <t>4.67</t>
  </si>
  <si>
    <t>4.68</t>
  </si>
  <si>
    <t>4.69</t>
  </si>
  <si>
    <t>4.70</t>
  </si>
  <si>
    <t>4.71</t>
  </si>
  <si>
    <t>4.72</t>
  </si>
  <si>
    <t>4.73</t>
  </si>
  <si>
    <t>4.74</t>
  </si>
  <si>
    <t>4.75</t>
  </si>
  <si>
    <t>4.76</t>
  </si>
  <si>
    <t>4.77</t>
  </si>
  <si>
    <t>4.78</t>
  </si>
  <si>
    <t>4.79</t>
  </si>
  <si>
    <t>4.80</t>
  </si>
  <si>
    <t>4.61-4.79</t>
  </si>
  <si>
    <t>4.81</t>
  </si>
  <si>
    <t>4.61-4.80</t>
  </si>
  <si>
    <t>4.82</t>
  </si>
  <si>
    <t>4.91</t>
  </si>
  <si>
    <t>5.6</t>
  </si>
  <si>
    <t>5.7</t>
  </si>
  <si>
    <t>5.8</t>
  </si>
  <si>
    <t>5.9</t>
  </si>
  <si>
    <t>5.10</t>
  </si>
  <si>
    <t>5.11</t>
  </si>
  <si>
    <t>5.12</t>
  </si>
  <si>
    <t>5.13</t>
  </si>
  <si>
    <t>5.14</t>
  </si>
  <si>
    <t>5.1-5.13</t>
  </si>
  <si>
    <t>3</t>
  </si>
  <si>
    <t xml:space="preserve">Here you notice that the column "Names" (column C) is the 3rd column on the left. So if you add a column, you'll need to adjust its order on the table of the "Settings" sheet.
So, if you add a column to its left, the "Names column" should have the number 4 instead of 3 in the settings because there has been a shift of one column. </t>
  </si>
  <si>
    <t xml:space="preserve">If you add a column before the "Names" column, you shift the other columns that follow a certain order. Because of this, you will have to update the order number of the existing column in the "Settings" sheet for the macro to work better. This is what it looks like:											</t>
  </si>
  <si>
    <t>Adding a column in the "resources" sheet</t>
  </si>
  <si>
    <r>
      <rPr>
        <u/>
        <sz val="12"/>
        <color rgb="FFFF0000"/>
        <rFont val="Candara"/>
        <family val="2"/>
      </rPr>
      <t>Caution</t>
    </r>
    <r>
      <rPr>
        <sz val="12"/>
        <rFont val="Candara"/>
        <family val="2"/>
      </rPr>
      <t>: If you are planning simultaneous or overlapping tasks, consider modifying the deadline manually so that the resource is not overbooked.</t>
    </r>
  </si>
  <si>
    <t>If you want to change a label, you need to replace the existing label with the new one.</t>
  </si>
  <si>
    <t>4. Complete the line manually (resources, start, duration). For the "deadline", you must copy the upper field and paste it into the new field to follow the automatic calculation. Then enter the percentage of progress manually.</t>
  </si>
  <si>
    <t>3. Create the task dependency by noting the parent task ID</t>
  </si>
  <si>
    <t>2. Insert a line where you want to add a task</t>
  </si>
  <si>
    <t>1. Go to the "workload plan" sheet</t>
  </si>
  <si>
    <t>Adding a task</t>
  </si>
  <si>
    <t>"Workload plan" sheet</t>
  </si>
  <si>
    <t>In order to add a row at the bottom of the table, just copy the last row and paste it just below.</t>
  </si>
  <si>
    <t>Adding a row</t>
  </si>
  <si>
    <t>"Resources" sheet</t>
  </si>
  <si>
    <t>II. Template customization</t>
  </si>
  <si>
    <t>You can use the bar to scroll through the weeks or change the week number to display it directly:</t>
  </si>
  <si>
    <t>Based on this information, the schedule is automatically drawn up</t>
  </si>
  <si>
    <t>Enter the % progress of the task. By default the progress is 0%. The cell is colored automatically according to the progress</t>
  </si>
  <si>
    <t>This information is calculated automatically based on the start date and the duration</t>
  </si>
  <si>
    <t>Enter the duration of the task in days, taking into account only working days</t>
  </si>
  <si>
    <t>Duration / day:</t>
  </si>
  <si>
    <t>Enter the start date of the task</t>
  </si>
  <si>
    <t>Start</t>
  </si>
  <si>
    <t>Fill in a comment if necessary</t>
  </si>
  <si>
    <t>Comments:</t>
  </si>
  <si>
    <t>Choose the resource from the drop-down menu. (this list is entered in the "Resources" sheet).
You can therefore add a name, by going to the "resources" sheet, then copy the last row (L21) and paste it just below.</t>
  </si>
  <si>
    <t>Assigned to:</t>
  </si>
  <si>
    <t>Put the ID of the tasks / activities that this task has a dependency on.</t>
  </si>
  <si>
    <t>Addiction:</t>
  </si>
  <si>
    <t>Fill in the name of the task or activity. Please refer to the detailed project schedule for the complete list of tasks.</t>
  </si>
  <si>
    <t>Activity / Task:</t>
  </si>
  <si>
    <t>Fill in the ID of your task / activity taking into account its level in the WBS</t>
  </si>
  <si>
    <t>This is the WBS for your project.</t>
  </si>
  <si>
    <t>2. Complete the "Workload program" sheet as follows:</t>
  </si>
  <si>
    <t>Enter the number of days off for your resource. The leave taken should no longer appear in column M. In other words, note only the number of days of leave remaining, so that the availability is up to date.</t>
  </si>
  <si>
    <t>Leave</t>
  </si>
  <si>
    <t>This cell is colored in orange when the resource is underloaded, in red when it is overloaded and in green when the load is at 100%</t>
  </si>
  <si>
    <t>This is the workload of your resource. It is calculated automatically based on daytime availability and on the planned days.</t>
  </si>
  <si>
    <t>Charged:</t>
  </si>
  <si>
    <t>This cell is calculated automatically according to the assignments made in the "Workload plan" sheet.</t>
  </si>
  <si>
    <t>Planned days:</t>
  </si>
  <si>
    <t>This cell is calculated automatically based on the start and end dates of the assignment and the days of leave entered.</t>
  </si>
  <si>
    <t>Available during the day:</t>
  </si>
  <si>
    <t>Enter the end date of your resource's assignment to the project</t>
  </si>
  <si>
    <t>To:</t>
  </si>
  <si>
    <t>Enter the date from which your resource was assigned to the project</t>
  </si>
  <si>
    <t>from:</t>
  </si>
  <si>
    <t>Enter the % assignment of this resource to the project (ex: a resource that is available at 50%, means that it is assigned part-time to the project)</t>
  </si>
  <si>
    <t>Availability (%):</t>
  </si>
  <si>
    <t>Fill in the name of the resource</t>
  </si>
  <si>
    <t>Last name:</t>
  </si>
  <si>
    <t>Enter an identifier per resource</t>
  </si>
  <si>
    <t>1. Fill in the "Resources" sheet as follows:</t>
  </si>
  <si>
    <t>I. How to use the file</t>
  </si>
  <si>
    <t>Using the workload program template</t>
  </si>
  <si>
    <t>ALL</t>
  </si>
  <si>
    <t>Steering committee</t>
  </si>
  <si>
    <t>Testers and validators</t>
  </si>
  <si>
    <t>CMRL Users</t>
  </si>
  <si>
    <t>Production coordinator</t>
  </si>
  <si>
    <t>Master Data Expert</t>
  </si>
  <si>
    <t>SAP Logistics Expert</t>
  </si>
  <si>
    <t>SAP Purchasing Expert</t>
  </si>
  <si>
    <t>SAP Sales Expert</t>
  </si>
  <si>
    <t>SAP Finance Fixed Assets expert</t>
  </si>
  <si>
    <t>SAP Finance FI / CO expert</t>
  </si>
  <si>
    <t xml:space="preserve">change manager </t>
  </si>
  <si>
    <t>IT manager</t>
  </si>
  <si>
    <t>Logistics Coordinator</t>
  </si>
  <si>
    <t>Purchasing Coordinator</t>
  </si>
  <si>
    <t>Sales Coordinator</t>
  </si>
  <si>
    <t>Finance Coordinator</t>
  </si>
  <si>
    <t>Integration Manager</t>
  </si>
  <si>
    <t>Project Manager</t>
  </si>
  <si>
    <t>Holiday</t>
  </si>
  <si>
    <t>Workload %</t>
  </si>
  <si>
    <t>Scheduled days</t>
  </si>
  <si>
    <t>Available in days</t>
  </si>
  <si>
    <t>Availability (%)</t>
  </si>
  <si>
    <t>Phone</t>
  </si>
  <si>
    <t>E-mail address</t>
  </si>
  <si>
    <t>Position</t>
  </si>
  <si>
    <t>Name</t>
  </si>
  <si>
    <t>Overloaded resource</t>
  </si>
  <si>
    <t>Resource underloaded</t>
  </si>
  <si>
    <t>Marketing/ Society XY</t>
  </si>
  <si>
    <t>Service/Organization</t>
  </si>
  <si>
    <t>Version N°</t>
  </si>
  <si>
    <t>Project manager</t>
  </si>
  <si>
    <t>Version date</t>
  </si>
  <si>
    <t>Program PG01/Portfolio PF02</t>
  </si>
  <si>
    <t>Reference</t>
  </si>
  <si>
    <t>Creation date</t>
  </si>
  <si>
    <t>Project 1/ABC</t>
  </si>
  <si>
    <t>Name / Project Code</t>
  </si>
  <si>
    <t>Header line of the resources table</t>
  </si>
  <si>
    <t>Name column</t>
  </si>
  <si>
    <t>Activity / task</t>
  </si>
  <si>
    <t>Dependency</t>
  </si>
  <si>
    <t>Attributed to</t>
  </si>
  <si>
    <t>Comments</t>
  </si>
  <si>
    <t>Progress</t>
  </si>
  <si>
    <t>SAP implementation at the Lille Regional Assembly Center</t>
  </si>
  <si>
    <t>Initiation</t>
  </si>
  <si>
    <t>Opportunity study and approval</t>
  </si>
  <si>
    <t>Preparation of the Project Charter - Justification</t>
  </si>
  <si>
    <t>Estimated costs / functional deadlines Finances</t>
  </si>
  <si>
    <t>Estimated costs / functional deadlines Sales</t>
  </si>
  <si>
    <t>Estimated costs / functional deadlines Purchasing</t>
  </si>
  <si>
    <t>Estimated costs / functional deadlines Logistics</t>
  </si>
  <si>
    <t>Estimated time / resources Infrastructure</t>
  </si>
  <si>
    <t>Estimated costs / functional deadlines Production</t>
  </si>
  <si>
    <t>Drafting of the Project Charter</t>
  </si>
  <si>
    <t>Approval of the Project Charter</t>
  </si>
  <si>
    <t>Planning</t>
  </si>
  <si>
    <t>General Finance design</t>
  </si>
  <si>
    <t>General design Sales</t>
  </si>
  <si>
    <t>General purchasing design</t>
  </si>
  <si>
    <t>General Logistics Design</t>
  </si>
  <si>
    <t>General design Infrastructure</t>
  </si>
  <si>
    <t>General design Production</t>
  </si>
  <si>
    <t>Drafting specifications</t>
  </si>
  <si>
    <t>Communication plan</t>
  </si>
  <si>
    <t>Approval of Specifications, Communication Plan, Project Plan and Schedule</t>
  </si>
  <si>
    <t>Execution</t>
  </si>
  <si>
    <t>FI / CO configuration and unit tests</t>
  </si>
  <si>
    <t>Parameterization and unit tests Fixed assets</t>
  </si>
  <si>
    <t>Purchasing configuration and unit tests</t>
  </si>
  <si>
    <t>Ariba and Ariba configuration and unit tests</t>
  </si>
  <si>
    <t>SD configuration and unit tests</t>
  </si>
  <si>
    <t>MM setup and unit tests</t>
  </si>
  <si>
    <t>Export and Reporting configuration and unit tests</t>
  </si>
  <si>
    <t>Master Data settings and corrections</t>
  </si>
  <si>
    <t>Parameter setting, programming and production test</t>
  </si>
  <si>
    <t>Coordination of execution and finance tests</t>
  </si>
  <si>
    <t>Coordination of production and sales tests</t>
  </si>
  <si>
    <t>Coordination of production and purchasing tests</t>
  </si>
  <si>
    <t>Coordination of production and logistics tests</t>
  </si>
  <si>
    <t>Coordination of production and production tests</t>
  </si>
  <si>
    <t>System tests, corrections and validation</t>
  </si>
  <si>
    <t>Official validation by users</t>
  </si>
  <si>
    <t>Validation of the phase by the management committee</t>
  </si>
  <si>
    <t>Control and monitoring</t>
  </si>
  <si>
    <t>FI / CO integration and consolidation tests</t>
  </si>
  <si>
    <t>Integration and consolidation tests Fixed assets</t>
  </si>
  <si>
    <t>Purchasing integration and consolidation tests</t>
  </si>
  <si>
    <t>Ariba and Ariba integration and consolidation tests</t>
  </si>
  <si>
    <t>SD integration and consolidation tests</t>
  </si>
  <si>
    <t>MM integration and consolidation tests</t>
  </si>
  <si>
    <t>Integration and consolidation tests Export and Reporting</t>
  </si>
  <si>
    <t>Master Data integration and consolidation tests</t>
  </si>
  <si>
    <t>Integration and consolidation tests Production</t>
  </si>
  <si>
    <t>Coordination of financial integration and consolidation tests</t>
  </si>
  <si>
    <t>Coordination of integration and consolidation tests Sales</t>
  </si>
  <si>
    <t>Coordination of integration and consolidation tests Purchasing</t>
  </si>
  <si>
    <t>Coordination of integration and consolidation tests Logistics</t>
  </si>
  <si>
    <t>Coordination of integration and consolidation tests Production</t>
  </si>
  <si>
    <t>Integration and consolidation tests, system validation</t>
  </si>
  <si>
    <t>User training</t>
  </si>
  <si>
    <t>Preparation and validation of pre-production environment</t>
  </si>
  <si>
    <t>Deployment</t>
  </si>
  <si>
    <t>Failover and validation</t>
  </si>
  <si>
    <t>Master Data validation</t>
  </si>
  <si>
    <t>User validation</t>
  </si>
  <si>
    <t>Productive start-up decision</t>
  </si>
  <si>
    <t>Productive start</t>
  </si>
  <si>
    <t>Monitoring of proper functioning, documentation and corrections</t>
  </si>
  <si>
    <t>Master Data Corrections</t>
  </si>
  <si>
    <t>User tracking</t>
  </si>
  <si>
    <t>Closing November</t>
  </si>
  <si>
    <t>Closing December</t>
  </si>
  <si>
    <t>PV Acknowledgment of receipt</t>
  </si>
  <si>
    <t>Closing</t>
  </si>
  <si>
    <t>List of financial corrections</t>
  </si>
  <si>
    <t>List of sales corrections</t>
  </si>
  <si>
    <t>List of Purchasing corrections</t>
  </si>
  <si>
    <t>List of Logistics Corrections</t>
  </si>
  <si>
    <t>List of production corrections</t>
  </si>
  <si>
    <t>Documentation Lessons Learned Finance</t>
  </si>
  <si>
    <t>Documentation Lessons Learned Sales</t>
  </si>
  <si>
    <t>Documentation lessons learned Purchasing</t>
  </si>
  <si>
    <t>Documentation lessons learned Logistics</t>
  </si>
  <si>
    <t>Documentation lessons learned CMRL</t>
  </si>
  <si>
    <t>Documentation lessons learned Project</t>
  </si>
  <si>
    <t>Correction plan</t>
  </si>
  <si>
    <t>Decommissioning old systems</t>
  </si>
  <si>
    <t>Closing meeting</t>
  </si>
  <si>
    <t>Co-author Olivier Robespierre (Sponsor)</t>
  </si>
  <si>
    <t>Special Steering Committee</t>
  </si>
  <si>
    <t>Participation of the project manager</t>
  </si>
  <si>
    <t>In team with SAP coordinators</t>
  </si>
  <si>
    <t>Steering committee and management committee</t>
  </si>
  <si>
    <t>Plan to be developed with the coordinators</t>
  </si>
  <si>
    <t>Video conference with decision makers</t>
  </si>
  <si>
    <t>Special meetings</t>
  </si>
  <si>
    <t>Out of Scope</t>
  </si>
  <si>
    <t xml:space="preserve">Name /project Code </t>
  </si>
  <si>
    <t xml:space="preserve"> Creation date</t>
  </si>
  <si>
    <t>Start date</t>
  </si>
  <si>
    <t>Planned finish date</t>
  </si>
  <si>
    <t>Estimated finish date</t>
  </si>
  <si>
    <t>Project progress estimate</t>
  </si>
  <si>
    <t>July-2022</t>
  </si>
  <si>
    <t>Aug-2022</t>
  </si>
  <si>
    <t>Sep-2022</t>
  </si>
  <si>
    <t>Oct-2022</t>
  </si>
  <si>
    <t>Nov-2022</t>
  </si>
  <si>
    <t>Dec-2022</t>
  </si>
  <si>
    <t>Jan-2022</t>
  </si>
  <si>
    <t>Feb-2022</t>
  </si>
  <si>
    <t>Mar-2022</t>
  </si>
  <si>
    <t>Apr-2022</t>
  </si>
  <si>
    <t>May-2022</t>
  </si>
  <si>
    <t>June-2022</t>
  </si>
  <si>
    <t>Project start date:</t>
  </si>
  <si>
    <t>Enter the start date of your project. The calendar will be updated upon changing the project start date,</t>
  </si>
  <si>
    <t>Time scale:</t>
  </si>
  <si>
    <t>Note that you can display more weeks by using the right and left scroll. You can also change the time scale from "days" to "week" to "month":</t>
  </si>
  <si>
    <t>You can also highlight the current date by clicking on the green button, regardless of your progress in time:</t>
  </si>
  <si>
    <t>Progress:</t>
  </si>
  <si>
    <t>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</si>
</sst>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dd/mm/yy;@"/>
    <numFmt numFmtId="165" formatCode="#&quot; &quot;00&quot; &quot;00&quot; &quot;00"/>
    <numFmt numFmtId="166" formatCode="#&quot; + &quot;?/4"/>
    <numFmt numFmtId="167" formatCode="0.0"/>
    <numFmt numFmtId="168" formatCode=";;;"/>
    <numFmt numFmtId="169" formatCode="yyyy\-mm\-dd;@"/>
  </numFmts>
  <fonts count="42" x14ac:knownFonts="1">
    <font>
      <sz val="11"/>
      <color theme="1"/>
      <name val="Calibri"/>
      <family val="2"/>
      <scheme val="minor"/>
    </font>
    <font>
      <sz val="11"/>
      <color theme="1"/>
      <name val="Calibri"/>
      <family val="2"/>
      <scheme val="minor"/>
    </font>
    <font>
      <u/>
      <sz val="12"/>
      <color theme="10"/>
      <name val="Calibri"/>
      <family val="2"/>
      <scheme val="minor"/>
    </font>
    <font>
      <sz val="9"/>
      <color theme="1"/>
      <name val="Arial"/>
      <family val="2"/>
    </font>
    <font>
      <sz val="9"/>
      <name val="Arial"/>
      <family val="2"/>
    </font>
    <font>
      <sz val="8"/>
      <name val="Calibri"/>
      <family val="2"/>
      <scheme val="minor"/>
    </font>
    <font>
      <sz val="11"/>
      <name val="Candara"/>
      <family val="2"/>
    </font>
    <font>
      <b/>
      <sz val="9"/>
      <color theme="1"/>
      <name val="Candara"/>
      <family val="2"/>
    </font>
    <font>
      <b/>
      <sz val="9"/>
      <name val="Candara"/>
      <family val="2"/>
    </font>
    <font>
      <sz val="11"/>
      <color theme="1"/>
      <name val="Candara"/>
      <family val="2"/>
    </font>
    <font>
      <b/>
      <sz val="20"/>
      <color rgb="FF62BD8A"/>
      <name val="Candara"/>
      <family val="2"/>
    </font>
    <font>
      <b/>
      <sz val="16"/>
      <color rgb="FF62BD8A"/>
      <name val="Candara"/>
      <family val="2"/>
    </font>
    <font>
      <b/>
      <sz val="18"/>
      <color rgb="FF62BD8A"/>
      <name val="Candara"/>
      <family val="2"/>
    </font>
    <font>
      <b/>
      <sz val="12"/>
      <color rgb="FF439B69"/>
      <name val="Candara"/>
      <family val="2"/>
    </font>
    <font>
      <b/>
      <sz val="11"/>
      <color theme="1"/>
      <name val="Candara"/>
      <family val="2"/>
    </font>
    <font>
      <sz val="11"/>
      <color rgb="FFFF0000"/>
      <name val="Candara"/>
      <family val="2"/>
    </font>
    <font>
      <sz val="14"/>
      <color rgb="FFFF0000"/>
      <name val="Calibri"/>
      <family val="2"/>
    </font>
    <font>
      <b/>
      <sz val="11"/>
      <color rgb="FF000000"/>
      <name val="Calibri"/>
      <family val="2"/>
    </font>
    <font>
      <sz val="11"/>
      <color rgb="FF000000"/>
      <name val="Calibri"/>
      <family val="2"/>
    </font>
    <font>
      <b/>
      <sz val="11"/>
      <color rgb="FF439B69"/>
      <name val="Candara"/>
      <family val="2"/>
    </font>
    <font>
      <b/>
      <sz val="11"/>
      <color rgb="FF62BD8A"/>
      <name val="Candara"/>
      <family val="2"/>
    </font>
    <font>
      <sz val="11"/>
      <color rgb="FF439B69"/>
      <name val="Candara"/>
      <family val="2"/>
    </font>
    <font>
      <b/>
      <sz val="8"/>
      <name val="Arial"/>
      <family val="2"/>
    </font>
    <font>
      <b/>
      <sz val="10"/>
      <color rgb="FF000000"/>
      <name val="Calibri"/>
      <family val="2"/>
    </font>
    <font>
      <b/>
      <sz val="10"/>
      <color theme="0"/>
      <name val="Calibri"/>
      <family val="2"/>
    </font>
    <font>
      <b/>
      <sz val="18"/>
      <color theme="1"/>
      <name val="Candara"/>
      <family val="2"/>
    </font>
    <font>
      <sz val="12"/>
      <color theme="1"/>
      <name val="Candara"/>
      <family val="2"/>
    </font>
    <font>
      <b/>
      <sz val="12"/>
      <color theme="1"/>
      <name val="Candara"/>
      <family val="2"/>
    </font>
    <font>
      <sz val="12"/>
      <color rgb="FF000000"/>
      <name val="Candara"/>
      <family val="2"/>
    </font>
    <font>
      <b/>
      <sz val="12"/>
      <color rgb="FF000000"/>
      <name val="Candara"/>
      <family val="2"/>
    </font>
    <font>
      <b/>
      <sz val="11"/>
      <name val="Calibri"/>
      <family val="2"/>
      <scheme val="minor"/>
    </font>
    <font>
      <b/>
      <sz val="16"/>
      <color theme="1"/>
      <name val="Candara"/>
      <family val="2"/>
    </font>
    <font>
      <sz val="11"/>
      <color rgb="FF000000"/>
      <name val="Candara"/>
      <family val="2"/>
    </font>
    <font>
      <b/>
      <sz val="11"/>
      <color rgb="FF000000"/>
      <name val="Candara"/>
      <family val="2"/>
    </font>
    <font>
      <b/>
      <sz val="14"/>
      <color theme="1"/>
      <name val="Candara"/>
      <family val="2"/>
    </font>
    <font>
      <sz val="11"/>
      <color rgb="FFC00000"/>
      <name val="Candara"/>
      <family val="2"/>
    </font>
    <font>
      <sz val="8"/>
      <name val="Arial"/>
      <family val="2"/>
    </font>
    <font>
      <sz val="8"/>
      <color rgb="FFFFFFFF"/>
      <name val="Calibri"/>
      <family val="2"/>
      <scheme val="minor"/>
    </font>
    <font>
      <sz val="8"/>
      <color rgb="FF000000"/>
      <name val="Segoe UI"/>
      <family val="2"/>
    </font>
    <font>
      <sz val="12"/>
      <name val="Candara"/>
      <family val="2"/>
    </font>
    <font>
      <u/>
      <sz val="12"/>
      <color rgb="FFFF0000"/>
      <name val="Candara"/>
      <family val="2"/>
    </font>
    <font>
      <sz val="11"/>
      <color rgb="FF00000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62BD8A"/>
        <bgColor indexed="64"/>
      </patternFill>
    </fill>
    <fill>
      <patternFill patternType="solid">
        <fgColor theme="2" tint="-9.9978637043366805E-2"/>
        <bgColor indexed="64"/>
      </patternFill>
    </fill>
    <fill>
      <patternFill patternType="solid">
        <fgColor rgb="FF439B69"/>
        <bgColor indexed="64"/>
      </patternFill>
    </fill>
    <fill>
      <patternFill patternType="solid">
        <fgColor rgb="FFFF0000"/>
        <bgColor indexed="64"/>
      </patternFill>
    </fill>
    <fill>
      <patternFill patternType="solid">
        <fgColor rgb="FFFFC000"/>
        <bgColor indexed="64"/>
      </patternFill>
    </fill>
    <fill>
      <patternFill patternType="solid">
        <fgColor theme="0" tint="-4.9989318521683403E-2"/>
        <bgColor indexed="64"/>
      </patternFill>
    </fill>
  </fills>
  <borders count="52">
    <border>
      <left/>
      <right/>
      <top/>
      <bottom/>
      <diagonal/>
    </border>
    <border>
      <left style="thin">
        <color theme="1"/>
      </left>
      <right/>
      <top/>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rgb="FF62BD8A"/>
      </left>
      <right style="thin">
        <color rgb="FF62BD8A"/>
      </right>
      <top style="thin">
        <color rgb="FF62BD8A"/>
      </top>
      <bottom style="thin">
        <color rgb="FF62BD8A"/>
      </bottom>
      <diagonal/>
    </border>
    <border>
      <left/>
      <right style="thin">
        <color rgb="FF62BD8A"/>
      </right>
      <top style="thin">
        <color rgb="FF62BD8A"/>
      </top>
      <bottom style="thin">
        <color rgb="FF62BD8A"/>
      </bottom>
      <diagonal/>
    </border>
    <border>
      <left/>
      <right/>
      <top style="thin">
        <color rgb="FF62BD8A"/>
      </top>
      <bottom style="thin">
        <color rgb="FF62BD8A"/>
      </bottom>
      <diagonal/>
    </border>
    <border>
      <left/>
      <right style="thin">
        <color rgb="FF62BD8A"/>
      </right>
      <top/>
      <bottom style="thin">
        <color rgb="FF439B69"/>
      </bottom>
      <diagonal/>
    </border>
    <border>
      <left/>
      <right/>
      <top/>
      <bottom style="thin">
        <color rgb="FF439B69"/>
      </bottom>
      <diagonal/>
    </border>
    <border>
      <left/>
      <right/>
      <top style="thin">
        <color rgb="FF439B69"/>
      </top>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style="thin">
        <color rgb="FF62BD8A"/>
      </left>
      <right/>
      <top style="thin">
        <color rgb="FF62BD8A"/>
      </top>
      <bottom style="thin">
        <color rgb="FF62BD8A"/>
      </bottom>
      <diagonal/>
    </border>
    <border>
      <left style="medium">
        <color rgb="FF439B69"/>
      </left>
      <right/>
      <top style="medium">
        <color rgb="FF439B69"/>
      </top>
      <bottom style="thin">
        <color theme="1"/>
      </bottom>
      <diagonal/>
    </border>
    <border>
      <left/>
      <right/>
      <top style="medium">
        <color rgb="FF439B69"/>
      </top>
      <bottom style="thin">
        <color theme="1"/>
      </bottom>
      <diagonal/>
    </border>
    <border>
      <left/>
      <right style="medium">
        <color rgb="FF439B69"/>
      </right>
      <top style="medium">
        <color rgb="FF439B69"/>
      </top>
      <bottom style="thin">
        <color theme="1"/>
      </bottom>
      <diagonal/>
    </border>
    <border>
      <left style="medium">
        <color rgb="FF439B69"/>
      </left>
      <right/>
      <top style="thin">
        <color theme="1"/>
      </top>
      <bottom style="thin">
        <color theme="1"/>
      </bottom>
      <diagonal/>
    </border>
    <border>
      <left/>
      <right style="medium">
        <color rgb="FF439B69"/>
      </right>
      <top style="thin">
        <color theme="1"/>
      </top>
      <bottom style="thin">
        <color theme="1"/>
      </bottom>
      <diagonal/>
    </border>
    <border>
      <left style="medium">
        <color rgb="FF439B69"/>
      </left>
      <right/>
      <top style="thin">
        <color theme="1"/>
      </top>
      <bottom style="medium">
        <color rgb="FF439B69"/>
      </bottom>
      <diagonal/>
    </border>
    <border>
      <left/>
      <right/>
      <top style="thin">
        <color theme="1"/>
      </top>
      <bottom style="medium">
        <color rgb="FF439B69"/>
      </bottom>
      <diagonal/>
    </border>
    <border>
      <left/>
      <right style="medium">
        <color rgb="FF439B69"/>
      </right>
      <top style="thin">
        <color theme="1"/>
      </top>
      <bottom style="medium">
        <color rgb="FF439B69"/>
      </bottom>
      <diagonal/>
    </border>
    <border>
      <left/>
      <right style="thin">
        <color theme="0"/>
      </right>
      <top style="thin">
        <color theme="0"/>
      </top>
      <bottom style="thin">
        <color theme="0"/>
      </bottom>
      <diagonal/>
    </border>
    <border>
      <left/>
      <right style="thin">
        <color rgb="FF439B69"/>
      </right>
      <top/>
      <bottom style="thin">
        <color rgb="FF439B69"/>
      </bottom>
      <diagonal/>
    </border>
    <border>
      <left style="thin">
        <color rgb="FF62BD8A"/>
      </left>
      <right/>
      <top/>
      <bottom style="thin">
        <color rgb="FF62BD8A"/>
      </bottom>
      <diagonal/>
    </border>
    <border>
      <left/>
      <right/>
      <top/>
      <bottom style="thin">
        <color rgb="FF62BD8A"/>
      </bottom>
      <diagonal/>
    </border>
    <border>
      <left style="medium">
        <color rgb="FF439B69"/>
      </left>
      <right style="medium">
        <color rgb="FF439B69"/>
      </right>
      <top/>
      <bottom style="medium">
        <color rgb="FF439B69"/>
      </bottom>
      <diagonal/>
    </border>
    <border>
      <left style="medium">
        <color rgb="FF439B69"/>
      </left>
      <right style="thin">
        <color rgb="FF62BD8A"/>
      </right>
      <top style="thin">
        <color rgb="FF62BD8A"/>
      </top>
      <bottom style="thin">
        <color rgb="FF62BD8A"/>
      </bottom>
      <diagonal/>
    </border>
    <border>
      <left style="thin">
        <color rgb="FF62BD8A"/>
      </left>
      <right style="medium">
        <color rgb="FF439B69"/>
      </right>
      <top style="thin">
        <color rgb="FF62BD8A"/>
      </top>
      <bottom style="thin">
        <color rgb="FF62BD8A"/>
      </bottom>
      <diagonal/>
    </border>
    <border>
      <left style="thin">
        <color rgb="FF62BD8A"/>
      </left>
      <right style="thin">
        <color rgb="FF62BD8A"/>
      </right>
      <top style="thin">
        <color rgb="FF62BD8A"/>
      </top>
      <bottom style="medium">
        <color rgb="FF439B69"/>
      </bottom>
      <diagonal/>
    </border>
    <border>
      <left style="thin">
        <color rgb="FF62BD8A"/>
      </left>
      <right style="medium">
        <color rgb="FF439B69"/>
      </right>
      <top style="thin">
        <color rgb="FF62BD8A"/>
      </top>
      <bottom style="medium">
        <color rgb="FF439B69"/>
      </bottom>
      <diagonal/>
    </border>
    <border>
      <left style="thin">
        <color theme="0"/>
      </left>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right/>
      <top style="thin">
        <color rgb="FF439B69"/>
      </top>
      <bottom style="thin">
        <color rgb="FF439B69"/>
      </bottom>
      <diagonal/>
    </border>
    <border>
      <left/>
      <right style="thin">
        <color rgb="FF439B69"/>
      </right>
      <top/>
      <bottom style="thin">
        <color rgb="FF62BD8A"/>
      </bottom>
      <diagonal/>
    </border>
    <border>
      <left style="thin">
        <color rgb="FF439B69"/>
      </left>
      <right style="thin">
        <color rgb="FF62BD8A"/>
      </right>
      <top style="thin">
        <color rgb="FF62BD8A"/>
      </top>
      <bottom style="thin">
        <color rgb="FF62BD8A"/>
      </bottom>
      <diagonal/>
    </border>
    <border>
      <left style="medium">
        <color rgb="FF439B69"/>
      </left>
      <right/>
      <top/>
      <bottom style="thin">
        <color rgb="FF62BD8A"/>
      </bottom>
      <diagonal/>
    </border>
    <border>
      <left/>
      <right style="medium">
        <color rgb="FF439B69"/>
      </right>
      <top/>
      <bottom style="thin">
        <color rgb="FF62BD8A"/>
      </bottom>
      <diagonal/>
    </border>
    <border>
      <left/>
      <right style="medium">
        <color rgb="FF439B69"/>
      </right>
      <top/>
      <bottom/>
      <diagonal/>
    </border>
    <border>
      <left style="medium">
        <color rgb="FF439B69"/>
      </left>
      <right/>
      <top style="medium">
        <color rgb="FF439B69"/>
      </top>
      <bottom/>
      <diagonal/>
    </border>
    <border>
      <left/>
      <right/>
      <top style="medium">
        <color rgb="FF439B69"/>
      </top>
      <bottom/>
      <diagonal/>
    </border>
    <border>
      <left/>
      <right style="medium">
        <color rgb="FF439B69"/>
      </right>
      <top style="medium">
        <color rgb="FF439B69"/>
      </top>
      <bottom/>
      <diagonal/>
    </border>
    <border>
      <left style="medium">
        <color rgb="FF439B69"/>
      </left>
      <right/>
      <top/>
      <bottom style="medium">
        <color rgb="FF439B69"/>
      </bottom>
      <diagonal/>
    </border>
    <border>
      <left/>
      <right/>
      <top/>
      <bottom style="medium">
        <color rgb="FF439B69"/>
      </bottom>
      <diagonal/>
    </border>
    <border>
      <left/>
      <right style="medium">
        <color rgb="FF439B69"/>
      </right>
      <top/>
      <bottom style="medium">
        <color rgb="FF439B69"/>
      </bottom>
      <diagonal/>
    </border>
    <border>
      <left style="medium">
        <color rgb="FF439B69"/>
      </left>
      <right style="thin">
        <color rgb="FF7F7F7F"/>
      </right>
      <top/>
      <bottom/>
      <diagonal/>
    </border>
    <border>
      <left style="thin">
        <color rgb="FF7F7F7F"/>
      </left>
      <right style="thin">
        <color rgb="FF7F7F7F"/>
      </right>
      <top/>
      <bottom/>
      <diagonal/>
    </border>
    <border>
      <left style="thin">
        <color rgb="FF7F7F7F"/>
      </left>
      <right style="medium">
        <color rgb="FF439B69"/>
      </right>
      <top/>
      <bottom/>
      <diagonal/>
    </border>
    <border>
      <left style="medium">
        <color rgb="FF439B69"/>
      </left>
      <right style="thin">
        <color rgb="FF7F7F7F"/>
      </right>
      <top/>
      <bottom style="medium">
        <color rgb="FF439B69"/>
      </bottom>
      <diagonal/>
    </border>
    <border>
      <left style="thin">
        <color rgb="FF7F7F7F"/>
      </left>
      <right style="thin">
        <color rgb="FF7F7F7F"/>
      </right>
      <top/>
      <bottom style="medium">
        <color rgb="FF439B69"/>
      </bottom>
      <diagonal/>
    </border>
    <border>
      <left style="thin">
        <color rgb="FF7F7F7F"/>
      </left>
      <right style="medium">
        <color rgb="FF439B69"/>
      </right>
      <top/>
      <bottom style="medium">
        <color rgb="FF439B69"/>
      </bottom>
      <diagonal/>
    </border>
    <border>
      <left style="medium">
        <color rgb="FF439B69"/>
      </left>
      <right style="medium">
        <color rgb="FF439B69"/>
      </right>
      <top style="medium">
        <color rgb="FF439B69"/>
      </top>
      <bottom/>
      <diagonal/>
    </border>
  </borders>
  <cellStyleXfs count="3">
    <xf numFmtId="0" fontId="0" fillId="0" borderId="0"/>
    <xf numFmtId="9" fontId="1" fillId="0" borderId="0" applyFont="0" applyFill="0" applyBorder="0" applyAlignment="0" applyProtection="0"/>
    <xf numFmtId="0" fontId="2" fillId="0" borderId="0" applyNumberFormat="0" applyFill="0" applyBorder="0" applyAlignment="0" applyProtection="0"/>
  </cellStyleXfs>
  <cellXfs count="175">
    <xf numFmtId="0" fontId="0" fillId="0" borderId="0" xfId="0"/>
    <xf numFmtId="0" fontId="3" fillId="2" borderId="0" xfId="0" applyFont="1" applyFill="1" applyProtection="1">
      <protection locked="0"/>
    </xf>
    <xf numFmtId="0" fontId="3" fillId="2" borderId="0" xfId="0" applyFont="1" applyFill="1"/>
    <xf numFmtId="0" fontId="3" fillId="0" borderId="0" xfId="0" applyFont="1"/>
    <xf numFmtId="0" fontId="4" fillId="2" borderId="2" xfId="0" applyFont="1" applyFill="1" applyBorder="1"/>
    <xf numFmtId="0" fontId="3" fillId="3" borderId="0" xfId="0" applyFont="1" applyFill="1"/>
    <xf numFmtId="0" fontId="3" fillId="0" borderId="1" xfId="0" applyFont="1" applyBorder="1"/>
    <xf numFmtId="0" fontId="4" fillId="2" borderId="2" xfId="0" applyFont="1" applyFill="1" applyBorder="1" applyProtection="1">
      <protection locked="0"/>
    </xf>
    <xf numFmtId="0" fontId="3" fillId="2" borderId="3" xfId="0" applyFont="1" applyFill="1" applyBorder="1" applyProtection="1">
      <protection locked="0"/>
    </xf>
    <xf numFmtId="0" fontId="0" fillId="0" borderId="0" xfId="0" applyAlignment="1">
      <alignment horizontal="center"/>
    </xf>
    <xf numFmtId="0" fontId="3" fillId="0" borderId="3" xfId="0" applyFont="1" applyBorder="1"/>
    <xf numFmtId="0" fontId="0" fillId="2" borderId="0" xfId="0" applyFill="1"/>
    <xf numFmtId="0" fontId="9" fillId="2" borderId="0" xfId="0" applyFont="1" applyFill="1"/>
    <xf numFmtId="0" fontId="10" fillId="2" borderId="0" xfId="0" applyFont="1" applyFill="1" applyAlignment="1">
      <alignment vertical="center"/>
    </xf>
    <xf numFmtId="14" fontId="11" fillId="2" borderId="0" xfId="0" applyNumberFormat="1" applyFont="1" applyFill="1" applyAlignment="1">
      <alignment horizontal="center" vertical="center"/>
    </xf>
    <xf numFmtId="0" fontId="12" fillId="2" borderId="0" xfId="0" applyFont="1" applyFill="1" applyAlignment="1">
      <alignment horizontal="center"/>
    </xf>
    <xf numFmtId="0" fontId="9" fillId="2" borderId="0" xfId="0" applyFont="1" applyFill="1" applyAlignment="1">
      <alignment vertical="center"/>
    </xf>
    <xf numFmtId="0" fontId="13" fillId="2" borderId="0" xfId="0" applyFont="1" applyFill="1" applyAlignment="1">
      <alignment vertical="center"/>
    </xf>
    <xf numFmtId="0" fontId="15" fillId="2" borderId="0" xfId="0" applyFont="1" applyFill="1"/>
    <xf numFmtId="0" fontId="16" fillId="2" borderId="0" xfId="0" applyFont="1" applyFill="1" applyAlignment="1">
      <alignment horizontal="center" vertical="center" wrapText="1" readingOrder="1"/>
    </xf>
    <xf numFmtId="0" fontId="15" fillId="2" borderId="0" xfId="0" applyFont="1" applyFill="1" applyAlignment="1">
      <alignment wrapText="1"/>
    </xf>
    <xf numFmtId="0" fontId="9" fillId="2" borderId="0" xfId="0" applyFont="1" applyFill="1" applyAlignment="1">
      <alignment wrapText="1"/>
    </xf>
    <xf numFmtId="0" fontId="6" fillId="2" borderId="0" xfId="0" applyFont="1" applyFill="1"/>
    <xf numFmtId="0" fontId="17" fillId="2" borderId="5" xfId="0" applyFont="1" applyFill="1" applyBorder="1" applyAlignment="1">
      <alignment horizontal="center" vertical="center" wrapText="1"/>
    </xf>
    <xf numFmtId="0" fontId="19" fillId="2" borderId="0" xfId="0" applyFont="1" applyFill="1" applyAlignment="1">
      <alignment vertical="center"/>
    </xf>
    <xf numFmtId="0" fontId="14" fillId="2" borderId="0" xfId="0" applyFont="1" applyFill="1" applyAlignment="1">
      <alignment vertical="center"/>
    </xf>
    <xf numFmtId="0" fontId="20" fillId="2" borderId="0" xfId="0" applyFont="1" applyFill="1" applyAlignment="1">
      <alignment vertical="center"/>
    </xf>
    <xf numFmtId="0" fontId="21" fillId="2" borderId="0" xfId="0" applyFont="1" applyFill="1" applyAlignment="1">
      <alignment vertical="center"/>
    </xf>
    <xf numFmtId="1" fontId="18" fillId="2" borderId="5" xfId="0" applyNumberFormat="1" applyFont="1" applyFill="1" applyBorder="1" applyAlignment="1">
      <alignment horizontal="center" vertical="center" wrapText="1"/>
    </xf>
    <xf numFmtId="9" fontId="18" fillId="2" borderId="5" xfId="1" applyFont="1" applyFill="1" applyBorder="1" applyAlignment="1">
      <alignment horizontal="center" vertical="center" wrapText="1"/>
    </xf>
    <xf numFmtId="165" fontId="18" fillId="2" borderId="5" xfId="0" applyNumberFormat="1" applyFont="1" applyFill="1" applyBorder="1" applyAlignment="1">
      <alignment horizontal="center" vertical="center" wrapText="1"/>
    </xf>
    <xf numFmtId="166" fontId="18" fillId="2" borderId="5" xfId="0" applyNumberFormat="1" applyFont="1" applyFill="1" applyBorder="1" applyAlignment="1">
      <alignment horizontal="center" vertical="center" wrapText="1"/>
    </xf>
    <xf numFmtId="0" fontId="9" fillId="2" borderId="0" xfId="0" applyFont="1" applyFill="1" applyAlignment="1">
      <alignment horizontal="left"/>
    </xf>
    <xf numFmtId="0" fontId="21" fillId="2" borderId="0" xfId="0" applyFont="1" applyFill="1" applyAlignment="1">
      <alignment horizontal="left" vertical="center"/>
    </xf>
    <xf numFmtId="0" fontId="19" fillId="2" borderId="10" xfId="0" applyFont="1" applyFill="1" applyBorder="1" applyAlignment="1">
      <alignment horizontal="left" vertical="center"/>
    </xf>
    <xf numFmtId="0" fontId="9" fillId="2" borderId="10" xfId="0" applyFont="1" applyFill="1" applyBorder="1" applyAlignment="1">
      <alignment horizontal="left"/>
    </xf>
    <xf numFmtId="0" fontId="2" fillId="2" borderId="5" xfId="2" applyFill="1" applyBorder="1" applyAlignment="1">
      <alignment horizontal="center" vertical="center" wrapText="1"/>
    </xf>
    <xf numFmtId="49" fontId="14" fillId="2" borderId="0" xfId="0" applyNumberFormat="1" applyFont="1" applyFill="1" applyAlignment="1" applyProtection="1">
      <alignment horizontal="center" vertical="center"/>
      <protection locked="0"/>
    </xf>
    <xf numFmtId="0" fontId="19" fillId="2" borderId="0" xfId="0" applyFont="1" applyFill="1" applyAlignment="1">
      <alignment horizontal="center" vertical="center"/>
    </xf>
    <xf numFmtId="0" fontId="9" fillId="2" borderId="0" xfId="0" applyFont="1" applyFill="1" applyAlignment="1">
      <alignment horizontal="center" vertical="center"/>
    </xf>
    <xf numFmtId="0" fontId="17" fillId="6" borderId="5" xfId="0" applyFont="1" applyFill="1" applyBorder="1" applyAlignment="1">
      <alignment horizontal="center" vertical="center" wrapText="1"/>
    </xf>
    <xf numFmtId="0" fontId="2" fillId="6" borderId="5" xfId="2" applyFill="1" applyBorder="1" applyAlignment="1">
      <alignment horizontal="center" vertical="center" wrapText="1"/>
    </xf>
    <xf numFmtId="165" fontId="18" fillId="6" borderId="5" xfId="0" applyNumberFormat="1" applyFont="1" applyFill="1" applyBorder="1" applyAlignment="1">
      <alignment horizontal="center" vertical="center" wrapText="1"/>
    </xf>
    <xf numFmtId="9" fontId="18" fillId="6" borderId="5" xfId="1" applyFont="1" applyFill="1" applyBorder="1" applyAlignment="1">
      <alignment horizontal="center" vertical="center" wrapText="1"/>
    </xf>
    <xf numFmtId="0" fontId="17" fillId="5" borderId="13" xfId="0" applyFont="1" applyFill="1" applyBorder="1" applyAlignment="1">
      <alignment horizontal="center" vertical="center" wrapText="1"/>
    </xf>
    <xf numFmtId="0" fontId="4" fillId="2" borderId="14" xfId="0" applyFont="1" applyFill="1" applyBorder="1"/>
    <xf numFmtId="0" fontId="4" fillId="2" borderId="15" xfId="0" applyFont="1" applyFill="1" applyBorder="1"/>
    <xf numFmtId="0" fontId="4" fillId="2" borderId="15" xfId="0" applyFont="1" applyFill="1" applyBorder="1" applyProtection="1">
      <protection locked="0"/>
    </xf>
    <xf numFmtId="0" fontId="4" fillId="2" borderId="16" xfId="0" applyFont="1" applyFill="1" applyBorder="1" applyProtection="1">
      <protection locked="0"/>
    </xf>
    <xf numFmtId="0" fontId="4" fillId="2" borderId="17" xfId="0" applyFont="1" applyFill="1" applyBorder="1"/>
    <xf numFmtId="0" fontId="4" fillId="2" borderId="18" xfId="0" applyFont="1" applyFill="1" applyBorder="1" applyProtection="1">
      <protection locked="0"/>
    </xf>
    <xf numFmtId="0" fontId="4" fillId="2" borderId="19" xfId="0" applyFont="1" applyFill="1" applyBorder="1"/>
    <xf numFmtId="0" fontId="4" fillId="2" borderId="20" xfId="0" applyFont="1" applyFill="1" applyBorder="1"/>
    <xf numFmtId="0" fontId="4" fillId="2" borderId="20" xfId="0" applyFont="1" applyFill="1" applyBorder="1" applyProtection="1">
      <protection locked="0"/>
    </xf>
    <xf numFmtId="0" fontId="4" fillId="2" borderId="21" xfId="0" applyFont="1" applyFill="1" applyBorder="1" applyProtection="1">
      <protection locked="0"/>
    </xf>
    <xf numFmtId="0" fontId="3" fillId="0" borderId="22" xfId="0" applyFont="1" applyBorder="1"/>
    <xf numFmtId="0" fontId="3" fillId="0" borderId="4" xfId="0" applyFont="1" applyBorder="1"/>
    <xf numFmtId="0" fontId="19" fillId="2" borderId="8" xfId="0" applyFont="1" applyFill="1" applyBorder="1" applyAlignment="1">
      <alignment vertical="center"/>
    </xf>
    <xf numFmtId="0" fontId="17" fillId="6" borderId="27" xfId="0" applyFont="1" applyFill="1" applyBorder="1" applyAlignment="1">
      <alignment horizontal="center" vertical="center" wrapText="1"/>
    </xf>
    <xf numFmtId="0" fontId="17" fillId="2" borderId="27" xfId="0" applyFont="1" applyFill="1" applyBorder="1" applyAlignment="1">
      <alignment horizontal="center" vertical="center" wrapText="1"/>
    </xf>
    <xf numFmtId="0" fontId="17" fillId="2" borderId="29" xfId="0" applyFont="1" applyFill="1" applyBorder="1" applyAlignment="1">
      <alignment horizontal="center" vertical="center" wrapText="1"/>
    </xf>
    <xf numFmtId="0" fontId="2" fillId="2" borderId="29" xfId="2" applyFill="1" applyBorder="1" applyAlignment="1">
      <alignment horizontal="center" vertical="center" wrapText="1"/>
    </xf>
    <xf numFmtId="165" fontId="18" fillId="2" borderId="29" xfId="0" applyNumberFormat="1" applyFont="1" applyFill="1" applyBorder="1" applyAlignment="1">
      <alignment horizontal="center" vertical="center" wrapText="1"/>
    </xf>
    <xf numFmtId="9" fontId="18" fillId="2" borderId="29" xfId="1" applyFont="1" applyFill="1" applyBorder="1" applyAlignment="1">
      <alignment horizontal="center" vertical="center" wrapText="1"/>
    </xf>
    <xf numFmtId="0" fontId="17" fillId="5" borderId="31" xfId="0" applyFont="1" applyFill="1" applyBorder="1" applyAlignment="1">
      <alignment horizontal="center" vertical="center" wrapText="1"/>
    </xf>
    <xf numFmtId="0" fontId="17" fillId="5" borderId="6" xfId="0" applyFont="1" applyFill="1" applyBorder="1" applyAlignment="1">
      <alignment horizontal="center" vertical="center" wrapText="1"/>
    </xf>
    <xf numFmtId="0" fontId="17" fillId="5" borderId="32" xfId="0" applyFont="1" applyFill="1" applyBorder="1" applyAlignment="1">
      <alignment horizontal="center" vertical="center" wrapText="1"/>
    </xf>
    <xf numFmtId="0" fontId="17" fillId="5" borderId="7" xfId="0" applyFont="1" applyFill="1" applyBorder="1" applyAlignment="1">
      <alignment horizontal="center" vertical="center" wrapText="1"/>
    </xf>
    <xf numFmtId="1" fontId="18" fillId="2" borderId="29" xfId="0" applyNumberFormat="1" applyFont="1" applyFill="1" applyBorder="1" applyAlignment="1">
      <alignment horizontal="center" vertical="center" wrapText="1"/>
    </xf>
    <xf numFmtId="9" fontId="23" fillId="6" borderId="28" xfId="1" applyFont="1" applyFill="1" applyBorder="1" applyAlignment="1">
      <alignment horizontal="left" vertical="center" wrapText="1" indent="1"/>
    </xf>
    <xf numFmtId="9" fontId="23" fillId="2" borderId="28" xfId="1" applyFont="1" applyFill="1" applyBorder="1" applyAlignment="1">
      <alignment horizontal="left" vertical="center" wrapText="1" indent="1"/>
    </xf>
    <xf numFmtId="9" fontId="23" fillId="2" borderId="30" xfId="1" applyFont="1" applyFill="1" applyBorder="1" applyAlignment="1">
      <alignment horizontal="left" vertical="center" wrapText="1" indent="1"/>
    </xf>
    <xf numFmtId="9" fontId="23" fillId="2" borderId="26" xfId="1" applyFont="1" applyFill="1" applyBorder="1" applyAlignment="1">
      <alignment horizontal="left" vertical="center" wrapText="1" indent="1"/>
    </xf>
    <xf numFmtId="0" fontId="9" fillId="9" borderId="0" xfId="0" applyFont="1" applyFill="1" applyAlignment="1">
      <alignment vertical="center"/>
    </xf>
    <xf numFmtId="0" fontId="16" fillId="8" borderId="0" xfId="0" applyFont="1" applyFill="1" applyAlignment="1">
      <alignment horizontal="center" vertical="center" wrapText="1" readingOrder="1"/>
    </xf>
    <xf numFmtId="0" fontId="15" fillId="0" borderId="0" xfId="0" applyFont="1"/>
    <xf numFmtId="0" fontId="16" fillId="0" borderId="0" xfId="0" applyFont="1" applyAlignment="1">
      <alignment horizontal="center" vertical="center" wrapText="1" readingOrder="1"/>
    </xf>
    <xf numFmtId="0" fontId="9" fillId="0" borderId="0" xfId="0" applyFont="1" applyAlignment="1">
      <alignment vertical="center"/>
    </xf>
    <xf numFmtId="0" fontId="9" fillId="0" borderId="0" xfId="0" applyFont="1"/>
    <xf numFmtId="167" fontId="18" fillId="2" borderId="5" xfId="0" applyNumberFormat="1" applyFont="1" applyFill="1" applyBorder="1" applyAlignment="1">
      <alignment horizontal="center" vertical="center" wrapText="1"/>
    </xf>
    <xf numFmtId="0" fontId="25" fillId="2" borderId="0" xfId="0" applyFont="1" applyFill="1"/>
    <xf numFmtId="0" fontId="9" fillId="2" borderId="0" xfId="0" applyFont="1" applyFill="1" applyAlignment="1">
      <alignment vertical="top"/>
    </xf>
    <xf numFmtId="0" fontId="9" fillId="0" borderId="0" xfId="0" applyFont="1" applyAlignment="1">
      <alignment vertical="top"/>
    </xf>
    <xf numFmtId="0" fontId="26" fillId="2" borderId="0" xfId="0" applyFont="1" applyFill="1"/>
    <xf numFmtId="0" fontId="27" fillId="2" borderId="0" xfId="0" applyFont="1" applyFill="1"/>
    <xf numFmtId="0" fontId="27" fillId="2" borderId="0" xfId="0" applyFont="1" applyFill="1" applyAlignment="1">
      <alignment vertical="top"/>
    </xf>
    <xf numFmtId="0" fontId="28" fillId="2" borderId="0" xfId="0" applyFont="1" applyFill="1" applyAlignment="1">
      <alignment horizontal="center" vertical="center" wrapText="1" readingOrder="1"/>
    </xf>
    <xf numFmtId="0" fontId="29" fillId="2" borderId="0" xfId="0" applyFont="1" applyFill="1" applyAlignment="1">
      <alignment horizontal="center" vertical="center" wrapText="1" readingOrder="1"/>
    </xf>
    <xf numFmtId="49" fontId="28" fillId="2" borderId="0" xfId="0" applyNumberFormat="1" applyFont="1" applyFill="1" applyAlignment="1">
      <alignment horizontal="center" vertical="center" wrapText="1" readingOrder="1"/>
    </xf>
    <xf numFmtId="49" fontId="29" fillId="2" borderId="0" xfId="0" applyNumberFormat="1" applyFont="1" applyFill="1" applyAlignment="1">
      <alignment horizontal="center" vertical="center" wrapText="1" readingOrder="1"/>
    </xf>
    <xf numFmtId="0" fontId="14" fillId="2" borderId="0" xfId="0" applyFont="1" applyFill="1"/>
    <xf numFmtId="0" fontId="14" fillId="2" borderId="0" xfId="0" applyFont="1" applyFill="1" applyAlignment="1">
      <alignment vertical="top"/>
    </xf>
    <xf numFmtId="0" fontId="14" fillId="2" borderId="0" xfId="0" applyFont="1" applyFill="1" applyAlignment="1">
      <alignment horizontal="left"/>
    </xf>
    <xf numFmtId="0" fontId="30" fillId="0" borderId="0" xfId="0" applyFont="1" applyAlignment="1">
      <alignment horizontal="center" vertical="center"/>
    </xf>
    <xf numFmtId="0" fontId="30" fillId="0" borderId="0" xfId="0" applyFont="1" applyAlignment="1" applyProtection="1">
      <alignment horizontal="center" vertical="center"/>
      <protection locked="0"/>
    </xf>
    <xf numFmtId="0" fontId="19" fillId="2" borderId="25" xfId="0" applyFont="1" applyFill="1" applyBorder="1" applyAlignment="1">
      <alignment vertical="center"/>
    </xf>
    <xf numFmtId="0" fontId="19" fillId="2" borderId="34" xfId="0" applyFont="1" applyFill="1" applyBorder="1" applyAlignment="1">
      <alignment vertical="center"/>
    </xf>
    <xf numFmtId="0" fontId="17" fillId="10" borderId="25" xfId="0" applyFont="1" applyFill="1" applyBorder="1" applyAlignment="1">
      <alignment horizontal="center" vertical="center" wrapText="1"/>
    </xf>
    <xf numFmtId="0" fontId="17" fillId="10" borderId="36" xfId="0" applyFont="1" applyFill="1" applyBorder="1" applyAlignment="1">
      <alignment horizontal="left" vertical="center"/>
    </xf>
    <xf numFmtId="14" fontId="17" fillId="10" borderId="25" xfId="0" applyNumberFormat="1" applyFont="1" applyFill="1" applyBorder="1" applyAlignment="1">
      <alignment horizontal="center" vertical="center" wrapText="1"/>
    </xf>
    <xf numFmtId="14" fontId="18" fillId="6" borderId="5" xfId="1" applyNumberFormat="1" applyFont="1" applyFill="1" applyBorder="1" applyAlignment="1">
      <alignment horizontal="center" vertical="center" wrapText="1"/>
    </xf>
    <xf numFmtId="14" fontId="18" fillId="2" borderId="5" xfId="1" applyNumberFormat="1" applyFont="1" applyFill="1" applyBorder="1" applyAlignment="1">
      <alignment horizontal="center" vertical="center" wrapText="1"/>
    </xf>
    <xf numFmtId="0" fontId="10" fillId="2" borderId="0" xfId="0" applyFont="1" applyFill="1" applyAlignment="1">
      <alignment vertical="center" wrapText="1"/>
    </xf>
    <xf numFmtId="0" fontId="9" fillId="2" borderId="8" xfId="0" applyFont="1" applyFill="1" applyBorder="1" applyAlignment="1">
      <alignment wrapText="1"/>
    </xf>
    <xf numFmtId="49" fontId="14" fillId="2" borderId="0" xfId="0" applyNumberFormat="1" applyFont="1" applyFill="1" applyAlignment="1" applyProtection="1">
      <alignment horizontal="center" vertical="center" wrapText="1"/>
      <protection locked="0"/>
    </xf>
    <xf numFmtId="0" fontId="3" fillId="2" borderId="0" xfId="0" applyFont="1" applyFill="1" applyAlignment="1" applyProtection="1">
      <alignment wrapText="1"/>
      <protection locked="0"/>
    </xf>
    <xf numFmtId="14" fontId="17" fillId="6" borderId="5" xfId="1" applyNumberFormat="1" applyFont="1" applyFill="1" applyBorder="1" applyAlignment="1">
      <alignment horizontal="center" vertical="center" wrapText="1"/>
    </xf>
    <xf numFmtId="0" fontId="17" fillId="6" borderId="5" xfId="1" applyNumberFormat="1" applyFont="1" applyFill="1" applyBorder="1" applyAlignment="1">
      <alignment horizontal="center" vertical="center" wrapText="1"/>
    </xf>
    <xf numFmtId="1" fontId="17" fillId="6" borderId="5" xfId="0" applyNumberFormat="1" applyFont="1" applyFill="1" applyBorder="1" applyAlignment="1">
      <alignment horizontal="center" vertical="center" wrapText="1"/>
    </xf>
    <xf numFmtId="9" fontId="17" fillId="10" borderId="37" xfId="0" applyNumberFormat="1" applyFont="1" applyFill="1" applyBorder="1" applyAlignment="1">
      <alignment horizontal="center" vertical="center" wrapText="1"/>
    </xf>
    <xf numFmtId="49" fontId="32" fillId="2" borderId="0" xfId="0" applyNumberFormat="1" applyFont="1" applyFill="1" applyAlignment="1">
      <alignment horizontal="center" vertical="center" wrapText="1" readingOrder="1"/>
    </xf>
    <xf numFmtId="49" fontId="33" fillId="2" borderId="0" xfId="0" applyNumberFormat="1" applyFont="1" applyFill="1" applyAlignment="1">
      <alignment horizontal="center" vertical="center" wrapText="1" readingOrder="1"/>
    </xf>
    <xf numFmtId="0" fontId="26" fillId="2" borderId="0" xfId="0" applyFont="1" applyFill="1" applyAlignment="1">
      <alignment vertical="top"/>
    </xf>
    <xf numFmtId="0" fontId="26" fillId="0" borderId="0" xfId="0" applyFont="1" applyAlignment="1">
      <alignment vertical="top"/>
    </xf>
    <xf numFmtId="0" fontId="26" fillId="0" borderId="0" xfId="0" applyFont="1"/>
    <xf numFmtId="0" fontId="26" fillId="2" borderId="0" xfId="0" applyFont="1" applyFill="1" applyAlignment="1">
      <alignment wrapText="1"/>
    </xf>
    <xf numFmtId="0" fontId="23" fillId="5" borderId="31" xfId="0" applyFont="1" applyFill="1" applyBorder="1" applyAlignment="1">
      <alignment horizontal="center" vertical="center" wrapText="1"/>
    </xf>
    <xf numFmtId="0" fontId="34" fillId="2" borderId="0" xfId="0" applyFont="1" applyFill="1"/>
    <xf numFmtId="0" fontId="31" fillId="2" borderId="0" xfId="0" applyFont="1" applyFill="1" applyAlignment="1">
      <alignment horizontal="left" vertical="top" wrapText="1"/>
    </xf>
    <xf numFmtId="0" fontId="35" fillId="2" borderId="0" xfId="0" applyFont="1" applyFill="1"/>
    <xf numFmtId="166" fontId="17" fillId="0" borderId="5" xfId="0" applyNumberFormat="1" applyFont="1" applyBorder="1" applyAlignment="1">
      <alignment horizontal="center" vertical="center" wrapText="1"/>
    </xf>
    <xf numFmtId="9" fontId="17" fillId="0" borderId="5" xfId="1" applyFont="1" applyFill="1" applyBorder="1" applyAlignment="1">
      <alignment horizontal="center" vertical="center" wrapText="1"/>
    </xf>
    <xf numFmtId="168" fontId="36" fillId="2" borderId="42" xfId="0" applyNumberFormat="1" applyFont="1" applyFill="1" applyBorder="1" applyAlignment="1">
      <alignment horizontal="center" vertical="center"/>
    </xf>
    <xf numFmtId="168" fontId="0" fillId="0" borderId="0" xfId="0" applyNumberFormat="1"/>
    <xf numFmtId="168" fontId="22" fillId="2" borderId="0" xfId="0" applyNumberFormat="1" applyFont="1" applyFill="1" applyAlignment="1">
      <alignment horizontal="center" vertical="center"/>
    </xf>
    <xf numFmtId="168" fontId="22" fillId="2" borderId="38" xfId="0" applyNumberFormat="1" applyFont="1" applyFill="1" applyBorder="1" applyAlignment="1">
      <alignment horizontal="center" vertical="center"/>
    </xf>
    <xf numFmtId="0" fontId="26" fillId="2" borderId="0" xfId="0" applyFont="1" applyFill="1" applyAlignment="1">
      <alignment horizontal="left" vertical="top" wrapText="1"/>
    </xf>
    <xf numFmtId="0" fontId="39" fillId="2" borderId="0" xfId="0" applyFont="1" applyFill="1"/>
    <xf numFmtId="9" fontId="18" fillId="0" borderId="5" xfId="1" applyFont="1" applyFill="1" applyBorder="1" applyAlignment="1">
      <alignment horizontal="center" vertical="center" wrapText="1"/>
    </xf>
    <xf numFmtId="169" fontId="18" fillId="2" borderId="5" xfId="1" applyNumberFormat="1" applyFont="1" applyFill="1" applyBorder="1" applyAlignment="1">
      <alignment horizontal="center" vertical="center" wrapText="1"/>
    </xf>
    <xf numFmtId="169" fontId="18" fillId="2" borderId="5" xfId="0" applyNumberFormat="1" applyFont="1" applyFill="1" applyBorder="1" applyAlignment="1">
      <alignment horizontal="center" vertical="center" wrapText="1"/>
    </xf>
    <xf numFmtId="0" fontId="26" fillId="2" borderId="0" xfId="0" applyFont="1" applyFill="1" applyAlignment="1">
      <alignment horizontal="left" vertical="top" wrapText="1"/>
    </xf>
    <xf numFmtId="0" fontId="9" fillId="2" borderId="0" xfId="0" applyFont="1" applyFill="1" applyAlignment="1">
      <alignment horizontal="left" vertical="top" wrapText="1"/>
    </xf>
    <xf numFmtId="0" fontId="14" fillId="2" borderId="0" xfId="0" applyFont="1" applyFill="1" applyAlignment="1">
      <alignment horizontal="left" vertical="top" wrapText="1"/>
    </xf>
    <xf numFmtId="0" fontId="31" fillId="4" borderId="0" xfId="0" applyFont="1" applyFill="1" applyAlignment="1">
      <alignment horizontal="left" vertical="top" wrapText="1"/>
    </xf>
    <xf numFmtId="169" fontId="14" fillId="4" borderId="11" xfId="0" applyNumberFormat="1" applyFont="1" applyFill="1" applyBorder="1" applyAlignment="1" applyProtection="1">
      <alignment horizontal="center" vertical="center"/>
      <protection locked="0"/>
    </xf>
    <xf numFmtId="169" fontId="14" fillId="4" borderId="12" xfId="0" applyNumberFormat="1" applyFont="1" applyFill="1" applyBorder="1" applyAlignment="1" applyProtection="1">
      <alignment horizontal="center" vertical="center"/>
      <protection locked="0"/>
    </xf>
    <xf numFmtId="49" fontId="14" fillId="4" borderId="11" xfId="0" applyNumberFormat="1" applyFont="1" applyFill="1" applyBorder="1" applyAlignment="1" applyProtection="1">
      <alignment horizontal="center" vertical="center"/>
      <protection locked="0"/>
    </xf>
    <xf numFmtId="49" fontId="14" fillId="4" borderId="12" xfId="0" applyNumberFormat="1" applyFont="1" applyFill="1" applyBorder="1" applyAlignment="1" applyProtection="1">
      <alignment horizontal="center" vertical="center"/>
      <protection locked="0"/>
    </xf>
    <xf numFmtId="0" fontId="19" fillId="2" borderId="9" xfId="0" applyFont="1" applyFill="1" applyBorder="1" applyAlignment="1">
      <alignment horizontal="left" vertical="center"/>
    </xf>
    <xf numFmtId="0" fontId="19" fillId="2" borderId="0" xfId="0" applyFont="1" applyFill="1" applyAlignment="1">
      <alignment horizontal="left" vertical="center"/>
    </xf>
    <xf numFmtId="0" fontId="14" fillId="2" borderId="0" xfId="0" applyFont="1" applyFill="1" applyAlignment="1">
      <alignment horizontal="center" vertical="center"/>
    </xf>
    <xf numFmtId="49" fontId="14" fillId="4" borderId="6" xfId="0" applyNumberFormat="1" applyFont="1" applyFill="1" applyBorder="1" applyAlignment="1" applyProtection="1">
      <alignment horizontal="center" vertical="center"/>
      <protection locked="0"/>
    </xf>
    <xf numFmtId="49" fontId="14" fillId="4" borderId="5" xfId="0" applyNumberFormat="1" applyFont="1" applyFill="1" applyBorder="1" applyAlignment="1" applyProtection="1">
      <alignment horizontal="center" vertical="center"/>
      <protection locked="0"/>
    </xf>
    <xf numFmtId="49" fontId="14" fillId="4" borderId="35" xfId="0" applyNumberFormat="1" applyFont="1" applyFill="1" applyBorder="1" applyAlignment="1" applyProtection="1">
      <alignment horizontal="center" vertical="center"/>
      <protection locked="0"/>
    </xf>
    <xf numFmtId="0" fontId="8" fillId="2" borderId="9" xfId="0" applyFont="1" applyFill="1" applyBorder="1" applyAlignment="1" applyProtection="1">
      <alignment horizontal="left" vertical="center"/>
      <protection locked="0"/>
    </xf>
    <xf numFmtId="0" fontId="8" fillId="2" borderId="23" xfId="0" applyFont="1" applyFill="1" applyBorder="1" applyAlignment="1" applyProtection="1">
      <alignment horizontal="left" vertical="center"/>
      <protection locked="0"/>
    </xf>
    <xf numFmtId="164" fontId="7" fillId="4" borderId="11" xfId="0" applyNumberFormat="1" applyFont="1" applyFill="1" applyBorder="1" applyAlignment="1">
      <alignment horizontal="center" vertical="center"/>
    </xf>
    <xf numFmtId="164" fontId="7" fillId="4" borderId="33" xfId="0" applyNumberFormat="1" applyFont="1" applyFill="1" applyBorder="1" applyAlignment="1">
      <alignment horizontal="center" vertical="center"/>
    </xf>
    <xf numFmtId="164" fontId="7" fillId="4" borderId="12" xfId="0" applyNumberFormat="1" applyFont="1" applyFill="1" applyBorder="1" applyAlignment="1">
      <alignment horizontal="center" vertical="center"/>
    </xf>
    <xf numFmtId="165" fontId="24" fillId="7" borderId="24" xfId="0" applyNumberFormat="1" applyFont="1" applyFill="1" applyBorder="1" applyAlignment="1">
      <alignment horizontal="center" vertical="center" wrapText="1"/>
    </xf>
    <xf numFmtId="165" fontId="24" fillId="7" borderId="25" xfId="0" applyNumberFormat="1" applyFont="1" applyFill="1" applyBorder="1" applyAlignment="1">
      <alignment horizontal="center" vertical="center" wrapText="1"/>
    </xf>
    <xf numFmtId="0" fontId="17" fillId="5" borderId="40" xfId="0" applyFont="1" applyFill="1" applyBorder="1" applyAlignment="1">
      <alignment horizontal="center" vertical="center" wrapText="1"/>
    </xf>
    <xf numFmtId="0" fontId="17" fillId="5" borderId="25" xfId="0" applyFont="1" applyFill="1" applyBorder="1" applyAlignment="1">
      <alignment horizontal="center" vertical="center" wrapText="1"/>
    </xf>
    <xf numFmtId="0" fontId="17" fillId="5" borderId="41" xfId="0" applyFont="1" applyFill="1" applyBorder="1" applyAlignment="1">
      <alignment horizontal="center" vertical="center" wrapText="1"/>
    </xf>
    <xf numFmtId="0" fontId="17" fillId="5" borderId="37" xfId="0" applyFont="1" applyFill="1" applyBorder="1" applyAlignment="1">
      <alignment horizontal="center" vertical="center" wrapText="1"/>
    </xf>
    <xf numFmtId="14" fontId="13" fillId="2" borderId="0" xfId="0" applyNumberFormat="1" applyFont="1" applyFill="1" applyAlignment="1">
      <alignment horizontal="center" vertical="center"/>
    </xf>
    <xf numFmtId="14" fontId="14" fillId="4" borderId="11" xfId="0" applyNumberFormat="1" applyFont="1" applyFill="1" applyBorder="1" applyAlignment="1" applyProtection="1">
      <alignment horizontal="center" vertical="center"/>
      <protection locked="0"/>
    </xf>
    <xf numFmtId="14" fontId="14" fillId="4" borderId="12" xfId="0" applyNumberFormat="1" applyFont="1" applyFill="1" applyBorder="1" applyAlignment="1" applyProtection="1">
      <alignment horizontal="center" vertical="center"/>
      <protection locked="0"/>
    </xf>
    <xf numFmtId="0" fontId="17" fillId="5" borderId="39" xfId="0" applyFont="1" applyFill="1" applyBorder="1" applyAlignment="1">
      <alignment horizontal="center" vertical="center" wrapText="1"/>
    </xf>
    <xf numFmtId="0" fontId="17" fillId="5" borderId="36" xfId="0" applyFont="1" applyFill="1" applyBorder="1" applyAlignment="1">
      <alignment horizontal="center" vertical="center" wrapText="1"/>
    </xf>
    <xf numFmtId="0" fontId="37" fillId="5" borderId="45" xfId="0" applyFont="1" applyFill="1" applyBorder="1" applyAlignment="1">
      <alignment horizontal="center" vertical="center"/>
    </xf>
    <xf numFmtId="0" fontId="37" fillId="5" borderId="48" xfId="0" applyFont="1" applyFill="1" applyBorder="1" applyAlignment="1">
      <alignment horizontal="center" vertical="center"/>
    </xf>
    <xf numFmtId="0" fontId="37" fillId="5" borderId="46" xfId="0" applyFont="1" applyFill="1" applyBorder="1" applyAlignment="1">
      <alignment horizontal="center" vertical="center"/>
    </xf>
    <xf numFmtId="0" fontId="37" fillId="5" borderId="49" xfId="0" applyFont="1" applyFill="1" applyBorder="1" applyAlignment="1">
      <alignment horizontal="center" vertical="center"/>
    </xf>
    <xf numFmtId="0" fontId="41" fillId="0" borderId="39" xfId="0" quotePrefix="1" applyFont="1" applyBorder="1" applyAlignment="1">
      <alignment horizontal="center" vertical="center"/>
    </xf>
    <xf numFmtId="0" fontId="41" fillId="0" borderId="40" xfId="0" quotePrefix="1" applyFont="1" applyBorder="1" applyAlignment="1">
      <alignment horizontal="center" vertical="center"/>
    </xf>
    <xf numFmtId="0" fontId="41" fillId="0" borderId="41" xfId="0" quotePrefix="1" applyFont="1" applyBorder="1" applyAlignment="1">
      <alignment horizontal="center" vertical="center"/>
    </xf>
    <xf numFmtId="0" fontId="41" fillId="0" borderId="42" xfId="0" quotePrefix="1" applyFont="1" applyBorder="1" applyAlignment="1">
      <alignment horizontal="center" vertical="center"/>
    </xf>
    <xf numFmtId="0" fontId="41" fillId="0" borderId="43" xfId="0" quotePrefix="1" applyFont="1" applyBorder="1" applyAlignment="1">
      <alignment horizontal="center" vertical="center"/>
    </xf>
    <xf numFmtId="0" fontId="41" fillId="0" borderId="44" xfId="0" quotePrefix="1" applyFont="1" applyBorder="1" applyAlignment="1">
      <alignment horizontal="center" vertical="center"/>
    </xf>
    <xf numFmtId="0" fontId="41" fillId="0" borderId="51" xfId="0" quotePrefix="1" applyFont="1" applyBorder="1" applyAlignment="1">
      <alignment horizontal="center" vertical="center"/>
    </xf>
    <xf numFmtId="0" fontId="41" fillId="0" borderId="26" xfId="0" quotePrefix="1" applyFont="1" applyBorder="1" applyAlignment="1">
      <alignment horizontal="center" vertical="center"/>
    </xf>
    <xf numFmtId="0" fontId="37" fillId="5" borderId="47" xfId="0" applyFont="1" applyFill="1" applyBorder="1" applyAlignment="1">
      <alignment horizontal="center" vertical="center"/>
    </xf>
    <xf numFmtId="0" fontId="37" fillId="5" borderId="50" xfId="0" applyFont="1" applyFill="1" applyBorder="1" applyAlignment="1">
      <alignment horizontal="center" vertical="center"/>
    </xf>
  </cellXfs>
  <cellStyles count="3">
    <cellStyle name="Hyperlink" xfId="2" builtinId="8"/>
    <cellStyle name="Normal" xfId="0" builtinId="0"/>
    <cellStyle name="Percent" xfId="1" builtinId="5"/>
  </cellStyles>
  <dxfs count="31">
    <dxf>
      <fill>
        <patternFill>
          <bgColor rgb="FFFFC7CE"/>
        </patternFill>
      </fill>
    </dxf>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theme="1"/>
      </font>
      <fill>
        <patternFill patternType="gray0625">
          <fgColor theme="0"/>
          <bgColor rgb="FFF8CBAD"/>
        </patternFill>
      </fill>
    </dxf>
    <dxf>
      <font>
        <color rgb="FFFF0000"/>
      </font>
    </dxf>
    <dxf>
      <font>
        <color rgb="FFC00000"/>
      </font>
    </dxf>
    <dxf>
      <font>
        <color auto="1"/>
      </font>
    </dxf>
    <dxf>
      <fill>
        <patternFill>
          <bgColor rgb="FFFFC7CE"/>
        </patternFill>
      </fill>
    </dxf>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theme="1"/>
      </font>
      <fill>
        <patternFill patternType="gray0625">
          <fgColor theme="0"/>
          <bgColor rgb="FFF8CBAD"/>
        </patternFill>
      </fill>
    </dxf>
    <dxf>
      <font>
        <color rgb="FFFF0000"/>
      </font>
    </dxf>
    <dxf>
      <font>
        <color rgb="FFC00000"/>
      </font>
    </dxf>
    <dxf>
      <font>
        <color auto="1"/>
      </font>
    </dxf>
    <dxf>
      <font>
        <b/>
        <strike val="0"/>
        <outline val="0"/>
        <shadow val="0"/>
        <u val="none"/>
        <vertAlign val="baseline"/>
        <sz val="11"/>
        <color auto="1"/>
        <name val="Calibri"/>
        <scheme val="minor"/>
      </font>
      <alignment horizontal="center" vertical="center" textRotation="0" wrapText="0" indent="0" justifyLastLine="0" shrinkToFit="0" readingOrder="0"/>
      <protection locked="0" hidden="0"/>
    </dxf>
    <dxf>
      <font>
        <b/>
        <strike val="0"/>
        <outline val="0"/>
        <shadow val="0"/>
        <u val="none"/>
        <vertAlign val="baseline"/>
        <sz val="11"/>
        <color auto="1"/>
        <name val="Calibri"/>
        <scheme val="minor"/>
      </font>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1"/>
        <color auto="1"/>
        <name val="Calibri"/>
        <scheme val="minor"/>
      </font>
      <alignment horizontal="center" vertical="center" textRotation="0" wrapText="0" indent="0" justifyLastLine="0" shrinkToFit="0" readingOrder="0"/>
    </dxf>
    <dxf>
      <font>
        <b/>
        <strike val="0"/>
        <outline val="0"/>
        <shadow val="0"/>
        <u val="none"/>
        <vertAlign val="baseline"/>
        <sz val="11"/>
        <color auto="1"/>
        <name val="Calibri"/>
        <scheme val="minor"/>
      </font>
      <alignment horizontal="center" vertical="center" textRotation="0" wrapText="0" indent="0" justifyLastLine="0" shrinkToFit="0" readingOrder="0"/>
    </dxf>
    <dxf>
      <fill>
        <patternFill>
          <bgColor rgb="FFFF0000"/>
        </patternFill>
      </fill>
    </dxf>
    <dxf>
      <fill>
        <patternFill>
          <bgColor rgb="FFFFC000"/>
        </patternFill>
      </fill>
    </dxf>
    <dxf>
      <fill>
        <patternFill patternType="none">
          <bgColor auto="1"/>
        </patternFill>
      </fill>
    </dxf>
    <dxf>
      <fill>
        <patternFill>
          <bgColor rgb="FFEF9C29"/>
        </patternFill>
      </fill>
    </dxf>
  </dxfs>
  <tableStyles count="1" defaultTableStyle="TableStyleMedium2" defaultPivotStyle="PivotStyleLight16">
    <tableStyle name="Tabellenformat 1" pivot="0" count="1" xr9:uid="{00000000-0011-0000-FFFF-FFFF00000000}">
      <tableStyleElement type="firstRowStripe" dxfId="30"/>
    </tableStyle>
  </tableStyles>
  <colors>
    <mruColors>
      <color rgb="FFFFFFFF"/>
      <color rgb="FF439B69"/>
      <color rgb="FFFFC7C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Scroll" dx="22" fmlaLink="$K$12" horiz="1" inc="4" max="1000" min="1" noThreeD="1" page="8"/>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L12"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134602" cy="872233"/>
    <xdr:pic>
      <xdr:nvPicPr>
        <xdr:cNvPr id="2" name="Picture 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xdr:col>
      <xdr:colOff>67112</xdr:colOff>
      <xdr:row>91</xdr:row>
      <xdr:rowOff>129540</xdr:rowOff>
    </xdr:from>
    <xdr:to>
      <xdr:col>11</xdr:col>
      <xdr:colOff>632460</xdr:colOff>
      <xdr:row>97</xdr:row>
      <xdr:rowOff>30480</xdr:rowOff>
    </xdr:to>
    <xdr:grpSp>
      <xdr:nvGrpSpPr>
        <xdr:cNvPr id="6" name="Groupe 5">
          <a:extLst>
            <a:ext uri="{FF2B5EF4-FFF2-40B4-BE49-F238E27FC236}">
              <a16:creationId xmlns:a16="http://schemas.microsoft.com/office/drawing/2014/main" id="{00000000-0008-0000-0000-000006000000}"/>
            </a:ext>
          </a:extLst>
        </xdr:cNvPr>
        <xdr:cNvGrpSpPr/>
      </xdr:nvGrpSpPr>
      <xdr:grpSpPr>
        <a:xfrm>
          <a:off x="829112" y="21475065"/>
          <a:ext cx="11604823" cy="1424940"/>
          <a:chOff x="851972" y="13335000"/>
          <a:chExt cx="11926768" cy="1402080"/>
        </a:xfrm>
      </xdr:grpSpPr>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851972" y="13335000"/>
            <a:ext cx="11924763" cy="1402080"/>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861060" y="14310360"/>
            <a:ext cx="11917680" cy="2286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8</xdr:col>
      <xdr:colOff>1059180</xdr:colOff>
      <xdr:row>105</xdr:row>
      <xdr:rowOff>45720</xdr:rowOff>
    </xdr:from>
    <xdr:to>
      <xdr:col>10</xdr:col>
      <xdr:colOff>609600</xdr:colOff>
      <xdr:row>106</xdr:row>
      <xdr:rowOff>106680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6859905" y="12809220"/>
          <a:ext cx="1369695" cy="2514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754380</xdr:colOff>
      <xdr:row>100</xdr:row>
      <xdr:rowOff>22860</xdr:rowOff>
    </xdr:from>
    <xdr:to>
      <xdr:col>12</xdr:col>
      <xdr:colOff>506984</xdr:colOff>
      <xdr:row>116</xdr:row>
      <xdr:rowOff>175259</xdr:rowOff>
    </xdr:to>
    <xdr:grpSp>
      <xdr:nvGrpSpPr>
        <xdr:cNvPr id="10" name="Groupe 9">
          <a:extLst>
            <a:ext uri="{FF2B5EF4-FFF2-40B4-BE49-F238E27FC236}">
              <a16:creationId xmlns:a16="http://schemas.microsoft.com/office/drawing/2014/main" id="{00000000-0008-0000-0000-00000A000000}"/>
            </a:ext>
          </a:extLst>
        </xdr:cNvPr>
        <xdr:cNvGrpSpPr/>
      </xdr:nvGrpSpPr>
      <xdr:grpSpPr>
        <a:xfrm>
          <a:off x="754380" y="23673435"/>
          <a:ext cx="12316079" cy="3648074"/>
          <a:chOff x="754380" y="15521940"/>
          <a:chExt cx="12683744" cy="3596639"/>
        </a:xfrm>
      </xdr:grpSpPr>
      <xdr:sp macro="" textlink="">
        <xdr:nvSpPr>
          <xdr:cNvPr id="11" name="Flèche : bas 91">
            <a:extLst>
              <a:ext uri="{FF2B5EF4-FFF2-40B4-BE49-F238E27FC236}">
                <a16:creationId xmlns:a16="http://schemas.microsoft.com/office/drawing/2014/main" id="{00000000-0008-0000-0000-00000B000000}"/>
              </a:ext>
            </a:extLst>
          </xdr:cNvPr>
          <xdr:cNvSpPr/>
        </xdr:nvSpPr>
        <xdr:spPr>
          <a:xfrm>
            <a:off x="10816346" y="17160252"/>
            <a:ext cx="271300" cy="32990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54380" y="15521940"/>
            <a:ext cx="12601392" cy="1470660"/>
          </a:xfrm>
          <a:prstGeom prst="rect">
            <a:avLst/>
          </a:prstGeom>
        </xdr:spPr>
      </xdr:pic>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a:stretch>
            <a:fillRect/>
          </a:stretch>
        </xdr:blipFill>
        <xdr:spPr>
          <a:xfrm>
            <a:off x="800099" y="17686020"/>
            <a:ext cx="12638025" cy="1432559"/>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1536680" y="18516600"/>
            <a:ext cx="998220" cy="4114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45720</xdr:colOff>
      <xdr:row>124</xdr:row>
      <xdr:rowOff>83820</xdr:rowOff>
    </xdr:from>
    <xdr:to>
      <xdr:col>9</xdr:col>
      <xdr:colOff>510030</xdr:colOff>
      <xdr:row>141</xdr:row>
      <xdr:rowOff>76200</xdr:rowOff>
    </xdr:to>
    <xdr:grpSp>
      <xdr:nvGrpSpPr>
        <xdr:cNvPr id="15" name="Groupe 14">
          <a:extLst>
            <a:ext uri="{FF2B5EF4-FFF2-40B4-BE49-F238E27FC236}">
              <a16:creationId xmlns:a16="http://schemas.microsoft.com/office/drawing/2014/main" id="{00000000-0008-0000-0000-00000F000000}"/>
            </a:ext>
          </a:extLst>
        </xdr:cNvPr>
        <xdr:cNvGrpSpPr/>
      </xdr:nvGrpSpPr>
      <xdr:grpSpPr>
        <a:xfrm>
          <a:off x="807720" y="28973145"/>
          <a:ext cx="9532110" cy="3326130"/>
          <a:chOff x="830580" y="20756880"/>
          <a:chExt cx="9798810" cy="3215640"/>
        </a:xfrm>
      </xdr:grpSpPr>
      <xdr:grpSp>
        <xdr:nvGrpSpPr>
          <xdr:cNvPr id="16" name="Groupe 15">
            <a:extLst>
              <a:ext uri="{FF2B5EF4-FFF2-40B4-BE49-F238E27FC236}">
                <a16:creationId xmlns:a16="http://schemas.microsoft.com/office/drawing/2014/main" id="{00000000-0008-0000-0000-000010000000}"/>
              </a:ext>
            </a:extLst>
          </xdr:cNvPr>
          <xdr:cNvGrpSpPr/>
        </xdr:nvGrpSpPr>
        <xdr:grpSpPr>
          <a:xfrm>
            <a:off x="830580" y="20756880"/>
            <a:ext cx="5231965" cy="3215640"/>
            <a:chOff x="830580" y="20756880"/>
            <a:chExt cx="5231965" cy="3215640"/>
          </a:xfrm>
        </xdr:grpSpPr>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a:stretch>
              <a:fillRect/>
            </a:stretch>
          </xdr:blipFill>
          <xdr:spPr>
            <a:xfrm>
              <a:off x="830580" y="20775230"/>
              <a:ext cx="5231965" cy="3177589"/>
            </a:xfrm>
            <a:prstGeom prst="rect">
              <a:avLst/>
            </a:prstGeom>
          </xdr:spPr>
        </xdr:pic>
        <xdr:sp macro="" textlink="">
          <xdr:nvSpPr>
            <xdr:cNvPr id="21" name="Rectangle 20">
              <a:extLst>
                <a:ext uri="{FF2B5EF4-FFF2-40B4-BE49-F238E27FC236}">
                  <a16:creationId xmlns:a16="http://schemas.microsoft.com/office/drawing/2014/main" id="{00000000-0008-0000-0000-000015000000}"/>
                </a:ext>
              </a:extLst>
            </xdr:cNvPr>
            <xdr:cNvSpPr/>
          </xdr:nvSpPr>
          <xdr:spPr>
            <a:xfrm>
              <a:off x="1539240" y="20756880"/>
              <a:ext cx="320040" cy="32156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7" name="Flèche : droite 22">
            <a:extLst>
              <a:ext uri="{FF2B5EF4-FFF2-40B4-BE49-F238E27FC236}">
                <a16:creationId xmlns:a16="http://schemas.microsoft.com/office/drawing/2014/main" id="{00000000-0008-0000-0000-000011000000}"/>
              </a:ext>
            </a:extLst>
          </xdr:cNvPr>
          <xdr:cNvSpPr/>
        </xdr:nvSpPr>
        <xdr:spPr>
          <a:xfrm>
            <a:off x="6423660" y="22113240"/>
            <a:ext cx="579120" cy="35052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8" name="Imag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a:stretch>
            <a:fillRect/>
          </a:stretch>
        </xdr:blipFill>
        <xdr:spPr>
          <a:xfrm>
            <a:off x="7277100" y="21922740"/>
            <a:ext cx="3352290" cy="783245"/>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9585960" y="22227540"/>
            <a:ext cx="990600" cy="2209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22860</xdr:colOff>
      <xdr:row>23</xdr:row>
      <xdr:rowOff>129540</xdr:rowOff>
    </xdr:from>
    <xdr:to>
      <xdr:col>11</xdr:col>
      <xdr:colOff>594362</xdr:colOff>
      <xdr:row>34</xdr:row>
      <xdr:rowOff>195580</xdr:rowOff>
    </xdr:to>
    <xdr:grpSp>
      <xdr:nvGrpSpPr>
        <xdr:cNvPr id="30" name="Groupe 29">
          <a:extLst>
            <a:ext uri="{FF2B5EF4-FFF2-40B4-BE49-F238E27FC236}">
              <a16:creationId xmlns:a16="http://schemas.microsoft.com/office/drawing/2014/main" id="{00000000-0008-0000-0000-00001E000000}"/>
            </a:ext>
          </a:extLst>
        </xdr:cNvPr>
        <xdr:cNvGrpSpPr/>
      </xdr:nvGrpSpPr>
      <xdr:grpSpPr>
        <a:xfrm>
          <a:off x="2566035" y="5825490"/>
          <a:ext cx="9829802" cy="2266315"/>
          <a:chOff x="2651760" y="2669540"/>
          <a:chExt cx="10104122" cy="2245360"/>
        </a:xfrm>
      </xdr:grpSpPr>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7"/>
          <a:stretch>
            <a:fillRect/>
          </a:stretch>
        </xdr:blipFill>
        <xdr:spPr>
          <a:xfrm>
            <a:off x="2651760" y="2669540"/>
            <a:ext cx="10104122" cy="2245360"/>
          </a:xfrm>
          <a:prstGeom prst="rect">
            <a:avLst/>
          </a:prstGeom>
        </xdr:spPr>
      </xdr:pic>
      <xdr:sp macro="" textlink="">
        <xdr:nvSpPr>
          <xdr:cNvPr id="32" name="Rectangle 31">
            <a:extLst>
              <a:ext uri="{FF2B5EF4-FFF2-40B4-BE49-F238E27FC236}">
                <a16:creationId xmlns:a16="http://schemas.microsoft.com/office/drawing/2014/main" id="{00000000-0008-0000-0000-000020000000}"/>
              </a:ext>
            </a:extLst>
          </xdr:cNvPr>
          <xdr:cNvSpPr/>
        </xdr:nvSpPr>
        <xdr:spPr>
          <a:xfrm>
            <a:off x="4396740" y="2766060"/>
            <a:ext cx="822960" cy="1600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00000000-0008-0000-0000-000021000000}"/>
              </a:ext>
            </a:extLst>
          </xdr:cNvPr>
          <xdr:cNvSpPr/>
        </xdr:nvSpPr>
        <xdr:spPr>
          <a:xfrm>
            <a:off x="2659380" y="3749040"/>
            <a:ext cx="967740" cy="2590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22860</xdr:colOff>
      <xdr:row>46</xdr:row>
      <xdr:rowOff>266700</xdr:rowOff>
    </xdr:from>
    <xdr:to>
      <xdr:col>10</xdr:col>
      <xdr:colOff>925831</xdr:colOff>
      <xdr:row>57</xdr:row>
      <xdr:rowOff>75960</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566035" y="11134725"/>
          <a:ext cx="8951596" cy="2152410"/>
          <a:chOff x="2613660" y="7595023"/>
          <a:chExt cx="9193531" cy="2179080"/>
        </a:xfrm>
      </xdr:grpSpPr>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8"/>
          <a:stretch>
            <a:fillRect/>
          </a:stretch>
        </xdr:blipFill>
        <xdr:spPr>
          <a:xfrm>
            <a:off x="2613660" y="7595023"/>
            <a:ext cx="9193531" cy="2179080"/>
          </a:xfrm>
          <a:prstGeom prst="rect">
            <a:avLst/>
          </a:prstGeom>
        </xdr:spPr>
      </xdr:pic>
      <xdr:sp macro="" textlink="">
        <xdr:nvSpPr>
          <xdr:cNvPr id="36" name="Rectangle 35">
            <a:extLst>
              <a:ext uri="{FF2B5EF4-FFF2-40B4-BE49-F238E27FC236}">
                <a16:creationId xmlns:a16="http://schemas.microsoft.com/office/drawing/2014/main" id="{00000000-0008-0000-0000-000024000000}"/>
              </a:ext>
            </a:extLst>
          </xdr:cNvPr>
          <xdr:cNvSpPr/>
        </xdr:nvSpPr>
        <xdr:spPr>
          <a:xfrm>
            <a:off x="2613660" y="8290560"/>
            <a:ext cx="9182100" cy="7086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7620</xdr:colOff>
      <xdr:row>59</xdr:row>
      <xdr:rowOff>0</xdr:rowOff>
    </xdr:from>
    <xdr:to>
      <xdr:col>11</xdr:col>
      <xdr:colOff>411480</xdr:colOff>
      <xdr:row>69</xdr:row>
      <xdr:rowOff>358140</xdr:rowOff>
    </xdr:to>
    <xdr:grpSp>
      <xdr:nvGrpSpPr>
        <xdr:cNvPr id="37" name="Groupe 36">
          <a:extLst>
            <a:ext uri="{FF2B5EF4-FFF2-40B4-BE49-F238E27FC236}">
              <a16:creationId xmlns:a16="http://schemas.microsoft.com/office/drawing/2014/main" id="{00000000-0008-0000-0000-000025000000}"/>
            </a:ext>
          </a:extLst>
        </xdr:cNvPr>
        <xdr:cNvGrpSpPr/>
      </xdr:nvGrpSpPr>
      <xdr:grpSpPr>
        <a:xfrm>
          <a:off x="2550795" y="13687425"/>
          <a:ext cx="9662160" cy="2672715"/>
          <a:chOff x="2217420" y="7825740"/>
          <a:chExt cx="9193531" cy="2199823"/>
        </a:xfrm>
      </xdr:grpSpPr>
      <xdr:pic>
        <xdr:nvPicPr>
          <xdr:cNvPr id="38" name="Imag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a:stretch>
            <a:fillRect/>
          </a:stretch>
        </xdr:blipFill>
        <xdr:spPr>
          <a:xfrm>
            <a:off x="2217420" y="7846483"/>
            <a:ext cx="9193531" cy="2179080"/>
          </a:xfrm>
          <a:prstGeom prst="rect">
            <a:avLst/>
          </a:prstGeom>
        </xdr:spPr>
      </xdr:pic>
      <xdr:sp macro="" textlink="">
        <xdr:nvSpPr>
          <xdr:cNvPr id="39" name="Rectangle 38">
            <a:extLst>
              <a:ext uri="{FF2B5EF4-FFF2-40B4-BE49-F238E27FC236}">
                <a16:creationId xmlns:a16="http://schemas.microsoft.com/office/drawing/2014/main" id="{00000000-0008-0000-0000-000027000000}"/>
              </a:ext>
            </a:extLst>
          </xdr:cNvPr>
          <xdr:cNvSpPr/>
        </xdr:nvSpPr>
        <xdr:spPr>
          <a:xfrm>
            <a:off x="6461760" y="7825740"/>
            <a:ext cx="708660" cy="7086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22860</xdr:colOff>
      <xdr:row>71</xdr:row>
      <xdr:rowOff>137160</xdr:rowOff>
    </xdr:from>
    <xdr:to>
      <xdr:col>11</xdr:col>
      <xdr:colOff>365760</xdr:colOff>
      <xdr:row>80</xdr:row>
      <xdr:rowOff>222916</xdr:rowOff>
    </xdr:to>
    <xdr:grpSp>
      <xdr:nvGrpSpPr>
        <xdr:cNvPr id="40" name="Groupe 39">
          <a:extLst>
            <a:ext uri="{FF2B5EF4-FFF2-40B4-BE49-F238E27FC236}">
              <a16:creationId xmlns:a16="http://schemas.microsoft.com/office/drawing/2014/main" id="{00000000-0008-0000-0000-000028000000}"/>
            </a:ext>
          </a:extLst>
        </xdr:cNvPr>
        <xdr:cNvGrpSpPr/>
      </xdr:nvGrpSpPr>
      <xdr:grpSpPr>
        <a:xfrm>
          <a:off x="2566035" y="16767810"/>
          <a:ext cx="9601200" cy="2143156"/>
          <a:chOff x="2613661" y="13287344"/>
          <a:chExt cx="9875520" cy="2143156"/>
        </a:xfrm>
      </xdr:grpSpPr>
      <xdr:pic>
        <xdr:nvPicPr>
          <xdr:cNvPr id="41" name="Imag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9"/>
          <a:stretch>
            <a:fillRect/>
          </a:stretch>
        </xdr:blipFill>
        <xdr:spPr>
          <a:xfrm>
            <a:off x="2613661" y="13287344"/>
            <a:ext cx="9875520" cy="2129409"/>
          </a:xfrm>
          <a:prstGeom prst="rect">
            <a:avLst/>
          </a:prstGeom>
        </xdr:spPr>
      </xdr:pic>
      <xdr:sp macro="" textlink="">
        <xdr:nvSpPr>
          <xdr:cNvPr id="42" name="Rectangle 41">
            <a:extLst>
              <a:ext uri="{FF2B5EF4-FFF2-40B4-BE49-F238E27FC236}">
                <a16:creationId xmlns:a16="http://schemas.microsoft.com/office/drawing/2014/main" id="{00000000-0008-0000-0000-00002A000000}"/>
              </a:ext>
            </a:extLst>
          </xdr:cNvPr>
          <xdr:cNvSpPr/>
        </xdr:nvSpPr>
        <xdr:spPr>
          <a:xfrm>
            <a:off x="7978140" y="13586460"/>
            <a:ext cx="1630680" cy="3124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42">
            <a:extLst>
              <a:ext uri="{FF2B5EF4-FFF2-40B4-BE49-F238E27FC236}">
                <a16:creationId xmlns:a16="http://schemas.microsoft.com/office/drawing/2014/main" id="{00000000-0008-0000-0000-00002B000000}"/>
              </a:ext>
            </a:extLst>
          </xdr:cNvPr>
          <xdr:cNvSpPr/>
        </xdr:nvSpPr>
        <xdr:spPr>
          <a:xfrm>
            <a:off x="8343900" y="14805660"/>
            <a:ext cx="289560" cy="6248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4147474" cy="956732"/>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47474" cy="95673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1447240</xdr:colOff>
      <xdr:row>3</xdr:row>
      <xdr:rowOff>14023</xdr:rowOff>
    </xdr:from>
    <xdr:to>
      <xdr:col>9</xdr:col>
      <xdr:colOff>828675</xdr:colOff>
      <xdr:row>4</xdr:row>
      <xdr:rowOff>180975</xdr:rowOff>
    </xdr:to>
    <xdr:sp macro="" textlink="">
      <xdr:nvSpPr>
        <xdr:cNvPr id="3" name="Rectangle: Rounded Corners 3">
          <a:extLst>
            <a:ext uri="{FF2B5EF4-FFF2-40B4-BE49-F238E27FC236}">
              <a16:creationId xmlns:a16="http://schemas.microsoft.com/office/drawing/2014/main" id="{00000000-0008-0000-0100-000003000000}"/>
            </a:ext>
          </a:extLst>
        </xdr:cNvPr>
        <xdr:cNvSpPr/>
      </xdr:nvSpPr>
      <xdr:spPr>
        <a:xfrm>
          <a:off x="3809440" y="585523"/>
          <a:ext cx="3810560" cy="35745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Resources involved in the project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1581150</xdr:colOff>
      <xdr:row>2</xdr:row>
      <xdr:rowOff>230853</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2143125" cy="669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389965</xdr:colOff>
      <xdr:row>2</xdr:row>
      <xdr:rowOff>42598</xdr:rowOff>
    </xdr:from>
    <xdr:to>
      <xdr:col>6</xdr:col>
      <xdr:colOff>809625</xdr:colOff>
      <xdr:row>3</xdr:row>
      <xdr:rowOff>133350</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771215" y="461698"/>
          <a:ext cx="5010710" cy="3003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Workload plan</a:t>
          </a:r>
        </a:p>
      </xdr:txBody>
    </xdr:sp>
    <xdr:clientData/>
  </xdr:twoCellAnchor>
  <mc:AlternateContent xmlns:mc="http://schemas.openxmlformats.org/markup-compatibility/2006">
    <mc:Choice xmlns:a14="http://schemas.microsoft.com/office/drawing/2010/main" Requires="a14">
      <xdr:twoCellAnchor editAs="oneCell">
        <xdr:from>
          <xdr:col>9</xdr:col>
          <xdr:colOff>47625</xdr:colOff>
          <xdr:row>10</xdr:row>
          <xdr:rowOff>114300</xdr:rowOff>
        </xdr:from>
        <xdr:to>
          <xdr:col>62</xdr:col>
          <xdr:colOff>257175</xdr:colOff>
          <xdr:row>12</xdr:row>
          <xdr:rowOff>0</xdr:rowOff>
        </xdr:to>
        <xdr:sp macro="" textlink="">
          <xdr:nvSpPr>
            <xdr:cNvPr id="3074" name="scrollBA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38</xdr:col>
      <xdr:colOff>190502</xdr:colOff>
      <xdr:row>6</xdr:row>
      <xdr:rowOff>66675</xdr:rowOff>
    </xdr:from>
    <xdr:to>
      <xdr:col>43</xdr:col>
      <xdr:colOff>104775</xdr:colOff>
      <xdr:row>8</xdr:row>
      <xdr:rowOff>47625</xdr:rowOff>
    </xdr:to>
    <xdr:sp macro="[0]!afficherBarre" textlink="">
      <xdr:nvSpPr>
        <xdr:cNvPr id="7" name="Rectangle à coins arrondis 6">
          <a:extLst>
            <a:ext uri="{FF2B5EF4-FFF2-40B4-BE49-F238E27FC236}">
              <a16:creationId xmlns:a16="http://schemas.microsoft.com/office/drawing/2014/main" id="{00000000-0008-0000-0200-000007000000}"/>
            </a:ext>
          </a:extLst>
        </xdr:cNvPr>
        <xdr:cNvSpPr/>
      </xdr:nvSpPr>
      <xdr:spPr>
        <a:xfrm>
          <a:off x="19859627" y="1743075"/>
          <a:ext cx="1200148" cy="361950"/>
        </a:xfrm>
        <a:prstGeom prst="roundRect">
          <a:avLst/>
        </a:prstGeom>
        <a:solidFill>
          <a:srgbClr val="439B69"/>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aseline="0"/>
            <a:t>Highlight today</a:t>
          </a:r>
        </a:p>
      </xdr:txBody>
    </xdr:sp>
    <xdr:clientData/>
  </xdr:twoCellAnchor>
  <mc:AlternateContent xmlns:mc="http://schemas.openxmlformats.org/markup-compatibility/2006">
    <mc:Choice xmlns:a14="http://schemas.microsoft.com/office/drawing/2010/main" Requires="a14">
      <xdr:twoCellAnchor editAs="oneCell">
        <xdr:from>
          <xdr:col>32</xdr:col>
          <xdr:colOff>190500</xdr:colOff>
          <xdr:row>4</xdr:row>
          <xdr:rowOff>276225</xdr:rowOff>
        </xdr:from>
        <xdr:to>
          <xdr:col>44</xdr:col>
          <xdr:colOff>76200</xdr:colOff>
          <xdr:row>9</xdr:row>
          <xdr:rowOff>133350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FR" sz="800" b="0" i="0" u="none" strike="noStrike" baseline="0">
                  <a:solidFill>
                    <a:srgbClr val="000000"/>
                  </a:solidFill>
                  <a:latin typeface="Segoe UI"/>
                  <a:cs typeface="Segoe UI"/>
                </a:rPr>
                <a:t>Échelle de temps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123825</xdr:colOff>
          <xdr:row>5</xdr:row>
          <xdr:rowOff>161925</xdr:rowOff>
        </xdr:from>
        <xdr:to>
          <xdr:col>36</xdr:col>
          <xdr:colOff>47625</xdr:colOff>
          <xdr:row>7</xdr:row>
          <xdr:rowOff>19050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Day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123825</xdr:colOff>
          <xdr:row>6</xdr:row>
          <xdr:rowOff>180975</xdr:rowOff>
        </xdr:from>
        <xdr:to>
          <xdr:col>36</xdr:col>
          <xdr:colOff>47625</xdr:colOff>
          <xdr:row>8</xdr:row>
          <xdr:rowOff>38100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123825</xdr:colOff>
          <xdr:row>8</xdr:row>
          <xdr:rowOff>9525</xdr:rowOff>
        </xdr:from>
        <xdr:to>
          <xdr:col>36</xdr:col>
          <xdr:colOff>47625</xdr:colOff>
          <xdr:row>9</xdr:row>
          <xdr:rowOff>57150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Month</a:t>
              </a:r>
            </a:p>
          </xdr:txBody>
        </xdr:sp>
        <xdr:clientData/>
      </xdr:twoCellAnchor>
    </mc:Choice>
    <mc:Fallback/>
  </mc:AlternateContent>
  <xdr:twoCellAnchor>
    <xdr:from>
      <xdr:col>32</xdr:col>
      <xdr:colOff>219075</xdr:colOff>
      <xdr:row>5</xdr:row>
      <xdr:rowOff>190499</xdr:rowOff>
    </xdr:from>
    <xdr:to>
      <xdr:col>36</xdr:col>
      <xdr:colOff>200025</xdr:colOff>
      <xdr:row>6</xdr:row>
      <xdr:rowOff>171450</xdr:rowOff>
    </xdr:to>
    <xdr:sp macro="[0]!jourrrrr" textlink="">
      <xdr:nvSpPr>
        <xdr:cNvPr id="2" name="Rectangle 1">
          <a:extLst>
            <a:ext uri="{FF2B5EF4-FFF2-40B4-BE49-F238E27FC236}">
              <a16:creationId xmlns:a16="http://schemas.microsoft.com/office/drawing/2014/main" id="{00000000-0008-0000-0200-000002000000}"/>
            </a:ext>
          </a:extLst>
        </xdr:cNvPr>
        <xdr:cNvSpPr/>
      </xdr:nvSpPr>
      <xdr:spPr>
        <a:xfrm>
          <a:off x="18345150" y="1676399"/>
          <a:ext cx="1009650" cy="171451"/>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219075</xdr:colOff>
      <xdr:row>7</xdr:row>
      <xdr:rowOff>9526</xdr:rowOff>
    </xdr:from>
    <xdr:to>
      <xdr:col>36</xdr:col>
      <xdr:colOff>200025</xdr:colOff>
      <xdr:row>8</xdr:row>
      <xdr:rowOff>9526</xdr:rowOff>
    </xdr:to>
    <xdr:sp macro="[0]!semainnnnnnnnnnnnnnnnne" textlink="">
      <xdr:nvSpPr>
        <xdr:cNvPr id="15" name="Rectangle 14">
          <a:extLst>
            <a:ext uri="{FF2B5EF4-FFF2-40B4-BE49-F238E27FC236}">
              <a16:creationId xmlns:a16="http://schemas.microsoft.com/office/drawing/2014/main" id="{00000000-0008-0000-0200-00000F000000}"/>
            </a:ext>
          </a:extLst>
        </xdr:cNvPr>
        <xdr:cNvSpPr/>
      </xdr:nvSpPr>
      <xdr:spPr>
        <a:xfrm>
          <a:off x="18345150" y="1876426"/>
          <a:ext cx="1009650" cy="190500"/>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219075</xdr:colOff>
      <xdr:row>8</xdr:row>
      <xdr:rowOff>47625</xdr:rowOff>
    </xdr:from>
    <xdr:to>
      <xdr:col>36</xdr:col>
      <xdr:colOff>200025</xdr:colOff>
      <xdr:row>9</xdr:row>
      <xdr:rowOff>38100</xdr:rowOff>
    </xdr:to>
    <xdr:sp macro="[0]!moissssssssssss" textlink="">
      <xdr:nvSpPr>
        <xdr:cNvPr id="16" name="Rectangle 15">
          <a:extLst>
            <a:ext uri="{FF2B5EF4-FFF2-40B4-BE49-F238E27FC236}">
              <a16:creationId xmlns:a16="http://schemas.microsoft.com/office/drawing/2014/main" id="{00000000-0008-0000-0200-000010000000}"/>
            </a:ext>
          </a:extLst>
        </xdr:cNvPr>
        <xdr:cNvSpPr/>
      </xdr:nvSpPr>
      <xdr:spPr>
        <a:xfrm>
          <a:off x="18345150" y="2105025"/>
          <a:ext cx="1009650" cy="180975"/>
        </a:xfrm>
        <a:prstGeom prst="rect">
          <a:avLst/>
        </a:prstGeom>
        <a:solidFill>
          <a:srgbClr val="FFFFFF">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58</xdr:col>
      <xdr:colOff>73479</xdr:colOff>
      <xdr:row>16</xdr:row>
      <xdr:rowOff>0</xdr:rowOff>
    </xdr:from>
    <xdr:to>
      <xdr:col>58</xdr:col>
      <xdr:colOff>73479</xdr:colOff>
      <xdr:row>158</xdr:row>
      <xdr:rowOff>0</xdr:rowOff>
    </xdr:to>
    <xdr:cxnSp macro="">
      <xdr:nvCxnSpPr>
        <xdr:cNvPr id="17" name="todayBar">
          <a:extLst>
            <a:ext uri="{FF2B5EF4-FFF2-40B4-BE49-F238E27FC236}">
              <a16:creationId xmlns:a16="http://schemas.microsoft.com/office/drawing/2014/main" id="{00000000-0008-0000-0200-000011000000}"/>
            </a:ext>
          </a:extLst>
        </xdr:cNvPr>
        <xdr:cNvCxnSpPr/>
      </xdr:nvCxnSpPr>
      <xdr:spPr>
        <a:xfrm>
          <a:off x="24886104" y="3609975"/>
          <a:ext cx="0" cy="32375475"/>
        </a:xfrm>
        <a:prstGeom prst="line">
          <a:avLst/>
        </a:prstGeom>
        <a:ln w="19050">
          <a:solidFill>
            <a:srgbClr val="F8CBAD"/>
          </a:solidFill>
        </a:ln>
        <a:effectLst>
          <a:glow rad="88900">
            <a:srgbClr val="FFFF00">
              <a:alpha val="30000"/>
            </a:srgbClr>
          </a:glow>
          <a:outerShdw blurRad="50800" dist="38100" dir="8100000" algn="tr"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C4:D5" totalsRowShown="0" headerRowDxfId="26" dataDxfId="25" tableBorderDxfId="24">
  <autoFilter ref="C4:D5" xr:uid="{00000000-0009-0000-0100-000001000000}">
    <filterColumn colId="0" hiddenButton="1"/>
    <filterColumn colId="1" hiddenButton="1"/>
  </autoFilter>
  <tableColumns count="2">
    <tableColumn id="1" xr3:uid="{00000000-0010-0000-0000-000001000000}" name="Name column" dataDxfId="23"/>
    <tableColumn id="2" xr3:uid="{00000000-0010-0000-0000-000002000000}" name="3" dataDxfId="22"/>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SaulnierH@confassis.com" TargetMode="External"/><Relationship Id="rId13" Type="http://schemas.openxmlformats.org/officeDocument/2006/relationships/printerSettings" Target="../printerSettings/printerSettings2.bin"/><Relationship Id="rId3" Type="http://schemas.openxmlformats.org/officeDocument/2006/relationships/hyperlink" Target="mailto:LourteG@confassis.com" TargetMode="External"/><Relationship Id="rId7" Type="http://schemas.openxmlformats.org/officeDocument/2006/relationships/hyperlink" Target="mailto:RefourC@confassis.com" TargetMode="External"/><Relationship Id="rId12" Type="http://schemas.openxmlformats.org/officeDocument/2006/relationships/hyperlink" Target="mailto:ClonetG@confassis.com" TargetMode="External"/><Relationship Id="rId2" Type="http://schemas.openxmlformats.org/officeDocument/2006/relationships/hyperlink" Target="mailto:AnselmeM@confassis.com" TargetMode="External"/><Relationship Id="rId1" Type="http://schemas.openxmlformats.org/officeDocument/2006/relationships/hyperlink" Target="mailto:DupuisB@confassis.com" TargetMode="External"/><Relationship Id="rId6" Type="http://schemas.openxmlformats.org/officeDocument/2006/relationships/hyperlink" Target="mailto:LeperreE@confassis.com" TargetMode="External"/><Relationship Id="rId11" Type="http://schemas.openxmlformats.org/officeDocument/2006/relationships/hyperlink" Target="mailto:FleurA@confassis.com" TargetMode="External"/><Relationship Id="rId5" Type="http://schemas.openxmlformats.org/officeDocument/2006/relationships/hyperlink" Target="mailto:TassinB@confassis.com" TargetMode="External"/><Relationship Id="rId10" Type="http://schemas.openxmlformats.org/officeDocument/2006/relationships/hyperlink" Target="mailto:BinotJ@confassis.com" TargetMode="External"/><Relationship Id="rId4" Type="http://schemas.openxmlformats.org/officeDocument/2006/relationships/hyperlink" Target="mailto:PosteM@confassis.com" TargetMode="External"/><Relationship Id="rId9" Type="http://schemas.openxmlformats.org/officeDocument/2006/relationships/hyperlink" Target="mailto:EllinM@confassis.co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730"/>
  <sheetViews>
    <sheetView topLeftCell="A38" workbookViewId="0">
      <selection activeCell="B46" sqref="B46"/>
    </sheetView>
  </sheetViews>
  <sheetFormatPr defaultColWidth="11.42578125" defaultRowHeight="15" x14ac:dyDescent="0.25"/>
  <cols>
    <col min="1" max="1" width="11.42578125" style="78"/>
    <col min="2" max="2" width="26.7109375" style="78" customWidth="1"/>
    <col min="3" max="3" width="15.85546875" style="78" customWidth="1"/>
    <col min="4" max="4" width="16" style="78" customWidth="1"/>
    <col min="5" max="5" width="11.42578125" style="78"/>
    <col min="6" max="6" width="18.42578125" style="78" customWidth="1"/>
    <col min="7" max="7" width="11.42578125" style="78"/>
    <col min="8" max="8" width="15.28515625" style="78" customWidth="1"/>
    <col min="9" max="9" width="20.85546875" style="78" customWidth="1"/>
    <col min="10" max="10" width="11.42578125" style="78"/>
    <col min="11" max="11" width="18.140625" style="78" customWidth="1"/>
    <col min="12" max="16384" width="11.42578125" style="78"/>
  </cols>
  <sheetData>
    <row r="1" spans="1:38" x14ac:dyDescent="0.2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row>
    <row r="2" spans="1:38" x14ac:dyDescent="0.2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row>
    <row r="3" spans="1:38" x14ac:dyDescent="0.2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row>
    <row r="4" spans="1:38"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row>
    <row r="5" spans="1:38"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row>
    <row r="6" spans="1:38"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row>
    <row r="7" spans="1:38" ht="23.25" x14ac:dyDescent="0.35">
      <c r="A7" s="12"/>
      <c r="B7" s="80" t="s">
        <v>256</v>
      </c>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row>
    <row r="8" spans="1:38" ht="23.25" x14ac:dyDescent="0.35">
      <c r="A8" s="12"/>
      <c r="B8" s="80"/>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s="82" customFormat="1" ht="20.45" customHeight="1" x14ac:dyDescent="0.25">
      <c r="A9" s="81"/>
      <c r="B9" s="134" t="s">
        <v>255</v>
      </c>
      <c r="C9" s="134"/>
      <c r="D9" s="134"/>
      <c r="E9" s="134"/>
      <c r="F9" s="134"/>
      <c r="G9" s="134"/>
      <c r="H9" s="134"/>
      <c r="I9" s="134"/>
      <c r="J9" s="134"/>
      <c r="K9" s="134"/>
      <c r="L9" s="134"/>
      <c r="M9" s="134"/>
      <c r="N9" s="12"/>
      <c r="O9" s="12"/>
      <c r="P9" s="12"/>
      <c r="Q9" s="12"/>
      <c r="R9" s="81"/>
      <c r="S9" s="81"/>
      <c r="T9" s="81"/>
      <c r="U9" s="81"/>
      <c r="V9" s="81"/>
      <c r="W9" s="81"/>
      <c r="X9" s="81"/>
      <c r="Y9" s="81"/>
      <c r="Z9" s="81"/>
      <c r="AA9" s="81"/>
      <c r="AB9" s="81"/>
      <c r="AC9" s="81"/>
      <c r="AD9" s="81"/>
      <c r="AE9" s="81"/>
      <c r="AF9" s="81"/>
      <c r="AG9" s="81"/>
      <c r="AH9" s="81"/>
      <c r="AI9" s="81"/>
      <c r="AJ9" s="81"/>
      <c r="AK9" s="81"/>
      <c r="AL9" s="81"/>
    </row>
    <row r="10" spans="1:38" s="113" customFormat="1" ht="15.75" x14ac:dyDescent="0.25">
      <c r="A10" s="112"/>
      <c r="B10" s="84" t="s">
        <v>254</v>
      </c>
      <c r="C10" s="112"/>
      <c r="D10" s="112"/>
      <c r="E10" s="112"/>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row>
    <row r="11" spans="1:38" s="113" customFormat="1" ht="15.75" x14ac:dyDescent="0.25">
      <c r="A11" s="112"/>
      <c r="B11" s="85" t="s">
        <v>35</v>
      </c>
      <c r="C11" s="112" t="s">
        <v>253</v>
      </c>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row>
    <row r="12" spans="1:38" s="113" customFormat="1" ht="19.5" customHeight="1" x14ac:dyDescent="0.25">
      <c r="A12" s="112"/>
      <c r="B12" s="85" t="s">
        <v>252</v>
      </c>
      <c r="C12" s="112" t="s">
        <v>251</v>
      </c>
      <c r="D12" s="112"/>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c r="AD12" s="112"/>
      <c r="AE12" s="112"/>
      <c r="AF12" s="112"/>
      <c r="AG12" s="112"/>
      <c r="AH12" s="112"/>
      <c r="AI12" s="112"/>
      <c r="AJ12" s="112"/>
      <c r="AK12" s="112"/>
      <c r="AL12" s="112"/>
    </row>
    <row r="13" spans="1:38" s="113" customFormat="1" ht="24" customHeight="1" x14ac:dyDescent="0.25">
      <c r="A13" s="112"/>
      <c r="B13" s="85" t="s">
        <v>250</v>
      </c>
      <c r="C13" s="112" t="s">
        <v>249</v>
      </c>
      <c r="D13" s="112"/>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c r="AD13" s="112"/>
      <c r="AE13" s="112"/>
      <c r="AF13" s="112"/>
      <c r="AG13" s="112"/>
      <c r="AH13" s="112"/>
      <c r="AI13" s="112"/>
      <c r="AJ13" s="112"/>
      <c r="AK13" s="112"/>
      <c r="AL13" s="112"/>
    </row>
    <row r="14" spans="1:38" s="113" customFormat="1" ht="18" customHeight="1" x14ac:dyDescent="0.25">
      <c r="A14" s="112"/>
      <c r="B14" s="85" t="s">
        <v>248</v>
      </c>
      <c r="C14" s="112" t="s">
        <v>247</v>
      </c>
      <c r="D14" s="112"/>
      <c r="E14" s="112"/>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row>
    <row r="15" spans="1:38" s="113" customFormat="1" ht="21.75" customHeight="1" x14ac:dyDescent="0.25">
      <c r="A15" s="112"/>
      <c r="B15" s="85" t="s">
        <v>246</v>
      </c>
      <c r="C15" s="112" t="s">
        <v>245</v>
      </c>
      <c r="D15" s="112"/>
      <c r="E15" s="112"/>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row>
    <row r="16" spans="1:38" s="113" customFormat="1" ht="24" customHeight="1" x14ac:dyDescent="0.25">
      <c r="A16" s="112"/>
      <c r="B16" s="85" t="s">
        <v>244</v>
      </c>
      <c r="C16" s="112" t="s">
        <v>243</v>
      </c>
      <c r="D16" s="112"/>
      <c r="E16" s="112"/>
      <c r="F16" s="112"/>
      <c r="G16" s="112"/>
      <c r="H16" s="112"/>
      <c r="I16" s="112"/>
      <c r="J16" s="112"/>
      <c r="K16" s="112"/>
      <c r="L16" s="112"/>
      <c r="M16" s="112"/>
      <c r="N16" s="112"/>
      <c r="O16" s="112"/>
      <c r="P16" s="112"/>
      <c r="Q16" s="112"/>
      <c r="R16" s="112"/>
      <c r="S16" s="112"/>
      <c r="T16" s="112"/>
      <c r="U16" s="112"/>
      <c r="V16" s="112"/>
      <c r="W16" s="112"/>
      <c r="X16" s="112"/>
      <c r="Y16" s="112"/>
      <c r="Z16" s="112"/>
      <c r="AA16" s="112"/>
      <c r="AB16" s="112"/>
      <c r="AC16" s="112"/>
      <c r="AD16" s="112"/>
      <c r="AE16" s="112"/>
      <c r="AF16" s="112"/>
      <c r="AG16" s="112"/>
      <c r="AH16" s="112"/>
      <c r="AI16" s="112"/>
      <c r="AJ16" s="112"/>
      <c r="AK16" s="112"/>
      <c r="AL16" s="112"/>
    </row>
    <row r="17" spans="1:38" s="113" customFormat="1" ht="25.5" customHeight="1" x14ac:dyDescent="0.25">
      <c r="A17" s="112"/>
      <c r="B17" s="85" t="s">
        <v>242</v>
      </c>
      <c r="C17" s="112" t="s">
        <v>241</v>
      </c>
      <c r="D17" s="112"/>
      <c r="E17" s="112"/>
      <c r="F17" s="112"/>
      <c r="G17" s="112"/>
      <c r="H17" s="112"/>
      <c r="I17" s="112"/>
      <c r="J17" s="112"/>
      <c r="K17" s="112"/>
      <c r="L17" s="112"/>
      <c r="M17" s="112"/>
      <c r="N17" s="112"/>
      <c r="O17" s="112"/>
      <c r="P17" s="112"/>
      <c r="Q17" s="112"/>
      <c r="R17" s="112"/>
      <c r="S17" s="112"/>
      <c r="T17" s="112"/>
      <c r="U17" s="112"/>
      <c r="V17" s="112"/>
      <c r="W17" s="112"/>
      <c r="X17" s="112"/>
      <c r="Y17" s="112"/>
      <c r="Z17" s="112"/>
      <c r="AA17" s="112"/>
      <c r="AB17" s="112"/>
      <c r="AC17" s="112"/>
      <c r="AD17" s="112"/>
      <c r="AE17" s="112"/>
      <c r="AF17" s="112"/>
      <c r="AG17" s="112"/>
      <c r="AH17" s="112"/>
      <c r="AI17" s="112"/>
      <c r="AJ17" s="112"/>
      <c r="AK17" s="112"/>
      <c r="AL17" s="112"/>
    </row>
    <row r="18" spans="1:38" s="113" customFormat="1" ht="22.7" customHeight="1" x14ac:dyDescent="0.25">
      <c r="A18" s="112"/>
      <c r="B18" s="85" t="s">
        <v>240</v>
      </c>
      <c r="C18" s="112" t="s">
        <v>239</v>
      </c>
      <c r="D18" s="112"/>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c r="AD18" s="112"/>
      <c r="AE18" s="112"/>
      <c r="AF18" s="112"/>
      <c r="AG18" s="112"/>
      <c r="AH18" s="112"/>
      <c r="AI18" s="112"/>
      <c r="AJ18" s="112"/>
      <c r="AK18" s="112"/>
      <c r="AL18" s="112"/>
    </row>
    <row r="19" spans="1:38" s="113" customFormat="1" ht="24.75" customHeight="1" x14ac:dyDescent="0.25">
      <c r="A19" s="112"/>
      <c r="B19" s="85"/>
      <c r="C19" s="112" t="s">
        <v>238</v>
      </c>
      <c r="D19" s="112"/>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c r="AD19" s="112"/>
      <c r="AE19" s="112"/>
      <c r="AF19" s="112"/>
      <c r="AG19" s="112"/>
      <c r="AH19" s="112"/>
      <c r="AI19" s="112"/>
      <c r="AJ19" s="112"/>
      <c r="AK19" s="112"/>
      <c r="AL19" s="112"/>
    </row>
    <row r="20" spans="1:38" s="113" customFormat="1" ht="33" customHeight="1" x14ac:dyDescent="0.25">
      <c r="A20" s="112"/>
      <c r="B20" s="85" t="s">
        <v>237</v>
      </c>
      <c r="C20" s="131" t="s">
        <v>236</v>
      </c>
      <c r="D20" s="131"/>
      <c r="E20" s="131"/>
      <c r="F20" s="131"/>
      <c r="G20" s="131"/>
      <c r="H20" s="131"/>
      <c r="I20" s="131"/>
      <c r="J20" s="131"/>
      <c r="K20" s="131"/>
      <c r="L20" s="131"/>
      <c r="M20" s="131"/>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row>
    <row r="21" spans="1:38" s="114" customFormat="1" ht="15.75" x14ac:dyDescent="0.25">
      <c r="A21" s="83"/>
      <c r="B21" s="84" t="s">
        <v>235</v>
      </c>
      <c r="C21" s="84"/>
      <c r="D21" s="84"/>
      <c r="E21" s="84"/>
      <c r="F21" s="84"/>
      <c r="G21" s="84"/>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row>
    <row r="22" spans="1:38" s="114" customFormat="1" ht="15.75" x14ac:dyDescent="0.25">
      <c r="A22" s="83"/>
      <c r="B22" s="83" t="s">
        <v>234</v>
      </c>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row>
    <row r="23" spans="1:38" s="114" customFormat="1" ht="15.75" x14ac:dyDescent="0.25">
      <c r="A23" s="83"/>
      <c r="B23" s="84" t="s">
        <v>416</v>
      </c>
      <c r="C23" s="83" t="s">
        <v>417</v>
      </c>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row>
    <row r="24" spans="1:38" s="114" customFormat="1" ht="15.75" x14ac:dyDescent="0.2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row>
    <row r="25" spans="1:38" s="114" customFormat="1" ht="15.75" x14ac:dyDescent="0.25">
      <c r="A25" s="83"/>
      <c r="B25" s="83"/>
      <c r="C25" s="83"/>
      <c r="D25" s="83"/>
      <c r="E25" s="83"/>
      <c r="F25" s="83"/>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row>
    <row r="26" spans="1:38" s="114" customFormat="1" ht="15.75" x14ac:dyDescent="0.2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row>
    <row r="27" spans="1:38" s="114" customFormat="1" ht="15.75" x14ac:dyDescent="0.2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row>
    <row r="28" spans="1:38" s="114" customFormat="1" ht="15.75" x14ac:dyDescent="0.2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row>
    <row r="29" spans="1:38" s="114" customFormat="1" ht="15.75" x14ac:dyDescent="0.2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row>
    <row r="30" spans="1:38" s="114" customFormat="1" ht="15.75" x14ac:dyDescent="0.2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row>
    <row r="31" spans="1:38" s="114" customFormat="1" ht="15.75" x14ac:dyDescent="0.2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row>
    <row r="32" spans="1:38" s="114" customFormat="1" ht="15.75" x14ac:dyDescent="0.2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row>
    <row r="33" spans="1:38" s="114" customFormat="1" ht="15.75" x14ac:dyDescent="0.2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row>
    <row r="34" spans="1:38" s="114" customFormat="1" ht="15.75" x14ac:dyDescent="0.2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row>
    <row r="35" spans="1:38" s="114" customFormat="1" ht="15.75" x14ac:dyDescent="0.2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row>
    <row r="36" spans="1:38" s="114" customFormat="1" ht="15.75" x14ac:dyDescent="0.2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row>
    <row r="37" spans="1:38" s="114" customFormat="1" ht="15.75" x14ac:dyDescent="0.25">
      <c r="A37" s="83"/>
      <c r="B37" s="84" t="s">
        <v>35</v>
      </c>
      <c r="C37" s="83" t="s">
        <v>233</v>
      </c>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row>
    <row r="38" spans="1:38" s="114" customFormat="1" ht="18.75" customHeight="1" x14ac:dyDescent="0.25">
      <c r="A38" s="83"/>
      <c r="B38" s="85" t="s">
        <v>232</v>
      </c>
      <c r="C38" s="131" t="s">
        <v>231</v>
      </c>
      <c r="D38" s="131"/>
      <c r="E38" s="131"/>
      <c r="F38" s="131"/>
      <c r="G38" s="131"/>
      <c r="H38" s="131"/>
      <c r="I38" s="131"/>
      <c r="J38" s="131"/>
      <c r="K38" s="131"/>
      <c r="L38" s="131"/>
      <c r="M38" s="131"/>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row>
    <row r="39" spans="1:38" s="114" customFormat="1" ht="15.75" x14ac:dyDescent="0.25">
      <c r="A39" s="83"/>
      <c r="B39" s="84" t="s">
        <v>230</v>
      </c>
      <c r="C39" s="83" t="s">
        <v>229</v>
      </c>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row>
    <row r="40" spans="1:38" s="114" customFormat="1" ht="35.85" customHeight="1" x14ac:dyDescent="0.25">
      <c r="A40" s="83"/>
      <c r="B40" s="85" t="s">
        <v>228</v>
      </c>
      <c r="C40" s="131" t="s">
        <v>227</v>
      </c>
      <c r="D40" s="131"/>
      <c r="E40" s="131"/>
      <c r="F40" s="131"/>
      <c r="G40" s="131"/>
      <c r="H40" s="131"/>
      <c r="I40" s="131"/>
      <c r="J40" s="131"/>
      <c r="K40" s="131"/>
      <c r="L40" s="131"/>
      <c r="M40" s="131"/>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row>
    <row r="41" spans="1:38" s="114" customFormat="1" ht="15.75" x14ac:dyDescent="0.25">
      <c r="A41" s="83"/>
      <c r="B41" s="85" t="s">
        <v>226</v>
      </c>
      <c r="C41" s="131" t="s">
        <v>225</v>
      </c>
      <c r="D41" s="131"/>
      <c r="E41" s="131"/>
      <c r="F41" s="131"/>
      <c r="G41" s="131"/>
      <c r="H41" s="131"/>
      <c r="I41" s="131"/>
      <c r="J41" s="115"/>
      <c r="K41" s="115"/>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row>
    <row r="42" spans="1:38" s="114" customFormat="1" ht="15.75" x14ac:dyDescent="0.25">
      <c r="A42" s="83"/>
      <c r="B42" s="85" t="s">
        <v>224</v>
      </c>
      <c r="C42" s="131" t="s">
        <v>223</v>
      </c>
      <c r="D42" s="131"/>
      <c r="E42" s="131"/>
      <c r="F42" s="131"/>
      <c r="G42" s="131"/>
      <c r="H42" s="131"/>
      <c r="I42" s="131"/>
      <c r="J42" s="115"/>
      <c r="K42" s="115"/>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row>
    <row r="43" spans="1:38" s="114" customFormat="1" ht="23.25" customHeight="1" x14ac:dyDescent="0.25">
      <c r="A43" s="83"/>
      <c r="B43" s="85" t="s">
        <v>222</v>
      </c>
      <c r="C43" s="131" t="s">
        <v>221</v>
      </c>
      <c r="D43" s="131"/>
      <c r="E43" s="131"/>
      <c r="F43" s="131"/>
      <c r="G43" s="131"/>
      <c r="H43" s="131"/>
      <c r="I43" s="131"/>
      <c r="J43" s="115"/>
      <c r="K43" s="115"/>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row>
    <row r="44" spans="1:38" s="114" customFormat="1" ht="28.5" customHeight="1" x14ac:dyDescent="0.25">
      <c r="A44" s="83"/>
      <c r="B44" s="85" t="s">
        <v>34</v>
      </c>
      <c r="C44" s="131" t="s">
        <v>220</v>
      </c>
      <c r="D44" s="131"/>
      <c r="E44" s="131"/>
      <c r="F44" s="131"/>
      <c r="G44" s="131"/>
      <c r="H44" s="131"/>
      <c r="I44" s="131"/>
      <c r="J44" s="131"/>
      <c r="K44" s="131"/>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row>
    <row r="45" spans="1:38" s="114" customFormat="1" ht="15.75" x14ac:dyDescent="0.25">
      <c r="A45" s="83"/>
      <c r="B45" s="85" t="s">
        <v>421</v>
      </c>
      <c r="C45" s="131" t="s">
        <v>219</v>
      </c>
      <c r="D45" s="131"/>
      <c r="E45" s="131"/>
      <c r="F45" s="131"/>
      <c r="G45" s="131"/>
      <c r="H45" s="131"/>
      <c r="I45" s="131"/>
      <c r="J45" s="131"/>
      <c r="K45" s="131"/>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row>
    <row r="46" spans="1:38" s="114" customFormat="1" ht="18" customHeight="1" x14ac:dyDescent="0.25">
      <c r="A46" s="83"/>
      <c r="B46" s="85"/>
      <c r="C46" s="131" t="s">
        <v>218</v>
      </c>
      <c r="D46" s="131"/>
      <c r="E46" s="131"/>
      <c r="F46" s="131"/>
      <c r="G46" s="131"/>
      <c r="H46" s="131"/>
      <c r="I46" s="131"/>
      <c r="J46" s="115"/>
      <c r="K46" s="115"/>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row>
    <row r="47" spans="1:38" s="114" customFormat="1" ht="33" customHeight="1" x14ac:dyDescent="0.25">
      <c r="A47" s="83"/>
      <c r="B47" s="84"/>
      <c r="C47" s="131" t="s">
        <v>217</v>
      </c>
      <c r="D47" s="131"/>
      <c r="E47" s="131"/>
      <c r="F47" s="131"/>
      <c r="G47" s="131"/>
      <c r="H47" s="131"/>
      <c r="I47" s="131"/>
      <c r="J47" s="131"/>
      <c r="K47" s="131"/>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row>
    <row r="48" spans="1:38" s="114" customFormat="1" ht="14.45" customHeight="1" x14ac:dyDescent="0.25">
      <c r="A48" s="83"/>
      <c r="B48" s="84"/>
      <c r="C48" s="126"/>
      <c r="D48" s="126"/>
      <c r="E48" s="126"/>
      <c r="F48" s="126"/>
      <c r="G48" s="126"/>
      <c r="H48" s="126"/>
      <c r="I48" s="126"/>
      <c r="J48" s="126"/>
      <c r="K48" s="126"/>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row>
    <row r="49" spans="1:38" s="114" customFormat="1" ht="14.45" customHeight="1" x14ac:dyDescent="0.25">
      <c r="A49" s="83"/>
      <c r="B49" s="84"/>
      <c r="C49" s="126"/>
      <c r="D49" s="126"/>
      <c r="E49" s="126"/>
      <c r="F49" s="126"/>
      <c r="G49" s="126"/>
      <c r="H49" s="126"/>
      <c r="I49" s="126"/>
      <c r="J49" s="126"/>
      <c r="K49" s="126"/>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row>
    <row r="50" spans="1:38" s="114" customFormat="1" ht="14.45" customHeight="1" x14ac:dyDescent="0.25">
      <c r="A50" s="83"/>
      <c r="B50" s="84"/>
      <c r="C50" s="126"/>
      <c r="D50" s="126"/>
      <c r="E50" s="126"/>
      <c r="F50" s="126"/>
      <c r="G50" s="126"/>
      <c r="H50" s="126"/>
      <c r="I50" s="126"/>
      <c r="J50" s="126"/>
      <c r="K50" s="126"/>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row>
    <row r="51" spans="1:38" s="114" customFormat="1" ht="14.45" customHeight="1" x14ac:dyDescent="0.25">
      <c r="A51" s="83"/>
      <c r="B51" s="84"/>
      <c r="C51" s="126"/>
      <c r="D51" s="126"/>
      <c r="E51" s="126"/>
      <c r="F51" s="126"/>
      <c r="G51" s="126"/>
      <c r="H51" s="126"/>
      <c r="I51" s="126"/>
      <c r="J51" s="126"/>
      <c r="K51" s="126"/>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row>
    <row r="52" spans="1:38" s="114" customFormat="1" ht="14.45" customHeight="1" x14ac:dyDescent="0.25">
      <c r="A52" s="83"/>
      <c r="B52" s="84"/>
      <c r="C52" s="126"/>
      <c r="D52" s="126"/>
      <c r="E52" s="126"/>
      <c r="F52" s="126"/>
      <c r="G52" s="126"/>
      <c r="H52" s="126"/>
      <c r="I52" s="126"/>
      <c r="J52" s="126"/>
      <c r="K52" s="126"/>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row>
    <row r="53" spans="1:38" s="114" customFormat="1" ht="14.45" customHeight="1" x14ac:dyDescent="0.25">
      <c r="A53" s="83"/>
      <c r="B53" s="84"/>
      <c r="C53" s="126"/>
      <c r="D53" s="126"/>
      <c r="E53" s="126"/>
      <c r="F53" s="126"/>
      <c r="G53" s="126"/>
      <c r="H53" s="126"/>
      <c r="I53" s="126"/>
      <c r="J53" s="126"/>
      <c r="K53" s="126"/>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row>
    <row r="54" spans="1:38" s="114" customFormat="1" ht="14.45" customHeight="1" x14ac:dyDescent="0.25">
      <c r="A54" s="83"/>
      <c r="B54" s="84"/>
      <c r="C54" s="126"/>
      <c r="D54" s="126"/>
      <c r="E54" s="126"/>
      <c r="F54" s="126"/>
      <c r="G54" s="126"/>
      <c r="H54" s="126"/>
      <c r="I54" s="126"/>
      <c r="J54" s="126"/>
      <c r="K54" s="126"/>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row>
    <row r="55" spans="1:38" s="114" customFormat="1" ht="14.45" customHeight="1" x14ac:dyDescent="0.25">
      <c r="A55" s="83"/>
      <c r="B55" s="84"/>
      <c r="C55" s="126"/>
      <c r="D55" s="126"/>
      <c r="E55" s="126"/>
      <c r="F55" s="126"/>
      <c r="G55" s="126"/>
      <c r="H55" s="126"/>
      <c r="I55" s="126"/>
      <c r="J55" s="126"/>
      <c r="K55" s="126"/>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row>
    <row r="56" spans="1:38" s="114" customFormat="1" ht="19.149999999999999" customHeight="1" x14ac:dyDescent="0.25">
      <c r="A56" s="83"/>
      <c r="B56" s="84"/>
      <c r="C56" s="126"/>
      <c r="D56" s="126"/>
      <c r="E56" s="126"/>
      <c r="F56" s="126"/>
      <c r="G56" s="126"/>
      <c r="H56" s="126"/>
      <c r="I56" s="126"/>
      <c r="J56" s="126"/>
      <c r="K56" s="126"/>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row>
    <row r="57" spans="1:38" s="114" customFormat="1" ht="19.149999999999999" customHeight="1" x14ac:dyDescent="0.25">
      <c r="A57" s="83"/>
      <c r="B57" s="84"/>
      <c r="C57" s="126"/>
      <c r="D57" s="126"/>
      <c r="E57" s="126"/>
      <c r="F57" s="126"/>
      <c r="G57" s="126"/>
      <c r="H57" s="126"/>
      <c r="I57" s="126"/>
      <c r="J57" s="126"/>
      <c r="K57" s="126"/>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row>
    <row r="58" spans="1:38" s="114" customFormat="1" ht="19.149999999999999" customHeight="1" x14ac:dyDescent="0.25">
      <c r="A58" s="83"/>
      <c r="B58" s="84"/>
      <c r="C58" s="126"/>
      <c r="D58" s="126"/>
      <c r="E58" s="126"/>
      <c r="F58" s="126"/>
      <c r="G58" s="126"/>
      <c r="H58" s="126"/>
      <c r="I58" s="126"/>
      <c r="J58" s="126"/>
      <c r="K58" s="126"/>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row>
    <row r="59" spans="1:38" s="114" customFormat="1" ht="19.149999999999999" customHeight="1" x14ac:dyDescent="0.25">
      <c r="A59" s="83"/>
      <c r="B59" s="85" t="s">
        <v>418</v>
      </c>
      <c r="C59" s="12" t="s">
        <v>419</v>
      </c>
      <c r="D59" s="126"/>
      <c r="E59" s="126"/>
      <c r="F59" s="126"/>
      <c r="G59" s="126"/>
      <c r="H59" s="126"/>
      <c r="I59" s="126"/>
      <c r="J59" s="126"/>
      <c r="K59" s="126"/>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row>
    <row r="60" spans="1:38" s="114" customFormat="1" ht="19.149999999999999" customHeight="1" x14ac:dyDescent="0.25">
      <c r="A60" s="83"/>
      <c r="B60" s="84"/>
      <c r="C60" s="126"/>
      <c r="D60" s="126"/>
      <c r="E60" s="126"/>
      <c r="F60" s="126"/>
      <c r="G60" s="126"/>
      <c r="H60" s="126"/>
      <c r="I60" s="126"/>
      <c r="J60" s="126"/>
      <c r="K60" s="126"/>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row>
    <row r="61" spans="1:38" s="114" customFormat="1" ht="19.149999999999999" customHeight="1" x14ac:dyDescent="0.25">
      <c r="A61" s="83"/>
      <c r="B61" s="84"/>
      <c r="C61" s="126"/>
      <c r="D61" s="126"/>
      <c r="E61" s="126"/>
      <c r="F61" s="126"/>
      <c r="G61" s="126"/>
      <c r="H61" s="126"/>
      <c r="I61" s="126"/>
      <c r="J61" s="126"/>
      <c r="K61" s="126"/>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row>
    <row r="62" spans="1:38" s="114" customFormat="1" ht="19.149999999999999" customHeight="1" x14ac:dyDescent="0.25">
      <c r="A62" s="83"/>
      <c r="B62" s="84"/>
      <c r="C62" s="126"/>
      <c r="D62" s="126"/>
      <c r="E62" s="126"/>
      <c r="F62" s="126"/>
      <c r="G62" s="126"/>
      <c r="H62" s="126"/>
      <c r="I62" s="126"/>
      <c r="J62" s="126"/>
      <c r="K62" s="126"/>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row>
    <row r="63" spans="1:38" s="114" customFormat="1" ht="19.149999999999999" customHeight="1" x14ac:dyDescent="0.25">
      <c r="A63" s="83"/>
      <c r="B63" s="84"/>
      <c r="C63" s="126"/>
      <c r="D63" s="126"/>
      <c r="E63" s="126"/>
      <c r="F63" s="126"/>
      <c r="G63" s="126"/>
      <c r="H63" s="126"/>
      <c r="I63" s="126"/>
      <c r="J63" s="126"/>
      <c r="K63" s="126"/>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row>
    <row r="64" spans="1:38" ht="9.75" customHeight="1" x14ac:dyDescent="0.25">
      <c r="A64" s="12"/>
      <c r="B64" s="84"/>
      <c r="C64" s="83"/>
      <c r="D64" s="83"/>
      <c r="E64" s="83"/>
      <c r="F64" s="83"/>
      <c r="G64" s="83"/>
      <c r="H64" s="83"/>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row>
    <row r="65" spans="1:38" ht="15.75" x14ac:dyDescent="0.25">
      <c r="A65" s="12"/>
      <c r="B65" s="84"/>
      <c r="C65" s="83"/>
      <c r="D65" s="110"/>
      <c r="E65" s="110"/>
      <c r="F65" s="110"/>
      <c r="G65" s="110"/>
      <c r="H65" s="111"/>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row>
    <row r="66" spans="1:38" ht="15.75" x14ac:dyDescent="0.25">
      <c r="A66" s="12"/>
      <c r="B66" s="84"/>
      <c r="C66" s="83"/>
      <c r="D66" s="86"/>
      <c r="E66" s="86"/>
      <c r="F66" s="86"/>
      <c r="G66" s="86"/>
      <c r="H66" s="87"/>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row>
    <row r="67" spans="1:38" ht="18.75" customHeight="1" x14ac:dyDescent="0.25">
      <c r="A67" s="12"/>
      <c r="B67" s="84"/>
      <c r="C67" s="83"/>
      <c r="D67" s="86"/>
      <c r="E67" s="86"/>
      <c r="F67" s="86"/>
      <c r="G67" s="86"/>
      <c r="H67" s="87"/>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row>
    <row r="68" spans="1:38" ht="15.75" x14ac:dyDescent="0.25">
      <c r="A68" s="12"/>
      <c r="B68" s="84"/>
      <c r="C68" s="83"/>
      <c r="D68" s="88"/>
      <c r="E68" s="88"/>
      <c r="F68" s="88"/>
      <c r="G68" s="88"/>
      <c r="H68" s="89"/>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row>
    <row r="69" spans="1:38" ht="31.7" customHeight="1" x14ac:dyDescent="0.25">
      <c r="A69" s="12"/>
      <c r="B69" s="84"/>
      <c r="C69" s="83"/>
      <c r="D69" s="83"/>
      <c r="E69" s="83"/>
      <c r="F69" s="83"/>
      <c r="G69" s="83"/>
      <c r="H69" s="83"/>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row>
    <row r="70" spans="1:38" ht="31.7" customHeight="1" x14ac:dyDescent="0.25">
      <c r="A70" s="12"/>
      <c r="B70" s="84"/>
      <c r="C70" s="83"/>
      <c r="D70" s="83"/>
      <c r="E70" s="83"/>
      <c r="F70" s="83"/>
      <c r="G70" s="83"/>
      <c r="H70" s="83"/>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row>
    <row r="71" spans="1:38" ht="18" customHeight="1" x14ac:dyDescent="0.25">
      <c r="A71" s="12"/>
      <c r="B71" s="84"/>
      <c r="C71" s="12" t="s">
        <v>420</v>
      </c>
      <c r="D71" s="83"/>
      <c r="E71" s="83"/>
      <c r="F71" s="83"/>
      <c r="G71" s="83"/>
      <c r="H71" s="83"/>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row>
    <row r="72" spans="1:38" ht="18" customHeight="1" x14ac:dyDescent="0.25">
      <c r="A72" s="12"/>
      <c r="B72" s="84"/>
      <c r="C72" s="12"/>
      <c r="D72" s="83"/>
      <c r="E72" s="83"/>
      <c r="F72" s="83"/>
      <c r="G72" s="83"/>
      <c r="H72" s="83"/>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row>
    <row r="73" spans="1:38" ht="18" customHeight="1" x14ac:dyDescent="0.25">
      <c r="A73" s="12"/>
      <c r="B73" s="84"/>
      <c r="C73" s="12"/>
      <c r="D73" s="83"/>
      <c r="E73" s="83"/>
      <c r="F73" s="83"/>
      <c r="G73" s="83"/>
      <c r="H73" s="83"/>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row>
    <row r="74" spans="1:38" ht="18" customHeight="1" x14ac:dyDescent="0.25">
      <c r="A74" s="12"/>
      <c r="B74" s="84"/>
      <c r="C74" s="12"/>
      <c r="D74" s="83"/>
      <c r="E74" s="83"/>
      <c r="F74" s="83"/>
      <c r="G74" s="83"/>
      <c r="H74" s="83"/>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row>
    <row r="75" spans="1:38" ht="18" customHeight="1" x14ac:dyDescent="0.25">
      <c r="A75" s="12"/>
      <c r="B75" s="84"/>
      <c r="C75" s="12"/>
      <c r="D75" s="83"/>
      <c r="E75" s="83"/>
      <c r="F75" s="83"/>
      <c r="G75" s="83"/>
      <c r="H75" s="83"/>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row>
    <row r="76" spans="1:38" ht="18" customHeight="1" x14ac:dyDescent="0.25">
      <c r="A76" s="12"/>
      <c r="B76" s="84"/>
      <c r="C76" s="12"/>
      <c r="D76" s="83"/>
      <c r="E76" s="83"/>
      <c r="F76" s="83"/>
      <c r="G76" s="83"/>
      <c r="H76" s="83"/>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row>
    <row r="77" spans="1:38" ht="18" customHeight="1" x14ac:dyDescent="0.25">
      <c r="A77" s="12"/>
      <c r="B77" s="84"/>
      <c r="C77" s="12"/>
      <c r="D77" s="83"/>
      <c r="E77" s="83"/>
      <c r="F77" s="83"/>
      <c r="G77" s="83"/>
      <c r="H77" s="83"/>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row>
    <row r="78" spans="1:38" ht="18" customHeight="1" x14ac:dyDescent="0.25">
      <c r="A78" s="12"/>
      <c r="B78" s="84"/>
      <c r="C78" s="12"/>
      <c r="D78" s="83"/>
      <c r="E78" s="83"/>
      <c r="F78" s="83"/>
      <c r="G78" s="83"/>
      <c r="H78" s="83"/>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row>
    <row r="79" spans="1:38" ht="18" customHeight="1" x14ac:dyDescent="0.25">
      <c r="A79" s="12"/>
      <c r="B79" s="84"/>
      <c r="C79" s="12"/>
      <c r="D79" s="83"/>
      <c r="E79" s="83"/>
      <c r="F79" s="83"/>
      <c r="G79" s="83"/>
      <c r="H79" s="83"/>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row>
    <row r="80" spans="1:38" ht="18" customHeight="1" x14ac:dyDescent="0.25">
      <c r="A80" s="12"/>
      <c r="B80" s="84"/>
      <c r="C80" s="12"/>
      <c r="D80" s="83"/>
      <c r="E80" s="83"/>
      <c r="F80" s="83"/>
      <c r="G80" s="83"/>
      <c r="H80" s="83"/>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row>
    <row r="81" spans="1:38" ht="18" customHeight="1" x14ac:dyDescent="0.25">
      <c r="A81" s="12"/>
      <c r="B81" s="84"/>
      <c r="C81" s="12"/>
      <c r="D81" s="83"/>
      <c r="E81" s="83"/>
      <c r="F81" s="83"/>
      <c r="G81" s="83"/>
      <c r="H81" s="83"/>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row>
    <row r="82" spans="1:38" ht="18" customHeight="1" x14ac:dyDescent="0.25">
      <c r="A82" s="12"/>
      <c r="B82" s="84"/>
      <c r="C82" s="12"/>
      <c r="D82" s="83"/>
      <c r="E82" s="83"/>
      <c r="F82" s="83"/>
      <c r="G82" s="83"/>
      <c r="H82" s="83"/>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row>
    <row r="83" spans="1:38" ht="21" x14ac:dyDescent="0.25">
      <c r="A83" s="12"/>
      <c r="B83" s="134" t="s">
        <v>216</v>
      </c>
      <c r="C83" s="134"/>
      <c r="D83" s="134"/>
      <c r="E83" s="134"/>
      <c r="F83" s="134"/>
      <c r="G83" s="134"/>
      <c r="H83" s="134"/>
      <c r="I83" s="134"/>
      <c r="J83" s="134"/>
      <c r="K83" s="134"/>
      <c r="L83" s="134"/>
      <c r="M83" s="134"/>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row>
    <row r="84" spans="1:38" ht="21" x14ac:dyDescent="0.3">
      <c r="A84" s="12"/>
      <c r="B84" s="117" t="s">
        <v>215</v>
      </c>
      <c r="C84" s="118"/>
      <c r="D84" s="118"/>
      <c r="E84" s="118"/>
      <c r="F84" s="118"/>
      <c r="G84" s="118"/>
      <c r="H84" s="118"/>
      <c r="I84" s="118"/>
      <c r="J84" s="118"/>
      <c r="K84" s="118"/>
      <c r="L84" s="118"/>
      <c r="M84" s="118"/>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row>
    <row r="85" spans="1:38" ht="21" x14ac:dyDescent="0.25">
      <c r="A85" s="12"/>
      <c r="B85" s="84" t="s">
        <v>214</v>
      </c>
      <c r="C85" s="118"/>
      <c r="D85" s="118"/>
      <c r="E85" s="118"/>
      <c r="F85" s="118"/>
      <c r="G85" s="118"/>
      <c r="H85" s="118"/>
      <c r="I85" s="118"/>
      <c r="J85" s="118"/>
      <c r="K85" s="118"/>
      <c r="L85" s="118"/>
      <c r="M85" s="118"/>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row>
    <row r="86" spans="1:38" ht="21" x14ac:dyDescent="0.25">
      <c r="A86" s="12"/>
      <c r="B86" s="83" t="s">
        <v>213</v>
      </c>
      <c r="C86" s="118"/>
      <c r="D86" s="118"/>
      <c r="E86" s="118"/>
      <c r="F86" s="118"/>
      <c r="G86" s="118"/>
      <c r="H86" s="118"/>
      <c r="I86" s="118"/>
      <c r="J86" s="118"/>
      <c r="K86" s="118"/>
      <c r="L86" s="118"/>
      <c r="M86" s="118"/>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row>
    <row r="87" spans="1:38" ht="21" x14ac:dyDescent="0.25">
      <c r="A87" s="12"/>
      <c r="B87" s="83"/>
      <c r="C87" s="118"/>
      <c r="D87" s="118"/>
      <c r="E87" s="118"/>
      <c r="F87" s="118"/>
      <c r="G87" s="118"/>
      <c r="H87" s="118"/>
      <c r="I87" s="118"/>
      <c r="J87" s="118"/>
      <c r="K87" s="118"/>
      <c r="L87" s="118"/>
      <c r="M87" s="118"/>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row>
    <row r="88" spans="1:38" ht="21" x14ac:dyDescent="0.3">
      <c r="A88" s="12"/>
      <c r="B88" s="117" t="s">
        <v>212</v>
      </c>
      <c r="C88" s="118"/>
      <c r="D88" s="118"/>
      <c r="E88" s="118"/>
      <c r="F88" s="118"/>
      <c r="G88" s="118"/>
      <c r="H88" s="118"/>
      <c r="I88" s="118"/>
      <c r="J88" s="118"/>
      <c r="K88" s="118"/>
      <c r="L88" s="118"/>
      <c r="M88" s="118"/>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row>
    <row r="89" spans="1:38" s="114" customFormat="1" ht="15.75" x14ac:dyDescent="0.25">
      <c r="A89" s="83"/>
      <c r="B89" s="84" t="s">
        <v>211</v>
      </c>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row>
    <row r="90" spans="1:38" s="114" customFormat="1" ht="15.75" x14ac:dyDescent="0.25">
      <c r="A90" s="83"/>
      <c r="B90" s="83" t="s">
        <v>210</v>
      </c>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row>
    <row r="91" spans="1:38" s="114" customFormat="1" ht="15.75" x14ac:dyDescent="0.25">
      <c r="B91" s="83" t="s">
        <v>209</v>
      </c>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row>
    <row r="92" spans="1:38"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row>
    <row r="93" spans="1:38"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row>
    <row r="94" spans="1:38" x14ac:dyDescent="0.25">
      <c r="A94" s="12"/>
      <c r="B94" s="90"/>
      <c r="C94" s="90"/>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row>
    <row r="95" spans="1:38" ht="18.75" customHeight="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row>
    <row r="96" spans="1:38" ht="43.5" customHeight="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row>
    <row r="97" spans="1:38" ht="13.15" customHeight="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row>
    <row r="98" spans="1:38" ht="13.15" customHeight="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row>
    <row r="99" spans="1:38" s="114" customFormat="1" ht="15.75" x14ac:dyDescent="0.25">
      <c r="A99" s="83"/>
      <c r="B99" s="83" t="s">
        <v>208</v>
      </c>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row>
    <row r="100" spans="1:38" s="114" customFormat="1" ht="33.6" customHeight="1" x14ac:dyDescent="0.25">
      <c r="A100" s="83"/>
      <c r="B100" s="131" t="s">
        <v>207</v>
      </c>
      <c r="C100" s="131"/>
      <c r="D100" s="131"/>
      <c r="E100" s="131"/>
      <c r="F100" s="131"/>
      <c r="G100" s="131"/>
      <c r="H100" s="131"/>
      <c r="I100" s="131"/>
      <c r="J100" s="131"/>
      <c r="K100" s="131"/>
      <c r="L100" s="131"/>
      <c r="M100" s="131"/>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row>
    <row r="101" spans="1:38" s="114" customFormat="1" ht="15.75" x14ac:dyDescent="0.25">
      <c r="A101" s="83"/>
      <c r="B101" s="126"/>
      <c r="C101" s="126"/>
      <c r="D101" s="126"/>
      <c r="E101" s="126"/>
      <c r="F101" s="126"/>
      <c r="G101" s="126"/>
      <c r="H101" s="126"/>
      <c r="I101" s="126"/>
      <c r="J101" s="126"/>
      <c r="K101" s="126"/>
      <c r="L101" s="126"/>
      <c r="M101" s="126"/>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row>
    <row r="102" spans="1:38" s="114" customFormat="1" ht="15.75" x14ac:dyDescent="0.25">
      <c r="A102" s="83"/>
      <c r="B102" s="126"/>
      <c r="C102" s="126"/>
      <c r="D102" s="126"/>
      <c r="E102" s="126"/>
      <c r="F102" s="126"/>
      <c r="G102" s="126"/>
      <c r="H102" s="126"/>
      <c r="I102" s="126"/>
      <c r="J102" s="126"/>
      <c r="K102" s="126"/>
      <c r="L102" s="126"/>
      <c r="M102" s="126"/>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row>
    <row r="103" spans="1:38" s="114" customFormat="1" ht="15.75" x14ac:dyDescent="0.25">
      <c r="A103" s="83"/>
      <c r="B103" s="126"/>
      <c r="C103" s="126"/>
      <c r="D103" s="126"/>
      <c r="E103" s="126"/>
      <c r="F103" s="126"/>
      <c r="G103" s="126"/>
      <c r="H103" s="126"/>
      <c r="I103" s="126"/>
      <c r="J103" s="126"/>
      <c r="K103" s="126"/>
      <c r="L103" s="126"/>
      <c r="M103" s="126"/>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row>
    <row r="104" spans="1:38" s="114" customFormat="1" ht="15.75" x14ac:dyDescent="0.25">
      <c r="A104" s="83"/>
      <c r="B104" s="126"/>
      <c r="C104" s="126"/>
      <c r="D104" s="126"/>
      <c r="E104" s="126"/>
      <c r="F104" s="126"/>
      <c r="G104" s="126"/>
      <c r="H104" s="126"/>
      <c r="I104" s="126"/>
      <c r="J104" s="126"/>
      <c r="K104" s="126"/>
      <c r="L104" s="126"/>
      <c r="M104" s="126"/>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row>
    <row r="105" spans="1:38" s="114" customFormat="1" ht="15.75" x14ac:dyDescent="0.25">
      <c r="A105" s="83"/>
      <c r="B105" s="126"/>
      <c r="C105" s="126"/>
      <c r="D105" s="126"/>
      <c r="E105" s="126"/>
      <c r="F105" s="126"/>
      <c r="G105" s="126"/>
      <c r="H105" s="126"/>
      <c r="I105" s="126"/>
      <c r="J105" s="126"/>
      <c r="K105" s="126"/>
      <c r="L105" s="126"/>
      <c r="M105" s="126"/>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row>
    <row r="106" spans="1:38" s="114" customFormat="1" ht="15.75" x14ac:dyDescent="0.25">
      <c r="A106" s="83"/>
      <c r="B106" s="126"/>
      <c r="C106" s="126"/>
      <c r="D106" s="126"/>
      <c r="E106" s="126"/>
      <c r="F106" s="126"/>
      <c r="G106" s="126"/>
      <c r="H106" s="126"/>
      <c r="I106" s="126"/>
      <c r="J106" s="126"/>
      <c r="K106" s="126"/>
      <c r="L106" s="126"/>
      <c r="M106" s="126"/>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row>
    <row r="107" spans="1:38" s="114" customFormat="1" ht="15.75" x14ac:dyDescent="0.25">
      <c r="A107" s="83"/>
      <c r="B107" s="126"/>
      <c r="C107" s="126"/>
      <c r="D107" s="126"/>
      <c r="E107" s="126"/>
      <c r="F107" s="126"/>
      <c r="G107" s="126"/>
      <c r="H107" s="126"/>
      <c r="I107" s="126"/>
      <c r="J107" s="126"/>
      <c r="K107" s="126"/>
      <c r="L107" s="126"/>
      <c r="M107" s="126"/>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row>
    <row r="108" spans="1:38" s="114" customFormat="1" ht="15.75" x14ac:dyDescent="0.25">
      <c r="A108" s="83"/>
      <c r="B108" s="126"/>
      <c r="C108" s="126"/>
      <c r="D108" s="126"/>
      <c r="E108" s="126"/>
      <c r="F108" s="126"/>
      <c r="G108" s="126"/>
      <c r="H108" s="126"/>
      <c r="I108" s="126"/>
      <c r="J108" s="126"/>
      <c r="K108" s="126"/>
      <c r="L108" s="126"/>
      <c r="M108" s="126"/>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row>
    <row r="109" spans="1:38" s="114" customFormat="1" ht="15.75" x14ac:dyDescent="0.25">
      <c r="A109" s="83"/>
      <c r="B109" s="126"/>
      <c r="C109" s="126"/>
      <c r="D109" s="126"/>
      <c r="E109" s="126"/>
      <c r="F109" s="126"/>
      <c r="G109" s="126"/>
      <c r="H109" s="126"/>
      <c r="I109" s="126"/>
      <c r="J109" s="126"/>
      <c r="K109" s="126"/>
      <c r="L109" s="126"/>
      <c r="M109" s="126"/>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row>
    <row r="110" spans="1:38" s="114" customFormat="1" ht="15.75" x14ac:dyDescent="0.25">
      <c r="A110" s="83"/>
      <c r="B110" s="126"/>
      <c r="C110" s="126"/>
      <c r="D110" s="126"/>
      <c r="E110" s="126"/>
      <c r="F110" s="126"/>
      <c r="G110" s="126"/>
      <c r="H110" s="126"/>
      <c r="I110" s="126"/>
      <c r="J110" s="126"/>
      <c r="K110" s="126"/>
      <c r="L110" s="126"/>
      <c r="M110" s="126"/>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row>
    <row r="111" spans="1:38" x14ac:dyDescent="0.25">
      <c r="A111" s="12"/>
      <c r="B111" s="90"/>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row>
    <row r="112" spans="1:38" x14ac:dyDescent="0.25">
      <c r="A112" s="12"/>
      <c r="B112" s="91"/>
      <c r="C112" s="12"/>
      <c r="D112" s="12"/>
      <c r="E112" s="132"/>
      <c r="F112" s="132"/>
      <c r="G112" s="132"/>
      <c r="H112" s="132"/>
      <c r="I112" s="132"/>
      <c r="J112" s="132"/>
      <c r="K112" s="132"/>
      <c r="L112" s="13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row>
    <row r="113" spans="1:38" ht="43.35" customHeight="1" x14ac:dyDescent="0.25">
      <c r="A113" s="12"/>
      <c r="B113" s="133"/>
      <c r="C113" s="133"/>
      <c r="D113" s="133"/>
      <c r="E113" s="132"/>
      <c r="F113" s="132"/>
      <c r="G113" s="132"/>
      <c r="H113" s="132"/>
      <c r="I113" s="132"/>
      <c r="J113" s="132"/>
      <c r="K113" s="132"/>
      <c r="L113" s="13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row>
    <row r="114" spans="1:38"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row>
    <row r="115" spans="1:38"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row>
    <row r="116" spans="1:38"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row>
    <row r="117" spans="1:38"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row>
    <row r="118" spans="1:38"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row>
    <row r="119" spans="1:38" ht="15.75" x14ac:dyDescent="0.25">
      <c r="A119" s="12"/>
      <c r="B119" s="131" t="s">
        <v>206</v>
      </c>
      <c r="C119" s="131"/>
      <c r="D119" s="131"/>
      <c r="E119" s="131"/>
      <c r="F119" s="131"/>
      <c r="G119" s="131"/>
      <c r="H119" s="131"/>
      <c r="I119" s="131"/>
      <c r="J119" s="131"/>
      <c r="K119" s="131"/>
      <c r="L119" s="131"/>
      <c r="M119" s="131"/>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row>
    <row r="120" spans="1:38"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row>
    <row r="121" spans="1:38" ht="15.75" x14ac:dyDescent="0.25">
      <c r="A121" s="12"/>
      <c r="B121" s="127" t="s">
        <v>205</v>
      </c>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row>
    <row r="122" spans="1:38"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row>
    <row r="123" spans="1:38" ht="15.75" x14ac:dyDescent="0.25">
      <c r="A123" s="12"/>
      <c r="B123" s="84" t="s">
        <v>204</v>
      </c>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row>
    <row r="124" spans="1:38" ht="30.6" customHeight="1" x14ac:dyDescent="0.25">
      <c r="A124" s="12"/>
      <c r="B124" s="131" t="s">
        <v>203</v>
      </c>
      <c r="C124" s="131"/>
      <c r="D124" s="131"/>
      <c r="E124" s="131"/>
      <c r="F124" s="131"/>
      <c r="G124" s="131"/>
      <c r="H124" s="131"/>
      <c r="I124" s="131"/>
      <c r="J124" s="131"/>
      <c r="K124" s="131"/>
      <c r="L124" s="131"/>
      <c r="M124" s="131"/>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row>
    <row r="125" spans="1:38" x14ac:dyDescent="0.25">
      <c r="A125" s="12"/>
      <c r="B125" s="12"/>
      <c r="C125" s="12"/>
      <c r="D125" s="12"/>
      <c r="E125" s="12"/>
      <c r="F125" s="12"/>
      <c r="G125" s="12"/>
      <c r="H125" s="12"/>
      <c r="I125" s="132"/>
      <c r="J125" s="132"/>
      <c r="K125" s="132"/>
      <c r="L125" s="132"/>
      <c r="M125" s="132"/>
      <c r="N125" s="13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row>
    <row r="126" spans="1:38"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row>
    <row r="127" spans="1:38"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row>
    <row r="128" spans="1:38" x14ac:dyDescent="0.25">
      <c r="A128" s="12"/>
      <c r="B128" s="12"/>
      <c r="C128" s="12"/>
      <c r="D128" s="12"/>
      <c r="E128" s="12"/>
      <c r="F128" s="12"/>
      <c r="G128" s="12"/>
      <c r="H128" s="12"/>
      <c r="I128" s="90"/>
      <c r="J128" s="9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row>
    <row r="129" spans="1:38" x14ac:dyDescent="0.25">
      <c r="A129" s="12"/>
      <c r="B129" s="12"/>
      <c r="C129" s="12"/>
      <c r="D129" s="12"/>
      <c r="E129" s="12"/>
      <c r="F129" s="12"/>
      <c r="G129" s="12"/>
      <c r="H129" s="12"/>
      <c r="I129" s="90"/>
      <c r="J129" s="9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row>
    <row r="130" spans="1:38" x14ac:dyDescent="0.25">
      <c r="A130" s="12"/>
      <c r="B130" s="12"/>
      <c r="C130" s="12"/>
      <c r="D130" s="12"/>
      <c r="E130" s="12"/>
      <c r="F130" s="12"/>
      <c r="G130" s="12"/>
      <c r="H130" s="12"/>
      <c r="I130" s="90"/>
      <c r="J130" s="9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row>
    <row r="131" spans="1:38" x14ac:dyDescent="0.25">
      <c r="A131" s="12"/>
      <c r="B131" s="12"/>
      <c r="C131" s="12"/>
      <c r="D131" s="12"/>
      <c r="E131" s="12"/>
      <c r="F131" s="12"/>
      <c r="G131" s="12"/>
      <c r="H131" s="12"/>
      <c r="I131" s="90"/>
      <c r="J131" s="9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row>
    <row r="132" spans="1:38" x14ac:dyDescent="0.25">
      <c r="A132" s="12"/>
      <c r="B132" s="12"/>
      <c r="C132" s="12"/>
      <c r="D132" s="12"/>
      <c r="E132" s="12"/>
      <c r="F132" s="12"/>
      <c r="G132" s="12"/>
      <c r="H132" s="12"/>
      <c r="I132" s="90"/>
      <c r="J132" s="9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row>
    <row r="133" spans="1:38" x14ac:dyDescent="0.25">
      <c r="A133" s="12"/>
      <c r="B133" s="12"/>
      <c r="C133" s="12"/>
      <c r="D133" s="12"/>
      <c r="E133" s="12"/>
      <c r="F133" s="12"/>
      <c r="G133" s="12"/>
      <c r="H133" s="12"/>
      <c r="I133" s="90"/>
      <c r="J133" s="9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row>
    <row r="134" spans="1:38" x14ac:dyDescent="0.25">
      <c r="A134" s="12"/>
      <c r="B134" s="12"/>
      <c r="C134" s="12"/>
      <c r="D134" s="12"/>
      <c r="E134" s="12"/>
      <c r="F134" s="12"/>
      <c r="G134" s="12"/>
      <c r="H134" s="12"/>
      <c r="I134" s="90"/>
      <c r="J134" s="9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row>
    <row r="135" spans="1:38" ht="16.5" customHeight="1" x14ac:dyDescent="0.25">
      <c r="A135" s="12"/>
      <c r="B135" s="12"/>
      <c r="C135" s="12"/>
      <c r="D135" s="12"/>
      <c r="E135" s="12"/>
      <c r="F135" s="12"/>
      <c r="G135" s="12"/>
      <c r="H135" s="12"/>
      <c r="I135" s="90"/>
      <c r="J135" s="9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row>
    <row r="136" spans="1:38" ht="16.5" customHeight="1" x14ac:dyDescent="0.25">
      <c r="A136" s="12"/>
      <c r="B136" s="12"/>
      <c r="C136" s="12"/>
      <c r="D136" s="12"/>
      <c r="E136" s="12"/>
      <c r="F136" s="12"/>
      <c r="G136" s="12"/>
      <c r="H136" s="12"/>
      <c r="I136" s="90"/>
      <c r="J136" s="9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row>
    <row r="137" spans="1:38" ht="16.5" customHeight="1" x14ac:dyDescent="0.25">
      <c r="A137" s="12"/>
      <c r="B137" s="12"/>
      <c r="C137" s="12"/>
      <c r="D137" s="12"/>
      <c r="E137" s="12"/>
      <c r="F137" s="12"/>
      <c r="G137" s="12"/>
      <c r="H137" s="12"/>
      <c r="I137" s="90"/>
      <c r="J137" s="9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row>
    <row r="138" spans="1:38" ht="16.5" customHeight="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row>
    <row r="139" spans="1:38" ht="16.5" customHeight="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row>
    <row r="140" spans="1:38"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row>
    <row r="141" spans="1:38" x14ac:dyDescent="0.25">
      <c r="A141" s="12"/>
      <c r="B141" s="90"/>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row>
    <row r="142" spans="1:38"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row>
    <row r="143" spans="1:38" ht="39.6" customHeight="1" x14ac:dyDescent="0.25">
      <c r="A143" s="12"/>
      <c r="B143" s="131" t="s">
        <v>202</v>
      </c>
      <c r="C143" s="131"/>
      <c r="D143" s="131"/>
      <c r="E143" s="131"/>
      <c r="F143" s="131"/>
      <c r="G143" s="131"/>
      <c r="H143" s="131"/>
      <c r="I143" s="131"/>
      <c r="J143" s="131"/>
      <c r="K143" s="131"/>
      <c r="L143" s="131"/>
      <c r="M143" s="131"/>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row>
    <row r="144" spans="1:38"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row>
    <row r="145" spans="1:38"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row>
    <row r="146" spans="1:38"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row>
    <row r="147" spans="1:38"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row>
    <row r="148" spans="1:38"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row>
    <row r="149" spans="1:38" x14ac:dyDescent="0.25">
      <c r="A149" s="12"/>
      <c r="B149" s="12"/>
      <c r="C149" s="12"/>
      <c r="D149" s="12"/>
      <c r="E149" s="132"/>
      <c r="F149" s="132"/>
      <c r="G149" s="132"/>
      <c r="H149" s="132"/>
      <c r="I149" s="132"/>
      <c r="J149" s="132"/>
      <c r="K149" s="13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row>
    <row r="150" spans="1:38" x14ac:dyDescent="0.25">
      <c r="A150" s="12"/>
      <c r="B150" s="12"/>
      <c r="C150" s="12"/>
      <c r="D150" s="12"/>
      <c r="E150" s="132"/>
      <c r="F150" s="132"/>
      <c r="G150" s="132"/>
      <c r="H150" s="132"/>
      <c r="I150" s="132"/>
      <c r="J150" s="132"/>
      <c r="K150" s="13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row>
    <row r="151" spans="1:38"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row>
    <row r="152" spans="1:38"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row>
    <row r="153" spans="1:38"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row>
    <row r="154" spans="1:38"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row>
    <row r="155" spans="1:38"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row>
    <row r="156" spans="1:38"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row>
    <row r="157" spans="1:38"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row>
    <row r="158" spans="1:38"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row>
    <row r="159" spans="1:38"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row>
    <row r="160" spans="1:38"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row>
    <row r="161" spans="1:38"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row>
    <row r="162" spans="1:38"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row>
    <row r="163" spans="1:38"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row>
    <row r="164" spans="1:38"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row>
    <row r="165" spans="1:38"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row>
    <row r="166" spans="1:38"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row>
    <row r="167" spans="1:38"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row>
    <row r="168" spans="1:38"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row>
    <row r="169" spans="1:38"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row>
    <row r="170" spans="1:38"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row>
    <row r="171" spans="1:38"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row>
    <row r="172" spans="1:38"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row>
    <row r="173" spans="1:38"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row>
    <row r="174" spans="1:38"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row>
    <row r="175" spans="1:38"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row>
    <row r="176" spans="1:38"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row>
    <row r="177" spans="1:38"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row>
    <row r="178" spans="1:38"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row>
    <row r="179" spans="1:38"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row>
    <row r="180" spans="1:38"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row>
    <row r="181" spans="1:38"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row>
    <row r="182" spans="1:38"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row>
    <row r="183" spans="1:38"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row>
    <row r="184" spans="1:38"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row>
    <row r="185" spans="1:38"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row>
    <row r="186" spans="1:38"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row>
    <row r="187" spans="1:38"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row>
    <row r="188" spans="1:38"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row>
    <row r="189" spans="1:38"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row>
    <row r="190" spans="1:38"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row>
    <row r="191" spans="1:38"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row>
    <row r="192" spans="1:38"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row>
    <row r="193" spans="1:38"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row>
    <row r="194" spans="1:38"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row>
    <row r="195" spans="1:38"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row>
    <row r="196" spans="1:38"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row>
    <row r="197" spans="1:38"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row>
    <row r="198" spans="1:38"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row>
    <row r="199" spans="1:38"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row>
    <row r="200" spans="1:38"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row>
    <row r="201" spans="1:38"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row>
    <row r="202" spans="1:38"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row>
    <row r="203" spans="1:38"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row>
    <row r="204" spans="1:38"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row>
    <row r="205" spans="1:38"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row>
    <row r="206" spans="1:38"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row>
    <row r="207" spans="1:38"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row>
    <row r="208" spans="1:38"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row>
    <row r="209" spans="1:38"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row>
    <row r="210" spans="1:38"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row>
    <row r="211" spans="1:38"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row>
    <row r="212" spans="1:38"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row>
    <row r="213" spans="1:38"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row>
    <row r="214" spans="1:38"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row>
    <row r="215" spans="1:38"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row>
    <row r="216" spans="1:38"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row>
    <row r="217" spans="1:38"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row>
    <row r="218" spans="1:38"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row>
    <row r="219" spans="1:38"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row>
    <row r="220" spans="1:38"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row>
    <row r="221" spans="1:38"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row>
    <row r="222" spans="1:38"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row>
    <row r="223" spans="1:38"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row>
    <row r="224" spans="1:38"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row>
    <row r="225" spans="1:38"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row>
    <row r="226" spans="1:38"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row>
    <row r="227" spans="1:38"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row>
    <row r="228" spans="1:38"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row>
    <row r="229" spans="1:38"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row>
    <row r="230" spans="1:38"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row>
    <row r="231" spans="1:38"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row>
    <row r="232" spans="1:38"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row>
    <row r="233" spans="1:38"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row>
    <row r="234" spans="1:38"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row>
    <row r="235" spans="1:38"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row>
    <row r="236" spans="1:38"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row>
    <row r="237" spans="1:38"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row>
    <row r="238" spans="1:38"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row>
    <row r="239" spans="1:38"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row>
    <row r="240" spans="1:38"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row>
    <row r="241" spans="1:38"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row>
    <row r="242" spans="1:38"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row>
    <row r="243" spans="1:38"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row>
    <row r="244" spans="1:38"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row>
    <row r="245" spans="1:38"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row>
    <row r="246" spans="1:38"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row>
    <row r="247" spans="1:38"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row>
    <row r="248" spans="1:38"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row>
    <row r="249" spans="1:38"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row>
    <row r="250" spans="1:38"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row>
    <row r="251" spans="1:38"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row>
    <row r="252" spans="1:38"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row>
    <row r="253" spans="1:38"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row>
    <row r="254" spans="1:38"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row>
    <row r="255" spans="1:38"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row>
    <row r="256" spans="1:38"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row>
    <row r="257" spans="1:38"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row>
    <row r="258" spans="1:38"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row>
    <row r="259" spans="1:38"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row>
    <row r="260" spans="1:38"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row>
    <row r="261" spans="1:38"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row>
    <row r="262" spans="1:38"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row>
    <row r="263" spans="1:38"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row>
    <row r="264" spans="1:38"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row>
    <row r="265" spans="1:38"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row>
    <row r="266" spans="1:38"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row>
    <row r="267" spans="1:38"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row>
    <row r="268" spans="1:38"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row>
    <row r="269" spans="1:38"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row>
    <row r="270" spans="1:38"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row>
    <row r="271" spans="1:38"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row>
    <row r="272" spans="1:38"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row>
    <row r="273" spans="1:38"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row>
    <row r="274" spans="1:38"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row>
    <row r="275" spans="1:38"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row>
    <row r="276" spans="1:38"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row>
    <row r="277" spans="1:38"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row>
    <row r="278" spans="1:38"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row>
    <row r="279" spans="1:38"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row>
    <row r="280" spans="1:38"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row>
    <row r="281" spans="1:38"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row>
    <row r="282" spans="1:38"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row>
    <row r="283" spans="1:38"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row>
    <row r="284" spans="1:38"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row>
    <row r="285" spans="1:38"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row>
    <row r="286" spans="1:38"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row>
    <row r="287" spans="1:38"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row>
    <row r="288" spans="1:38"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row>
    <row r="289" spans="1:38"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row>
    <row r="290" spans="1:38"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row>
    <row r="291" spans="1:38"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row>
    <row r="292" spans="1:38"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row>
    <row r="293" spans="1:38"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row>
    <row r="294" spans="1:38"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row>
    <row r="295" spans="1:38"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row>
    <row r="296" spans="1:38"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row>
    <row r="297" spans="1:38"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row>
    <row r="298" spans="1:38"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row>
    <row r="299" spans="1:38"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row>
    <row r="300" spans="1:38"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row>
    <row r="301" spans="1:38"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row>
    <row r="302" spans="1:38"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row>
    <row r="303" spans="1:38"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row>
    <row r="304" spans="1:38"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row>
    <row r="305" spans="1:38"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row>
    <row r="306" spans="1:38"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row>
    <row r="307" spans="1:38"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row>
    <row r="308" spans="1:38"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row>
    <row r="309" spans="1:38"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row>
    <row r="310" spans="1:38"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row>
    <row r="311" spans="1:38"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row>
    <row r="312" spans="1:38"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row>
    <row r="313" spans="1:38"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row>
    <row r="314" spans="1:38"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row>
    <row r="315" spans="1:38"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row>
    <row r="316" spans="1:38"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row>
    <row r="317" spans="1:38"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row>
    <row r="318" spans="1:38"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row>
    <row r="319" spans="1:38"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row>
    <row r="320" spans="1:38"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row>
    <row r="321" spans="1:38"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row>
    <row r="322" spans="1:38"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row>
    <row r="323" spans="1:38"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row>
    <row r="324" spans="1:38"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row>
    <row r="325" spans="1:38"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row>
    <row r="326" spans="1:38"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row>
    <row r="327" spans="1:38"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row>
    <row r="328" spans="1:38"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row>
    <row r="329" spans="1:38"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row>
    <row r="330" spans="1:38"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row>
    <row r="331" spans="1:38"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row>
    <row r="332" spans="1:38"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row>
    <row r="333" spans="1:38"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row>
    <row r="334" spans="1:38"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row>
    <row r="335" spans="1:38"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row>
    <row r="336" spans="1:38"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row>
    <row r="337" spans="1:38"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row>
    <row r="338" spans="1:38"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row>
    <row r="339" spans="1:38"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row>
    <row r="340" spans="1:38"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row>
    <row r="341" spans="1:38"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row>
    <row r="342" spans="1:38"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row>
    <row r="343" spans="1:38"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row>
    <row r="344" spans="1:38"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row>
    <row r="345" spans="1:38"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row>
    <row r="346" spans="1:38"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row>
    <row r="347" spans="1:38"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row>
    <row r="348" spans="1:38"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row>
    <row r="349" spans="1:38"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row>
    <row r="350" spans="1:38"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row>
    <row r="351" spans="1:38"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row>
    <row r="352" spans="1:38"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row>
    <row r="353" spans="1:38"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row>
    <row r="354" spans="1:38"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row>
    <row r="355" spans="1:38"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row>
    <row r="356" spans="1:38"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row>
    <row r="357" spans="1:38"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row>
    <row r="358" spans="1:38"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row>
    <row r="359" spans="1:38"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row>
    <row r="360" spans="1:38"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row>
    <row r="361" spans="1:38"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row>
    <row r="362" spans="1:38"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row>
    <row r="363" spans="1:38"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row>
    <row r="364" spans="1:38"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row>
    <row r="365" spans="1:38"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row>
    <row r="366" spans="1:38"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row>
    <row r="367" spans="1:38"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row>
    <row r="368" spans="1:38"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row>
    <row r="369" spans="1:38"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row>
    <row r="370" spans="1:38"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row>
    <row r="371" spans="1:38"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row>
    <row r="372" spans="1:38"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row>
    <row r="373" spans="1:38"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row>
    <row r="374" spans="1:38"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row>
    <row r="375" spans="1:38"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row>
    <row r="376" spans="1:38"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row>
    <row r="377" spans="1:38"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row>
    <row r="378" spans="1:38"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row>
    <row r="379" spans="1:38"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row>
    <row r="380" spans="1:38"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row>
    <row r="381" spans="1:38"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row>
    <row r="382" spans="1:38"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row>
    <row r="383" spans="1:38"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row>
    <row r="384" spans="1:38"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row>
    <row r="385" spans="1:38"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row>
    <row r="386" spans="1:38"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row>
    <row r="387" spans="1:38"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row>
    <row r="388" spans="1:38"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row>
    <row r="389" spans="1:38"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row>
    <row r="390" spans="1:38"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row>
    <row r="391" spans="1:38"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row>
    <row r="392" spans="1:38"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row>
    <row r="393" spans="1:38"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row>
    <row r="394" spans="1:38"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row>
    <row r="395" spans="1:38"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row>
    <row r="396" spans="1:38"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row>
    <row r="397" spans="1:38"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row>
    <row r="398" spans="1:38"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row>
    <row r="399" spans="1:38"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row>
    <row r="400" spans="1:38"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row>
    <row r="401" spans="1:38"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row>
    <row r="402" spans="1:38"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row>
    <row r="403" spans="1:38"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row>
    <row r="404" spans="1:38"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row>
    <row r="405" spans="1:38"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row>
    <row r="406" spans="1:38"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row>
    <row r="407" spans="1:38"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row>
    <row r="408" spans="1:38"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row>
    <row r="409" spans="1:38"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row>
    <row r="410" spans="1:38"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row>
    <row r="411" spans="1:38"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row>
    <row r="412" spans="1:38"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row>
    <row r="413" spans="1:38"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row>
    <row r="414" spans="1:38"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row>
    <row r="415" spans="1:38"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row>
    <row r="416" spans="1:38"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row>
    <row r="417" spans="1:38"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row>
    <row r="418" spans="1:38"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row>
    <row r="419" spans="1:38"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row>
    <row r="420" spans="1:38"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row>
    <row r="421" spans="1:38"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row>
    <row r="422" spans="1:38"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row>
    <row r="423" spans="1:38"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row>
    <row r="424" spans="1:38"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row>
    <row r="425" spans="1:38"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row>
    <row r="426" spans="1:38"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row>
    <row r="427" spans="1:38"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row>
    <row r="428" spans="1:38"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row>
    <row r="429" spans="1:38"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row>
    <row r="430" spans="1:38"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row>
    <row r="431" spans="1:38"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row>
    <row r="432" spans="1:38"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row>
    <row r="433" spans="1:38"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row>
    <row r="434" spans="1:38"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row>
    <row r="435" spans="1:38"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row>
    <row r="436" spans="1:38"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row>
    <row r="437" spans="1:38"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row>
    <row r="438" spans="1:38"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row>
    <row r="439" spans="1:38"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row>
    <row r="440" spans="1:38"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row>
    <row r="441" spans="1:38"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row>
    <row r="442" spans="1:38"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row>
    <row r="443" spans="1:38"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row>
    <row r="444" spans="1:38"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row>
    <row r="445" spans="1:38"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row>
    <row r="446" spans="1:38"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row>
    <row r="447" spans="1:38"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row>
    <row r="448" spans="1:38"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row>
    <row r="449" spans="1:38"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row>
    <row r="450" spans="1:38"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row>
    <row r="451" spans="1:38"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row>
    <row r="452" spans="1:38"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row>
    <row r="453" spans="1:38"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row>
    <row r="454" spans="1:38"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row>
    <row r="455" spans="1:38"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row>
    <row r="456" spans="1:38"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row>
    <row r="457" spans="1:38"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row>
    <row r="458" spans="1:38"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row>
    <row r="459" spans="1:38"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row>
    <row r="460" spans="1:38"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row>
    <row r="461" spans="1:38"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row>
    <row r="462" spans="1:38"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row>
    <row r="463" spans="1:38"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row>
    <row r="464" spans="1:38"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row>
    <row r="465" spans="1:38"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row>
    <row r="466" spans="1:38"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row>
    <row r="467" spans="1:38"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row>
    <row r="468" spans="1:38"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row>
    <row r="469" spans="1:38"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row>
    <row r="470" spans="1:38"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row>
    <row r="471" spans="1:38"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row>
    <row r="472" spans="1:38"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row>
    <row r="473" spans="1:38"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row>
    <row r="474" spans="1:38"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row>
    <row r="475" spans="1:38"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row>
    <row r="476" spans="1:38"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row>
    <row r="477" spans="1:38"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row>
    <row r="478" spans="1:38"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row>
    <row r="479" spans="1:38"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row>
    <row r="480" spans="1:38"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row>
    <row r="481" spans="1:38"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row>
    <row r="482" spans="1:38"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row>
    <row r="483" spans="1:38"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row>
    <row r="484" spans="1:38"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row>
    <row r="485" spans="1:38"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row>
    <row r="486" spans="1:38"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row>
    <row r="487" spans="1:38"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row>
    <row r="488" spans="1:38"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row>
    <row r="489" spans="1:38"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row>
    <row r="490" spans="1:38"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row>
    <row r="491" spans="1:38"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row>
    <row r="492" spans="1:38"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row>
    <row r="493" spans="1:38"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row>
    <row r="494" spans="1:38"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row>
    <row r="495" spans="1:38"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row>
    <row r="496" spans="1:38"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row>
    <row r="497" spans="1:38"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row>
    <row r="498" spans="1:38"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row>
    <row r="499" spans="1:38"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row>
    <row r="500" spans="1:38"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row>
    <row r="501" spans="1:38"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row>
    <row r="502" spans="1:38"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row>
    <row r="503" spans="1:38"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row>
    <row r="504" spans="1:38"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row>
    <row r="505" spans="1:38"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row>
    <row r="506" spans="1:38"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row>
    <row r="507" spans="1:38"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row>
    <row r="508" spans="1:38"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row>
    <row r="509" spans="1:38"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row>
    <row r="510" spans="1:38"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row>
    <row r="511" spans="1:38"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row>
    <row r="512" spans="1:38"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row>
    <row r="513" spans="1:38"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row>
    <row r="514" spans="1:38"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row>
    <row r="515" spans="1:38"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row>
    <row r="516" spans="1:38"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row>
    <row r="517" spans="1:38"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row>
    <row r="518" spans="1:38"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row>
    <row r="519" spans="1:38"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row>
    <row r="520" spans="1:38"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row>
    <row r="521" spans="1:38"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row>
    <row r="522" spans="1:38"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row>
    <row r="523" spans="1:38"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row>
    <row r="524" spans="1:38"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row>
    <row r="525" spans="1:38"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row>
    <row r="526" spans="1:38"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row>
    <row r="527" spans="1:38"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row>
    <row r="528" spans="1:38"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row>
    <row r="529" spans="1:38"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row>
    <row r="530" spans="1:38"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row>
    <row r="531" spans="1:38"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row>
    <row r="532" spans="1:38"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row>
    <row r="533" spans="1:38"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row>
    <row r="534" spans="1:38"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row>
    <row r="535" spans="1:38"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row>
    <row r="536" spans="1:38"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row>
    <row r="537" spans="1:38"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row>
    <row r="538" spans="1:38"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row>
    <row r="539" spans="1:38"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row>
    <row r="540" spans="1:38"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row>
    <row r="541" spans="1:38"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row>
    <row r="542" spans="1:38"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row>
    <row r="543" spans="1:38"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row>
    <row r="544" spans="1:38"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row>
    <row r="545" spans="1:38"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row>
    <row r="546" spans="1:38"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row>
    <row r="547" spans="1:38"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row>
    <row r="548" spans="1:38"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row>
    <row r="549" spans="1:38"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row>
    <row r="550" spans="1:38"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row>
    <row r="551" spans="1:38"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row>
    <row r="552" spans="1:38"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row>
    <row r="553" spans="1:38"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row>
    <row r="554" spans="1:38"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row>
    <row r="555" spans="1:38"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row>
    <row r="556" spans="1:38"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row>
    <row r="557" spans="1:38"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row>
    <row r="558" spans="1:38"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row>
    <row r="559" spans="1:38"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row>
    <row r="560" spans="1:38"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row>
    <row r="561" spans="1:38"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row>
    <row r="562" spans="1:38"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row>
    <row r="563" spans="1:38"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row>
    <row r="564" spans="1:38"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row>
    <row r="565" spans="1:38"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row>
    <row r="566" spans="1:38"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row>
    <row r="567" spans="1:38"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row>
    <row r="568" spans="1:38"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row>
    <row r="569" spans="1:38"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row>
    <row r="570" spans="1:38"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row>
    <row r="571" spans="1:38"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row>
    <row r="572" spans="1:38"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row>
    <row r="573" spans="1:38"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row>
    <row r="574" spans="1:38"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row>
    <row r="575" spans="1:38"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row>
    <row r="576" spans="1:38"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row>
    <row r="577" spans="1:38"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row>
    <row r="578" spans="1:38"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row>
    <row r="579" spans="1:38"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row>
    <row r="580" spans="1:38"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row>
    <row r="581" spans="1:38"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row>
    <row r="582" spans="1:38"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row>
    <row r="583" spans="1:38"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row>
    <row r="584" spans="1:38"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row>
    <row r="585" spans="1:38"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row>
    <row r="586" spans="1:38"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row>
    <row r="587" spans="1:38"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row>
    <row r="588" spans="1:38"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row>
    <row r="589" spans="1:38"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row>
    <row r="590" spans="1:38"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row>
    <row r="591" spans="1:38"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row>
    <row r="592" spans="1:38"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row>
    <row r="593" spans="1:38"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row>
    <row r="594" spans="1:38"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row>
    <row r="595" spans="1:38"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row>
    <row r="596" spans="1:38"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row>
    <row r="597" spans="1:38"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row>
    <row r="598" spans="1:38"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row>
    <row r="599" spans="1:38"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row>
    <row r="600" spans="1:38"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row>
    <row r="601" spans="1:38"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row>
    <row r="602" spans="1:38"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row>
    <row r="603" spans="1:38"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row>
    <row r="604" spans="1:38"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row>
    <row r="605" spans="1:38"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row>
    <row r="606" spans="1:38"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row>
    <row r="607" spans="1:38"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row>
    <row r="608" spans="1:38"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row>
    <row r="609" spans="1:38"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row>
    <row r="610" spans="1:38"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row>
    <row r="611" spans="1:38"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row>
    <row r="612" spans="1:38"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row>
    <row r="613" spans="1:38"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row>
    <row r="614" spans="1:38"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row>
    <row r="615" spans="1:38"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row>
    <row r="616" spans="1:38"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row>
    <row r="617" spans="1:38"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row>
    <row r="618" spans="1:38"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row>
    <row r="619" spans="1:38"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row>
    <row r="620" spans="1:38"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row>
    <row r="621" spans="1:38"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row>
    <row r="622" spans="1:38"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row>
    <row r="623" spans="1:38"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row>
    <row r="624" spans="1:38"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row>
    <row r="625" spans="1:38"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row>
    <row r="626" spans="1:38"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row>
    <row r="627" spans="1:38"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row>
    <row r="628" spans="1:38"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row>
    <row r="629" spans="1:38"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row>
    <row r="630" spans="1:38"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row>
    <row r="631" spans="1:38"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row>
    <row r="632" spans="1:38"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row>
    <row r="633" spans="1:38"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row>
    <row r="634" spans="1:38"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row>
    <row r="635" spans="1:38"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row>
    <row r="636" spans="1:38"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row>
    <row r="637" spans="1:38"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row>
    <row r="638" spans="1:38"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row>
    <row r="639" spans="1:38"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row>
    <row r="640" spans="1:38"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row>
    <row r="641" spans="1:38"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row>
    <row r="642" spans="1:38"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row>
    <row r="643" spans="1:38"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row>
    <row r="644" spans="1:38"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row>
    <row r="645" spans="1:38"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row>
    <row r="646" spans="1:38"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row>
    <row r="647" spans="1:38"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row>
    <row r="648" spans="1:38"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row>
    <row r="649" spans="1:38"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row>
    <row r="650" spans="1:38"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row>
    <row r="651" spans="1:38"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row>
    <row r="652" spans="1:38"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row>
    <row r="653" spans="1:38"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row>
    <row r="654" spans="1:38"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row>
    <row r="655" spans="1:38"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row>
    <row r="656" spans="1:38"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row>
    <row r="657" spans="1:38"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row>
    <row r="658" spans="1:38"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row>
    <row r="659" spans="1:38"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row>
    <row r="660" spans="1:38"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row>
    <row r="661" spans="1:38"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row>
    <row r="662" spans="1:38"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row>
    <row r="663" spans="1:38"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row>
    <row r="664" spans="1:38"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row>
    <row r="665" spans="1:38"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row>
    <row r="666" spans="1:38"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row>
    <row r="667" spans="1:38"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row>
    <row r="668" spans="1:38"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row>
    <row r="669" spans="1:38"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row>
    <row r="670" spans="1:38"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row>
    <row r="671" spans="1:38"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row>
    <row r="672" spans="1:38"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row>
    <row r="673" spans="1:38"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row>
    <row r="674" spans="1:38"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row>
    <row r="675" spans="1:38"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row>
    <row r="676" spans="1:38"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row>
    <row r="677" spans="1:38"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row>
    <row r="678" spans="1:38"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row>
    <row r="679" spans="1:38"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row>
    <row r="680" spans="1:38"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row>
    <row r="681" spans="1:38"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row>
    <row r="682" spans="1:38"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row>
    <row r="683" spans="1:38"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row>
    <row r="684" spans="1:38"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row>
    <row r="685" spans="1:38"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row>
    <row r="686" spans="1:38"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row>
    <row r="687" spans="1:38"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row>
    <row r="688" spans="1:38"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row>
    <row r="689" spans="1:38"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row>
    <row r="690" spans="1:38"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row>
    <row r="691" spans="1:38"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row>
    <row r="692" spans="1:38"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row>
    <row r="693" spans="1:38"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row>
    <row r="694" spans="1:38"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row>
    <row r="695" spans="1:38"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row>
    <row r="696" spans="1:38"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row>
    <row r="697" spans="1:38"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row>
    <row r="698" spans="1:38"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row>
    <row r="699" spans="1:38"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row>
    <row r="700" spans="1:38"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row>
    <row r="701" spans="1:38"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row>
    <row r="702" spans="1:38"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row>
    <row r="703" spans="1:38"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row>
    <row r="704" spans="1:38"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row>
    <row r="705" spans="1:38"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row>
    <row r="706" spans="1:38"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row>
    <row r="707" spans="1:38"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row>
    <row r="708" spans="1:38"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row>
    <row r="709" spans="1:38"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row>
    <row r="710" spans="1:38"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row>
    <row r="711" spans="1:38"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row>
    <row r="712" spans="1:38"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row>
    <row r="713" spans="1:38"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row>
    <row r="714" spans="1:38"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row>
    <row r="715" spans="1:38"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row>
    <row r="716" spans="1:38"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row>
    <row r="717" spans="1:38"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row>
    <row r="718" spans="1:38"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row>
    <row r="719" spans="1:38"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row>
    <row r="720" spans="1:38"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row>
    <row r="721" spans="1:38"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row>
    <row r="722" spans="1:38"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row>
    <row r="723" spans="1:38"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row>
    <row r="724" spans="1:38"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row>
    <row r="725" spans="1:38"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row>
    <row r="726" spans="1:38"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row>
    <row r="727" spans="1:38"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row>
    <row r="728" spans="1:38"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row>
    <row r="729" spans="1:38"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row>
    <row r="730" spans="1:38"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row>
  </sheetData>
  <mergeCells count="21">
    <mergeCell ref="B9:M9"/>
    <mergeCell ref="B83:M83"/>
    <mergeCell ref="B100:M100"/>
    <mergeCell ref="C41:I41"/>
    <mergeCell ref="C42:I42"/>
    <mergeCell ref="C43:I43"/>
    <mergeCell ref="C40:M40"/>
    <mergeCell ref="C20:M20"/>
    <mergeCell ref="C38:M38"/>
    <mergeCell ref="B124:M124"/>
    <mergeCell ref="B143:M143"/>
    <mergeCell ref="I125:N125"/>
    <mergeCell ref="E149:K150"/>
    <mergeCell ref="C44:K44"/>
    <mergeCell ref="C45:K45"/>
    <mergeCell ref="C46:I46"/>
    <mergeCell ref="E112:L112"/>
    <mergeCell ref="B113:D113"/>
    <mergeCell ref="E113:L113"/>
    <mergeCell ref="C47:K47"/>
    <mergeCell ref="B119:M119"/>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H40"/>
  <sheetViews>
    <sheetView showGridLines="0" zoomScaleNormal="100" workbookViewId="0"/>
  </sheetViews>
  <sheetFormatPr defaultColWidth="11.42578125" defaultRowHeight="15" x14ac:dyDescent="0.25"/>
  <cols>
    <col min="1" max="1" width="4.7109375" customWidth="1"/>
    <col min="2" max="2" width="5.7109375" customWidth="1"/>
    <col min="3" max="4" width="26.7109375" customWidth="1"/>
    <col min="5" max="5" width="27.42578125" style="9" customWidth="1"/>
    <col min="6" max="6" width="9.85546875" style="9" customWidth="1"/>
    <col min="7" max="7" width="16.7109375" style="9" customWidth="1"/>
    <col min="8" max="9" width="13.5703125" style="9" customWidth="1"/>
    <col min="10" max="10" width="16.140625" style="9" customWidth="1"/>
    <col min="11" max="11" width="14.42578125" style="9" customWidth="1"/>
    <col min="12" max="12" width="11.28515625" style="11" customWidth="1"/>
    <col min="13" max="13" width="12.7109375" style="11" customWidth="1"/>
    <col min="14" max="34" width="11.42578125" style="11"/>
  </cols>
  <sheetData>
    <row r="1" spans="1:13" s="12" customFormat="1" ht="16.5" customHeight="1" x14ac:dyDescent="0.25"/>
    <row r="2" spans="1:13" s="12" customFormat="1" ht="16.5" customHeight="1" x14ac:dyDescent="0.25">
      <c r="B2" s="13"/>
      <c r="C2" s="13"/>
      <c r="D2" s="13"/>
      <c r="E2" s="13"/>
      <c r="F2" s="13"/>
      <c r="M2" s="14"/>
    </row>
    <row r="3" spans="1:13" s="12" customFormat="1" ht="16.5" customHeight="1" x14ac:dyDescent="0.25">
      <c r="B3" s="13"/>
      <c r="C3" s="13"/>
      <c r="D3" s="13"/>
      <c r="E3" s="13"/>
      <c r="F3" s="13"/>
    </row>
    <row r="4" spans="1:13" s="12" customFormat="1" ht="16.5" customHeight="1" x14ac:dyDescent="0.25">
      <c r="B4" s="13"/>
      <c r="C4" s="13"/>
      <c r="D4" s="13"/>
      <c r="E4" s="13"/>
      <c r="F4" s="13"/>
    </row>
    <row r="5" spans="1:13" s="12" customFormat="1" ht="16.5" customHeight="1" x14ac:dyDescent="0.25">
      <c r="B5" s="13"/>
      <c r="C5" s="13"/>
      <c r="D5" s="13"/>
      <c r="E5" s="13"/>
      <c r="F5" s="13"/>
    </row>
    <row r="6" spans="1:13" s="12" customFormat="1" ht="16.5" customHeight="1" x14ac:dyDescent="0.35">
      <c r="E6" s="13"/>
      <c r="K6" s="15"/>
    </row>
    <row r="7" spans="1:13" s="12" customFormat="1" ht="16.5" customHeight="1" x14ac:dyDescent="0.25">
      <c r="C7" s="95" t="s">
        <v>296</v>
      </c>
      <c r="D7" s="96"/>
      <c r="E7" s="142" t="s">
        <v>295</v>
      </c>
      <c r="F7" s="143"/>
      <c r="G7" s="16"/>
      <c r="H7" s="16"/>
      <c r="I7" s="16"/>
      <c r="J7" s="140" t="s">
        <v>294</v>
      </c>
      <c r="K7" s="140"/>
      <c r="L7" s="135">
        <v>44562</v>
      </c>
      <c r="M7" s="136"/>
    </row>
    <row r="8" spans="1:13" s="12" customFormat="1" ht="5.0999999999999996" customHeight="1" x14ac:dyDescent="0.25">
      <c r="C8" s="24"/>
      <c r="E8" s="25"/>
      <c r="F8" s="26"/>
      <c r="G8" s="16"/>
      <c r="H8" s="16"/>
      <c r="I8" s="16"/>
      <c r="J8" s="34"/>
      <c r="K8" s="35"/>
      <c r="L8" s="25"/>
    </row>
    <row r="9" spans="1:13" s="12" customFormat="1" ht="16.5" customHeight="1" x14ac:dyDescent="0.25">
      <c r="C9" s="95" t="s">
        <v>293</v>
      </c>
      <c r="D9" s="95"/>
      <c r="E9" s="144" t="s">
        <v>292</v>
      </c>
      <c r="F9" s="143"/>
      <c r="G9" s="16"/>
      <c r="H9" s="16"/>
      <c r="I9" s="16"/>
      <c r="J9" s="139" t="s">
        <v>291</v>
      </c>
      <c r="K9" s="139"/>
      <c r="L9" s="135">
        <v>44562</v>
      </c>
      <c r="M9" s="136"/>
    </row>
    <row r="10" spans="1:13" s="12" customFormat="1" ht="5.0999999999999996" customHeight="1" x14ac:dyDescent="0.25">
      <c r="C10" s="27"/>
      <c r="E10" s="25"/>
      <c r="F10" s="25"/>
      <c r="G10" s="16"/>
      <c r="H10" s="16"/>
      <c r="I10" s="16"/>
      <c r="J10" s="33"/>
      <c r="K10" s="32"/>
      <c r="L10" s="25"/>
    </row>
    <row r="11" spans="1:13" s="12" customFormat="1" ht="16.5" customHeight="1" x14ac:dyDescent="0.25">
      <c r="C11" s="95" t="s">
        <v>290</v>
      </c>
      <c r="D11" s="96"/>
      <c r="E11" s="142" t="s">
        <v>32</v>
      </c>
      <c r="F11" s="143"/>
      <c r="G11" s="16"/>
      <c r="H11" s="16"/>
      <c r="I11" s="16"/>
      <c r="J11" s="139" t="s">
        <v>289</v>
      </c>
      <c r="K11" s="139"/>
      <c r="L11" s="137" t="s">
        <v>33</v>
      </c>
      <c r="M11" s="138"/>
    </row>
    <row r="12" spans="1:13" s="12" customFormat="1" ht="5.0999999999999996" customHeight="1" x14ac:dyDescent="0.25">
      <c r="C12" s="24"/>
      <c r="E12" s="25"/>
      <c r="F12" s="25"/>
      <c r="G12" s="16"/>
      <c r="H12" s="16"/>
      <c r="I12" s="16"/>
      <c r="J12" s="17"/>
      <c r="K12" s="17"/>
    </row>
    <row r="13" spans="1:13" s="12" customFormat="1" ht="16.5" customHeight="1" x14ac:dyDescent="0.25">
      <c r="C13" s="95" t="s">
        <v>288</v>
      </c>
      <c r="D13" s="95"/>
      <c r="E13" s="144" t="s">
        <v>287</v>
      </c>
      <c r="F13" s="143"/>
      <c r="G13" s="16"/>
      <c r="H13" s="16"/>
      <c r="I13" s="16"/>
      <c r="J13" s="16"/>
      <c r="K13" s="16"/>
      <c r="L13" s="16"/>
      <c r="M13" s="16"/>
    </row>
    <row r="14" spans="1:13" s="12" customFormat="1" ht="16.5" customHeight="1" x14ac:dyDescent="0.25">
      <c r="B14" s="24"/>
      <c r="C14" s="24"/>
      <c r="D14" s="24"/>
      <c r="E14" s="24"/>
      <c r="F14" s="24"/>
      <c r="G14" s="16"/>
      <c r="H14" s="16"/>
      <c r="I14" s="16"/>
      <c r="J14" s="141" t="s">
        <v>286</v>
      </c>
      <c r="K14" s="141"/>
      <c r="L14" s="73"/>
      <c r="M14" s="16"/>
    </row>
    <row r="15" spans="1:13" s="12" customFormat="1" ht="16.5" customHeight="1" x14ac:dyDescent="0.25">
      <c r="A15" s="18"/>
      <c r="B15" s="19"/>
      <c r="C15" s="19"/>
      <c r="D15" s="19"/>
      <c r="E15" s="19"/>
      <c r="F15" s="19"/>
      <c r="G15" s="19"/>
      <c r="H15" s="19"/>
      <c r="I15" s="19"/>
      <c r="J15" s="141" t="s">
        <v>285</v>
      </c>
      <c r="K15" s="141"/>
      <c r="L15" s="74"/>
      <c r="M15" s="19"/>
    </row>
    <row r="16" spans="1:13" s="78" customFormat="1" ht="16.5" customHeight="1" x14ac:dyDescent="0.25">
      <c r="A16" s="75"/>
      <c r="B16" s="76"/>
      <c r="C16" s="76"/>
      <c r="D16" s="76"/>
      <c r="E16" s="76"/>
      <c r="F16" s="76"/>
      <c r="G16" s="76"/>
      <c r="H16" s="76"/>
      <c r="I16" s="76"/>
      <c r="J16" s="76"/>
      <c r="K16" s="77"/>
      <c r="L16" s="76"/>
      <c r="M16" s="76"/>
    </row>
    <row r="17" spans="1:13" s="21" customFormat="1" ht="23.25" customHeight="1" x14ac:dyDescent="0.25">
      <c r="A17" s="20"/>
      <c r="B17" s="44" t="s">
        <v>31</v>
      </c>
      <c r="C17" s="64" t="s">
        <v>284</v>
      </c>
      <c r="D17" s="64" t="s">
        <v>283</v>
      </c>
      <c r="E17" s="64" t="s">
        <v>282</v>
      </c>
      <c r="F17" s="116" t="s">
        <v>281</v>
      </c>
      <c r="G17" s="66" t="s">
        <v>280</v>
      </c>
      <c r="H17" s="67" t="s">
        <v>22</v>
      </c>
      <c r="I17" s="64" t="s">
        <v>0</v>
      </c>
      <c r="J17" s="64" t="s">
        <v>279</v>
      </c>
      <c r="K17" s="66" t="s">
        <v>278</v>
      </c>
      <c r="L17" s="66" t="s">
        <v>277</v>
      </c>
      <c r="M17" s="65" t="s">
        <v>276</v>
      </c>
    </row>
    <row r="18" spans="1:13" s="12" customFormat="1" ht="21.6" customHeight="1" x14ac:dyDescent="0.25">
      <c r="A18" s="22"/>
      <c r="B18" s="23">
        <v>1</v>
      </c>
      <c r="C18" s="23" t="s">
        <v>36</v>
      </c>
      <c r="D18" s="23" t="s">
        <v>275</v>
      </c>
      <c r="E18" s="23" t="s">
        <v>37</v>
      </c>
      <c r="F18" s="30"/>
      <c r="G18" s="29">
        <v>1</v>
      </c>
      <c r="H18" s="130">
        <v>44649</v>
      </c>
      <c r="I18" s="130">
        <v>44957</v>
      </c>
      <c r="J18" s="79">
        <f t="shared" ref="J18:J38" si="0">(NETWORKDAYS(H18,I18)-M18)*G18</f>
        <v>201</v>
      </c>
      <c r="K18" s="120">
        <f>SUMIF('Workload plan'!$D$17:$D$259,C18,'Workload plan'!$G$17:$G$259)</f>
        <v>78</v>
      </c>
      <c r="L18" s="121">
        <f t="shared" ref="L18:L38" si="1">K18/J18</f>
        <v>0.38805970149253732</v>
      </c>
      <c r="M18" s="31">
        <v>20</v>
      </c>
    </row>
    <row r="19" spans="1:13" s="11" customFormat="1" ht="21.6" customHeight="1" x14ac:dyDescent="0.25">
      <c r="B19" s="23">
        <v>2</v>
      </c>
      <c r="C19" s="23" t="s">
        <v>38</v>
      </c>
      <c r="D19" s="23" t="s">
        <v>39</v>
      </c>
      <c r="E19" s="23" t="s">
        <v>40</v>
      </c>
      <c r="F19" s="30"/>
      <c r="G19" s="29">
        <v>0.2</v>
      </c>
      <c r="H19" s="130">
        <v>44649</v>
      </c>
      <c r="I19" s="130">
        <v>44957</v>
      </c>
      <c r="J19" s="79">
        <f t="shared" si="0"/>
        <v>43.2</v>
      </c>
      <c r="K19" s="120">
        <f>SUMIF('Workload plan'!$D$17:$D$259,C19,'Workload plan'!$G$17:$G$259)</f>
        <v>0</v>
      </c>
      <c r="L19" s="121">
        <f t="shared" si="1"/>
        <v>0</v>
      </c>
      <c r="M19" s="31">
        <v>5</v>
      </c>
    </row>
    <row r="20" spans="1:13" s="11" customFormat="1" ht="21.6" customHeight="1" x14ac:dyDescent="0.25">
      <c r="B20" s="23">
        <v>3</v>
      </c>
      <c r="C20" s="23" t="s">
        <v>41</v>
      </c>
      <c r="D20" s="23" t="s">
        <v>274</v>
      </c>
      <c r="E20" s="23" t="s">
        <v>42</v>
      </c>
      <c r="F20" s="30"/>
      <c r="G20" s="29">
        <v>1</v>
      </c>
      <c r="H20" s="130">
        <v>44649</v>
      </c>
      <c r="I20" s="130">
        <v>44957</v>
      </c>
      <c r="J20" s="79">
        <f t="shared" si="0"/>
        <v>211</v>
      </c>
      <c r="K20" s="120">
        <f>SUMIF('Workload plan'!$D$17:$D$259,C20,'Workload plan'!$G$17:$G$259)</f>
        <v>189</v>
      </c>
      <c r="L20" s="121">
        <f t="shared" si="1"/>
        <v>0.89573459715639814</v>
      </c>
      <c r="M20" s="31">
        <v>10</v>
      </c>
    </row>
    <row r="21" spans="1:13" s="11" customFormat="1" ht="21.6" customHeight="1" x14ac:dyDescent="0.25">
      <c r="B21" s="23">
        <v>4</v>
      </c>
      <c r="C21" s="23" t="s">
        <v>43</v>
      </c>
      <c r="D21" s="23" t="s">
        <v>273</v>
      </c>
      <c r="E21" s="23" t="s">
        <v>44</v>
      </c>
      <c r="F21" s="30"/>
      <c r="G21" s="29">
        <v>1</v>
      </c>
      <c r="H21" s="130">
        <v>44663</v>
      </c>
      <c r="I21" s="130">
        <v>44941</v>
      </c>
      <c r="J21" s="79">
        <f t="shared" si="0"/>
        <v>189</v>
      </c>
      <c r="K21" s="120">
        <f>SUMIF('Workload plan'!$D$17:$D$259,C21,'Workload plan'!$G$17:$G$259)</f>
        <v>189</v>
      </c>
      <c r="L21" s="121">
        <f t="shared" si="1"/>
        <v>1</v>
      </c>
      <c r="M21" s="31">
        <v>10</v>
      </c>
    </row>
    <row r="22" spans="1:13" s="11" customFormat="1" ht="21.6" customHeight="1" x14ac:dyDescent="0.25">
      <c r="B22" s="23">
        <v>5</v>
      </c>
      <c r="C22" s="23" t="s">
        <v>45</v>
      </c>
      <c r="D22" s="23" t="s">
        <v>272</v>
      </c>
      <c r="E22" s="23" t="s">
        <v>46</v>
      </c>
      <c r="F22" s="30"/>
      <c r="G22" s="29">
        <v>1</v>
      </c>
      <c r="H22" s="130">
        <v>44663</v>
      </c>
      <c r="I22" s="130">
        <v>44941</v>
      </c>
      <c r="J22" s="79">
        <f t="shared" si="0"/>
        <v>184</v>
      </c>
      <c r="K22" s="120">
        <f>SUMIF('Workload plan'!$D$17:$D$259,C22,'Workload plan'!$G$17:$G$259)</f>
        <v>189</v>
      </c>
      <c r="L22" s="121">
        <f t="shared" si="1"/>
        <v>1.0271739130434783</v>
      </c>
      <c r="M22" s="31">
        <v>15</v>
      </c>
    </row>
    <row r="23" spans="1:13" x14ac:dyDescent="0.25">
      <c r="B23" s="23">
        <v>6</v>
      </c>
      <c r="C23" s="23" t="s">
        <v>47</v>
      </c>
      <c r="D23" s="23" t="s">
        <v>271</v>
      </c>
      <c r="E23" s="23" t="s">
        <v>48</v>
      </c>
      <c r="F23" s="29"/>
      <c r="G23" s="29">
        <v>1</v>
      </c>
      <c r="H23" s="130">
        <v>44663</v>
      </c>
      <c r="I23" s="130">
        <v>44941</v>
      </c>
      <c r="J23" s="79">
        <f t="shared" si="0"/>
        <v>199</v>
      </c>
      <c r="K23" s="120">
        <f>SUMIF('Workload plan'!$D$17:$D$259,C23,'Workload plan'!$G$17:$G$259)</f>
        <v>189</v>
      </c>
      <c r="L23" s="121">
        <f t="shared" si="1"/>
        <v>0.94974874371859297</v>
      </c>
      <c r="M23" s="31">
        <v>0</v>
      </c>
    </row>
    <row r="24" spans="1:13" x14ac:dyDescent="0.25">
      <c r="B24" s="23">
        <v>7</v>
      </c>
      <c r="C24" s="23" t="s">
        <v>49</v>
      </c>
      <c r="D24" s="23" t="s">
        <v>270</v>
      </c>
      <c r="E24" s="23" t="s">
        <v>50</v>
      </c>
      <c r="F24" s="29"/>
      <c r="G24" s="29">
        <v>1</v>
      </c>
      <c r="H24" s="130">
        <v>44663</v>
      </c>
      <c r="I24" s="130">
        <v>44941</v>
      </c>
      <c r="J24" s="79">
        <f t="shared" si="0"/>
        <v>199</v>
      </c>
      <c r="K24" s="120">
        <f>SUMIF('Workload plan'!$D$17:$D$259,C24,'Workload plan'!$G$17:$G$259)</f>
        <v>189</v>
      </c>
      <c r="L24" s="121">
        <f t="shared" si="1"/>
        <v>0.94974874371859297</v>
      </c>
      <c r="M24" s="31">
        <v>0</v>
      </c>
    </row>
    <row r="25" spans="1:13" x14ac:dyDescent="0.25">
      <c r="B25" s="23">
        <v>8</v>
      </c>
      <c r="C25" s="23" t="s">
        <v>51</v>
      </c>
      <c r="D25" s="23" t="s">
        <v>269</v>
      </c>
      <c r="E25" s="23" t="s">
        <v>52</v>
      </c>
      <c r="F25" s="29"/>
      <c r="G25" s="29">
        <v>0.15</v>
      </c>
      <c r="H25" s="130">
        <v>44649</v>
      </c>
      <c r="I25" s="130">
        <v>44957</v>
      </c>
      <c r="J25" s="79">
        <f t="shared" si="0"/>
        <v>33.15</v>
      </c>
      <c r="K25" s="120">
        <f>SUMIF('Workload plan'!$D$17:$D$259,C25,'Workload plan'!$G$17:$G$259)</f>
        <v>33</v>
      </c>
      <c r="L25" s="121">
        <f t="shared" si="1"/>
        <v>0.99547511312217196</v>
      </c>
      <c r="M25" s="31">
        <v>0</v>
      </c>
    </row>
    <row r="26" spans="1:13" x14ac:dyDescent="0.25">
      <c r="B26" s="23">
        <v>9</v>
      </c>
      <c r="C26" s="23" t="s">
        <v>85</v>
      </c>
      <c r="D26" s="23" t="s">
        <v>268</v>
      </c>
      <c r="E26" s="23" t="s">
        <v>53</v>
      </c>
      <c r="F26" s="29"/>
      <c r="G26" s="29">
        <v>1</v>
      </c>
      <c r="H26" s="130">
        <v>44696</v>
      </c>
      <c r="I26" s="130">
        <v>44957</v>
      </c>
      <c r="J26" s="79">
        <f t="shared" si="0"/>
        <v>187</v>
      </c>
      <c r="K26" s="120">
        <f>SUMIF('Workload plan'!$D$17:$D$259,C26,'Workload plan'!$G$17:$G$259)</f>
        <v>33</v>
      </c>
      <c r="L26" s="121">
        <f t="shared" si="1"/>
        <v>0.17647058823529413</v>
      </c>
      <c r="M26" s="31">
        <v>0</v>
      </c>
    </row>
    <row r="27" spans="1:13" x14ac:dyDescent="0.25">
      <c r="B27" s="23">
        <v>10</v>
      </c>
      <c r="C27" s="23" t="s">
        <v>54</v>
      </c>
      <c r="D27" s="23" t="s">
        <v>267</v>
      </c>
      <c r="E27" s="23" t="s">
        <v>55</v>
      </c>
      <c r="F27" s="29"/>
      <c r="G27" s="29">
        <v>1</v>
      </c>
      <c r="H27" s="130">
        <v>44743</v>
      </c>
      <c r="I27" s="130">
        <v>44941</v>
      </c>
      <c r="J27" s="79">
        <f t="shared" si="0"/>
        <v>141</v>
      </c>
      <c r="K27" s="120">
        <f>SUMIF('Workload plan'!$D$17:$D$259,C27,'Workload plan'!$G$17:$G$259)</f>
        <v>124</v>
      </c>
      <c r="L27" s="121">
        <f t="shared" si="1"/>
        <v>0.87943262411347523</v>
      </c>
      <c r="M27" s="31">
        <v>0</v>
      </c>
    </row>
    <row r="28" spans="1:13" ht="30" x14ac:dyDescent="0.25">
      <c r="B28" s="23">
        <v>11</v>
      </c>
      <c r="C28" s="23" t="s">
        <v>56</v>
      </c>
      <c r="D28" s="23" t="s">
        <v>266</v>
      </c>
      <c r="E28" s="23" t="s">
        <v>57</v>
      </c>
      <c r="F28" s="29"/>
      <c r="G28" s="29">
        <v>1</v>
      </c>
      <c r="H28" s="130">
        <v>44743</v>
      </c>
      <c r="I28" s="130">
        <v>44941</v>
      </c>
      <c r="J28" s="79">
        <f t="shared" si="0"/>
        <v>141</v>
      </c>
      <c r="K28" s="120">
        <f>SUMIF('Workload plan'!$D$17:$D$259,C28,'Workload plan'!$G$17:$G$259)</f>
        <v>124</v>
      </c>
      <c r="L28" s="121">
        <f t="shared" si="1"/>
        <v>0.87943262411347523</v>
      </c>
      <c r="M28" s="31">
        <v>0</v>
      </c>
    </row>
    <row r="29" spans="1:13" x14ac:dyDescent="0.25">
      <c r="B29" s="23">
        <v>12</v>
      </c>
      <c r="C29" s="23" t="s">
        <v>58</v>
      </c>
      <c r="D29" s="23" t="s">
        <v>265</v>
      </c>
      <c r="E29" s="23" t="s">
        <v>59</v>
      </c>
      <c r="F29" s="29"/>
      <c r="G29" s="29">
        <v>1</v>
      </c>
      <c r="H29" s="130">
        <v>44743</v>
      </c>
      <c r="I29" s="130">
        <v>44941</v>
      </c>
      <c r="J29" s="79">
        <f t="shared" si="0"/>
        <v>141</v>
      </c>
      <c r="K29" s="120">
        <f>SUMIF('Workload plan'!$D$17:$D$259,C29,'Workload plan'!$G$17:$G$259)</f>
        <v>124</v>
      </c>
      <c r="L29" s="121">
        <f t="shared" si="1"/>
        <v>0.87943262411347523</v>
      </c>
      <c r="M29" s="31">
        <v>0</v>
      </c>
    </row>
    <row r="30" spans="1:13" x14ac:dyDescent="0.25">
      <c r="B30" s="23">
        <v>13</v>
      </c>
      <c r="C30" s="23" t="s">
        <v>60</v>
      </c>
      <c r="D30" s="23" t="s">
        <v>265</v>
      </c>
      <c r="E30" s="23" t="s">
        <v>61</v>
      </c>
      <c r="F30" s="29"/>
      <c r="G30" s="29">
        <v>1</v>
      </c>
      <c r="H30" s="130">
        <v>44743</v>
      </c>
      <c r="I30" s="130">
        <v>44941</v>
      </c>
      <c r="J30" s="79">
        <f t="shared" si="0"/>
        <v>141</v>
      </c>
      <c r="K30" s="120">
        <f>SUMIF('Workload plan'!$D$17:$D$259,C30,'Workload plan'!$G$17:$G$259)</f>
        <v>124</v>
      </c>
      <c r="L30" s="121">
        <f t="shared" si="1"/>
        <v>0.87943262411347523</v>
      </c>
      <c r="M30" s="31">
        <v>0</v>
      </c>
    </row>
    <row r="31" spans="1:13" x14ac:dyDescent="0.25">
      <c r="B31" s="23">
        <v>14</v>
      </c>
      <c r="C31" s="23" t="s">
        <v>62</v>
      </c>
      <c r="D31" s="23" t="s">
        <v>264</v>
      </c>
      <c r="E31" s="23" t="s">
        <v>63</v>
      </c>
      <c r="F31" s="29"/>
      <c r="G31" s="29">
        <v>1</v>
      </c>
      <c r="H31" s="130">
        <v>44743</v>
      </c>
      <c r="I31" s="130">
        <v>44941</v>
      </c>
      <c r="J31" s="79">
        <f t="shared" si="0"/>
        <v>141</v>
      </c>
      <c r="K31" s="120">
        <f>SUMIF('Workload plan'!$D$17:$D$259,C31,'Workload plan'!$G$17:$G$259)</f>
        <v>124</v>
      </c>
      <c r="L31" s="121">
        <f t="shared" si="1"/>
        <v>0.87943262411347523</v>
      </c>
      <c r="M31" s="31">
        <v>0</v>
      </c>
    </row>
    <row r="32" spans="1:13" x14ac:dyDescent="0.25">
      <c r="B32" s="23">
        <v>15</v>
      </c>
      <c r="C32" s="23" t="s">
        <v>64</v>
      </c>
      <c r="D32" s="23" t="s">
        <v>264</v>
      </c>
      <c r="E32" s="23" t="s">
        <v>65</v>
      </c>
      <c r="F32" s="29"/>
      <c r="G32" s="29">
        <v>1</v>
      </c>
      <c r="H32" s="130">
        <v>44743</v>
      </c>
      <c r="I32" s="130">
        <v>44941</v>
      </c>
      <c r="J32" s="79">
        <f t="shared" si="0"/>
        <v>141</v>
      </c>
      <c r="K32" s="120">
        <f>SUMIF('Workload plan'!$D$17:$D$259,C32,'Workload plan'!$G$17:$G$259)</f>
        <v>124</v>
      </c>
      <c r="L32" s="121">
        <f t="shared" si="1"/>
        <v>0.87943262411347523</v>
      </c>
      <c r="M32" s="31">
        <v>0</v>
      </c>
    </row>
    <row r="33" spans="2:13" x14ac:dyDescent="0.25">
      <c r="B33" s="23">
        <v>16</v>
      </c>
      <c r="C33" s="23" t="s">
        <v>66</v>
      </c>
      <c r="D33" s="23" t="s">
        <v>263</v>
      </c>
      <c r="E33" s="23" t="s">
        <v>67</v>
      </c>
      <c r="F33" s="29"/>
      <c r="G33" s="29">
        <v>1</v>
      </c>
      <c r="H33" s="130">
        <v>44743</v>
      </c>
      <c r="I33" s="130">
        <v>44941</v>
      </c>
      <c r="J33" s="79">
        <f t="shared" si="0"/>
        <v>141</v>
      </c>
      <c r="K33" s="120">
        <f>SUMIF('Workload plan'!$D$17:$D$259,C33,'Workload plan'!$G$17:$G$259)</f>
        <v>124</v>
      </c>
      <c r="L33" s="121">
        <f t="shared" si="1"/>
        <v>0.87943262411347523</v>
      </c>
      <c r="M33" s="31">
        <v>0</v>
      </c>
    </row>
    <row r="34" spans="2:13" x14ac:dyDescent="0.25">
      <c r="B34" s="23">
        <v>17</v>
      </c>
      <c r="C34" s="23" t="s">
        <v>68</v>
      </c>
      <c r="D34" s="23" t="s">
        <v>263</v>
      </c>
      <c r="E34" s="23" t="s">
        <v>69</v>
      </c>
      <c r="F34" s="29"/>
      <c r="G34" s="29">
        <v>1</v>
      </c>
      <c r="H34" s="130">
        <v>44743</v>
      </c>
      <c r="I34" s="130">
        <v>44941</v>
      </c>
      <c r="J34" s="79">
        <f t="shared" si="0"/>
        <v>141</v>
      </c>
      <c r="K34" s="120">
        <f>SUMIF('Workload plan'!$D$17:$D$259,C34,'Workload plan'!$G$17:$G$259)</f>
        <v>124</v>
      </c>
      <c r="L34" s="121">
        <f t="shared" si="1"/>
        <v>0.87943262411347523</v>
      </c>
      <c r="M34" s="31">
        <v>0</v>
      </c>
    </row>
    <row r="35" spans="2:13" x14ac:dyDescent="0.25">
      <c r="B35" s="23">
        <v>18</v>
      </c>
      <c r="C35" s="23" t="s">
        <v>70</v>
      </c>
      <c r="D35" s="23" t="s">
        <v>262</v>
      </c>
      <c r="E35" s="23" t="s">
        <v>71</v>
      </c>
      <c r="F35" s="29"/>
      <c r="G35" s="29">
        <v>0.75</v>
      </c>
      <c r="H35" s="130">
        <v>44682</v>
      </c>
      <c r="I35" s="130">
        <v>44941</v>
      </c>
      <c r="J35" s="79">
        <f t="shared" si="0"/>
        <v>138.75</v>
      </c>
      <c r="K35" s="120">
        <f>SUMIF('Workload plan'!$D$17:$D$259,C35,'Workload plan'!$G$17:$G$259)</f>
        <v>146</v>
      </c>
      <c r="L35" s="121">
        <f t="shared" si="1"/>
        <v>1.0522522522522522</v>
      </c>
      <c r="M35" s="31">
        <v>0</v>
      </c>
    </row>
    <row r="36" spans="2:13" x14ac:dyDescent="0.25">
      <c r="B36" s="23">
        <v>19</v>
      </c>
      <c r="C36" s="23" t="s">
        <v>72</v>
      </c>
      <c r="D36" s="23" t="s">
        <v>262</v>
      </c>
      <c r="E36" s="23" t="s">
        <v>73</v>
      </c>
      <c r="F36" s="29"/>
      <c r="G36" s="29">
        <v>0.75</v>
      </c>
      <c r="H36" s="130">
        <v>44682</v>
      </c>
      <c r="I36" s="130">
        <v>44941</v>
      </c>
      <c r="J36" s="79">
        <f t="shared" si="0"/>
        <v>138.75</v>
      </c>
      <c r="K36" s="120">
        <f>SUMIF('Workload plan'!$D$17:$D$259,C36,'Workload plan'!$G$17:$G$259)</f>
        <v>146</v>
      </c>
      <c r="L36" s="121">
        <f t="shared" si="1"/>
        <v>1.0522522522522522</v>
      </c>
      <c r="M36" s="31">
        <v>0</v>
      </c>
    </row>
    <row r="37" spans="2:13" x14ac:dyDescent="0.25">
      <c r="B37" s="23">
        <v>20</v>
      </c>
      <c r="C37" s="23" t="s">
        <v>74</v>
      </c>
      <c r="D37" s="23" t="s">
        <v>261</v>
      </c>
      <c r="E37" s="23" t="s">
        <v>75</v>
      </c>
      <c r="F37" s="29"/>
      <c r="G37" s="29">
        <v>0.9</v>
      </c>
      <c r="H37" s="130">
        <v>44743</v>
      </c>
      <c r="I37" s="130">
        <v>44926</v>
      </c>
      <c r="J37" s="79">
        <f t="shared" si="0"/>
        <v>117.9</v>
      </c>
      <c r="K37" s="120">
        <f>SUMIF('Workload plan'!$D$17:$D$259,C37,'Workload plan'!$G$17:$G$259)</f>
        <v>108</v>
      </c>
      <c r="L37" s="121">
        <f t="shared" si="1"/>
        <v>0.91603053435114501</v>
      </c>
      <c r="M37" s="31">
        <v>0</v>
      </c>
    </row>
    <row r="38" spans="2:13" x14ac:dyDescent="0.25">
      <c r="B38" s="23">
        <v>21</v>
      </c>
      <c r="C38" s="23" t="s">
        <v>260</v>
      </c>
      <c r="D38" s="23" t="s">
        <v>259</v>
      </c>
      <c r="E38" s="23"/>
      <c r="F38" s="29"/>
      <c r="G38" s="29">
        <v>0.6</v>
      </c>
      <c r="H38" s="130">
        <v>44774</v>
      </c>
      <c r="I38" s="130">
        <v>44941</v>
      </c>
      <c r="J38" s="79">
        <f t="shared" si="0"/>
        <v>72</v>
      </c>
      <c r="K38" s="120">
        <f>SUMIF('Workload plan'!$D$17:$D$259,C38,'Workload plan'!$G$17:$G$259)</f>
        <v>0</v>
      </c>
      <c r="L38" s="121">
        <f t="shared" si="1"/>
        <v>0</v>
      </c>
      <c r="M38" s="31">
        <v>0</v>
      </c>
    </row>
    <row r="39" spans="2:13" x14ac:dyDescent="0.25">
      <c r="B39" s="23">
        <v>22</v>
      </c>
      <c r="C39" s="23" t="s">
        <v>258</v>
      </c>
      <c r="D39" s="23"/>
      <c r="E39" s="23"/>
      <c r="F39" s="29"/>
      <c r="G39" s="29"/>
      <c r="H39" s="129"/>
      <c r="I39" s="129"/>
      <c r="J39" s="29"/>
      <c r="K39" s="128"/>
      <c r="L39" s="128"/>
      <c r="M39" s="29"/>
    </row>
    <row r="40" spans="2:13" x14ac:dyDescent="0.25">
      <c r="B40" s="23">
        <v>23</v>
      </c>
      <c r="C40" s="23" t="s">
        <v>257</v>
      </c>
      <c r="D40" s="23"/>
      <c r="E40" s="23"/>
      <c r="F40" s="29"/>
      <c r="G40" s="29"/>
      <c r="H40" s="129"/>
      <c r="I40" s="129"/>
      <c r="J40" s="29"/>
      <c r="K40" s="128"/>
      <c r="L40" s="128"/>
      <c r="M40" s="29"/>
    </row>
  </sheetData>
  <mergeCells count="12">
    <mergeCell ref="J14:K14"/>
    <mergeCell ref="J15:K15"/>
    <mergeCell ref="E7:F7"/>
    <mergeCell ref="E9:F9"/>
    <mergeCell ref="E11:F11"/>
    <mergeCell ref="E13:F13"/>
    <mergeCell ref="L7:M7"/>
    <mergeCell ref="L9:M9"/>
    <mergeCell ref="L11:M11"/>
    <mergeCell ref="J11:K11"/>
    <mergeCell ref="J9:K9"/>
    <mergeCell ref="J7:K7"/>
  </mergeCells>
  <conditionalFormatting sqref="K18:L40">
    <cfRule type="expression" dxfId="29" priority="1" stopIfTrue="1">
      <formula>AND($L18&lt;=1.0049,$L18&gt;=0.9951)</formula>
    </cfRule>
    <cfRule type="expression" dxfId="28" priority="2">
      <formula>$L18&lt;1</formula>
    </cfRule>
    <cfRule type="expression" dxfId="27" priority="3">
      <formula>$L18&gt;1</formula>
    </cfRule>
  </conditionalFormatting>
  <dataValidations disablePrompts="1" count="1">
    <dataValidation type="list" allowBlank="1" showInputMessage="1" showErrorMessage="1" sqref="H17" xr:uid="{00000000-0002-0000-0100-000000000000}">
      <formula1>"Modéré"</formula1>
    </dataValidation>
  </dataValidations>
  <hyperlinks>
    <hyperlink ref="E26" r:id="rId1" xr:uid="{00000000-0004-0000-0100-000000000000}"/>
    <hyperlink ref="E27" r:id="rId2" xr:uid="{00000000-0004-0000-0100-000001000000}"/>
    <hyperlink ref="E28" r:id="rId3" xr:uid="{00000000-0004-0000-0100-000002000000}"/>
    <hyperlink ref="E29" r:id="rId4" xr:uid="{00000000-0004-0000-0100-000003000000}"/>
    <hyperlink ref="E30" r:id="rId5" xr:uid="{00000000-0004-0000-0100-000004000000}"/>
    <hyperlink ref="E31" r:id="rId6" xr:uid="{00000000-0004-0000-0100-000005000000}"/>
    <hyperlink ref="E32" r:id="rId7" xr:uid="{00000000-0004-0000-0100-000006000000}"/>
    <hyperlink ref="E33" r:id="rId8" xr:uid="{00000000-0004-0000-0100-000007000000}"/>
    <hyperlink ref="E34" r:id="rId9" xr:uid="{00000000-0004-0000-0100-000008000000}"/>
    <hyperlink ref="E35" r:id="rId10" xr:uid="{00000000-0004-0000-0100-000009000000}"/>
    <hyperlink ref="E36" r:id="rId11" xr:uid="{00000000-0004-0000-0100-00000A000000}"/>
    <hyperlink ref="E37" r:id="rId12" xr:uid="{00000000-0004-0000-0100-00000B000000}"/>
  </hyperlinks>
  <pageMargins left="0.7" right="0.7" top="0.75" bottom="0.75" header="0.3" footer="0.3"/>
  <pageSetup paperSize="9" orientation="portrait" r:id="rId13"/>
  <drawing r:id="rId1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W202"/>
  <sheetViews>
    <sheetView showGridLines="0" tabSelected="1" zoomScaleNormal="100" workbookViewId="0"/>
  </sheetViews>
  <sheetFormatPr defaultColWidth="11.5703125" defaultRowHeight="15" x14ac:dyDescent="0.25"/>
  <cols>
    <col min="1" max="1" width="8.42578125" style="1" customWidth="1"/>
    <col min="2" max="2" width="54.28515625" style="105" customWidth="1"/>
    <col min="3" max="3" width="12.85546875" style="1" customWidth="1"/>
    <col min="4" max="4" width="19.140625" style="1" customWidth="1"/>
    <col min="5" max="5" width="38" style="1" customWidth="1"/>
    <col min="6" max="7" width="13.140625" style="1" customWidth="1"/>
    <col min="8" max="8" width="13.7109375" style="1" bestFit="1" customWidth="1"/>
    <col min="9" max="9" width="13.28515625" style="6" customWidth="1"/>
    <col min="10" max="10" width="1" customWidth="1"/>
    <col min="11" max="63" width="3.85546875" style="3" customWidth="1"/>
    <col min="64" max="16384" width="11.5703125" style="3"/>
  </cols>
  <sheetData>
    <row r="1" spans="1:63" s="12" customFormat="1" x14ac:dyDescent="0.25">
      <c r="B1" s="21"/>
      <c r="J1"/>
    </row>
    <row r="2" spans="1:63" s="12" customFormat="1" ht="26.25" x14ac:dyDescent="0.25">
      <c r="A2" s="13"/>
      <c r="B2" s="102"/>
      <c r="C2" s="13"/>
      <c r="D2" s="13"/>
      <c r="H2" s="156"/>
      <c r="I2" s="156"/>
      <c r="J2"/>
      <c r="L2" s="14"/>
    </row>
    <row r="3" spans="1:63" s="12" customFormat="1" ht="26.25" x14ac:dyDescent="0.25">
      <c r="A3" s="13"/>
      <c r="B3" s="102"/>
      <c r="C3" s="13"/>
      <c r="D3" s="13"/>
      <c r="J3"/>
    </row>
    <row r="4" spans="1:63" s="12" customFormat="1" ht="26.25" x14ac:dyDescent="0.25">
      <c r="A4" s="13"/>
      <c r="B4" s="102"/>
      <c r="C4" s="13"/>
      <c r="D4" s="13"/>
      <c r="J4"/>
    </row>
    <row r="5" spans="1:63" s="12" customFormat="1" ht="23.25" x14ac:dyDescent="0.35">
      <c r="B5" s="21"/>
      <c r="I5" s="15"/>
      <c r="J5"/>
    </row>
    <row r="6" spans="1:63" s="12" customFormat="1" x14ac:dyDescent="0.25">
      <c r="A6" s="57" t="s">
        <v>398</v>
      </c>
      <c r="B6" s="103"/>
      <c r="C6" s="143" t="s">
        <v>295</v>
      </c>
      <c r="D6" s="143"/>
      <c r="F6" s="140" t="s">
        <v>399</v>
      </c>
      <c r="G6" s="140"/>
      <c r="H6" s="157">
        <v>44685</v>
      </c>
      <c r="I6" s="158"/>
      <c r="J6"/>
      <c r="K6" s="145" t="s">
        <v>400</v>
      </c>
      <c r="L6" s="145"/>
      <c r="M6" s="145"/>
      <c r="N6" s="145"/>
      <c r="O6" s="145"/>
      <c r="P6" s="145"/>
      <c r="Q6" s="145"/>
      <c r="R6" s="145"/>
      <c r="S6" s="146"/>
      <c r="T6" s="147">
        <v>44649</v>
      </c>
      <c r="U6" s="148"/>
      <c r="V6" s="148"/>
      <c r="W6" s="149"/>
    </row>
    <row r="7" spans="1:63" s="12" customFormat="1" x14ac:dyDescent="0.25">
      <c r="A7" s="24"/>
      <c r="B7" s="21"/>
      <c r="C7" s="24"/>
      <c r="D7" s="25"/>
      <c r="F7" s="34"/>
      <c r="G7" s="35"/>
      <c r="H7" s="25"/>
      <c r="J7"/>
    </row>
    <row r="8" spans="1:63" s="12" customFormat="1" x14ac:dyDescent="0.25">
      <c r="A8" s="57" t="s">
        <v>293</v>
      </c>
      <c r="B8" s="103"/>
      <c r="C8" s="143" t="s">
        <v>292</v>
      </c>
      <c r="D8" s="143"/>
      <c r="F8" s="139" t="s">
        <v>291</v>
      </c>
      <c r="G8" s="139"/>
      <c r="H8" s="157">
        <v>44685</v>
      </c>
      <c r="I8" s="158"/>
      <c r="J8"/>
      <c r="K8" s="145" t="s">
        <v>401</v>
      </c>
      <c r="L8" s="145"/>
      <c r="M8" s="145"/>
      <c r="N8" s="145"/>
      <c r="O8" s="145"/>
      <c r="P8" s="145"/>
      <c r="Q8" s="145"/>
      <c r="R8" s="145"/>
      <c r="S8" s="146"/>
      <c r="T8" s="147">
        <v>44957</v>
      </c>
      <c r="U8" s="148"/>
      <c r="V8" s="148"/>
      <c r="W8" s="149"/>
    </row>
    <row r="9" spans="1:63" s="12" customFormat="1" x14ac:dyDescent="0.25">
      <c r="A9" s="27"/>
      <c r="B9" s="21"/>
      <c r="C9" s="25"/>
      <c r="D9" s="25"/>
      <c r="F9" s="33"/>
      <c r="G9" s="32"/>
      <c r="H9" s="25"/>
      <c r="J9"/>
    </row>
    <row r="10" spans="1:63" s="12" customFormat="1" x14ac:dyDescent="0.25">
      <c r="A10" s="57" t="s">
        <v>290</v>
      </c>
      <c r="B10" s="103"/>
      <c r="C10" s="143" t="s">
        <v>32</v>
      </c>
      <c r="D10" s="143"/>
      <c r="F10" s="139" t="s">
        <v>289</v>
      </c>
      <c r="G10" s="139"/>
      <c r="H10" s="137" t="s">
        <v>33</v>
      </c>
      <c r="I10" s="138"/>
      <c r="J10"/>
      <c r="K10" s="145" t="s">
        <v>402</v>
      </c>
      <c r="L10" s="145"/>
      <c r="M10" s="145"/>
      <c r="N10" s="145"/>
      <c r="O10" s="145"/>
      <c r="P10" s="145"/>
      <c r="Q10" s="145"/>
      <c r="R10" s="145"/>
      <c r="S10" s="146"/>
      <c r="T10" s="147">
        <v>44957</v>
      </c>
      <c r="U10" s="148"/>
      <c r="V10" s="148"/>
      <c r="W10" s="149"/>
    </row>
    <row r="11" spans="1:63" s="12" customFormat="1" ht="15.75" x14ac:dyDescent="0.25">
      <c r="A11" s="24"/>
      <c r="B11" s="21"/>
      <c r="C11" s="25"/>
      <c r="D11" s="25"/>
      <c r="E11" s="16"/>
      <c r="F11" s="16"/>
      <c r="G11" s="16"/>
      <c r="H11" s="17"/>
      <c r="I11" s="17"/>
      <c r="J11"/>
    </row>
    <row r="12" spans="1:63" customFormat="1" ht="15.75" thickBot="1" x14ac:dyDescent="0.3">
      <c r="A12" s="57" t="s">
        <v>288</v>
      </c>
      <c r="B12" s="103"/>
      <c r="C12" s="143" t="s">
        <v>287</v>
      </c>
      <c r="D12" s="143"/>
      <c r="E12" s="16"/>
      <c r="F12" s="16"/>
      <c r="G12" s="16"/>
      <c r="H12" s="119"/>
      <c r="I12" s="12"/>
      <c r="J12">
        <v>1</v>
      </c>
      <c r="K12">
        <v>1</v>
      </c>
      <c r="L12">
        <v>2</v>
      </c>
    </row>
    <row r="13" spans="1:63" customFormat="1" ht="15" customHeight="1" x14ac:dyDescent="0.25">
      <c r="A13" s="38"/>
      <c r="B13" s="104"/>
      <c r="C13" s="37"/>
      <c r="D13" s="39"/>
      <c r="E13" s="16"/>
      <c r="F13" s="16"/>
      <c r="G13" s="12"/>
      <c r="H13" s="12"/>
      <c r="I13" s="12"/>
      <c r="K13" s="165" t="s">
        <v>410</v>
      </c>
      <c r="L13" s="166"/>
      <c r="M13" s="166"/>
      <c r="N13" s="166"/>
      <c r="O13" s="167"/>
      <c r="P13" s="165" t="s">
        <v>411</v>
      </c>
      <c r="Q13" s="166"/>
      <c r="R13" s="166"/>
      <c r="S13" s="167"/>
      <c r="T13" s="165" t="s">
        <v>412</v>
      </c>
      <c r="U13" s="166"/>
      <c r="V13" s="166"/>
      <c r="W13" s="167"/>
      <c r="X13" s="165" t="s">
        <v>413</v>
      </c>
      <c r="Y13" s="166"/>
      <c r="Z13" s="166"/>
      <c r="AA13" s="167"/>
      <c r="AB13" s="165" t="s">
        <v>414</v>
      </c>
      <c r="AC13" s="166"/>
      <c r="AD13" s="166"/>
      <c r="AE13" s="166"/>
      <c r="AF13" s="167"/>
      <c r="AG13" s="165" t="s">
        <v>415</v>
      </c>
      <c r="AH13" s="166"/>
      <c r="AI13" s="166"/>
      <c r="AJ13" s="167"/>
      <c r="AK13" s="165" t="s">
        <v>404</v>
      </c>
      <c r="AL13" s="166"/>
      <c r="AM13" s="166"/>
      <c r="AN13" s="167"/>
      <c r="AO13" s="165" t="s">
        <v>405</v>
      </c>
      <c r="AP13" s="166"/>
      <c r="AQ13" s="166"/>
      <c r="AR13" s="166"/>
      <c r="AS13" s="167"/>
      <c r="AT13" s="165" t="s">
        <v>406</v>
      </c>
      <c r="AU13" s="166"/>
      <c r="AV13" s="166"/>
      <c r="AW13" s="167"/>
      <c r="AX13" s="165" t="s">
        <v>407</v>
      </c>
      <c r="AY13" s="166"/>
      <c r="AZ13" s="166"/>
      <c r="BA13" s="166"/>
      <c r="BB13" s="167"/>
      <c r="BC13" s="165" t="s">
        <v>408</v>
      </c>
      <c r="BD13" s="166"/>
      <c r="BE13" s="166"/>
      <c r="BF13" s="167"/>
      <c r="BG13" s="165" t="s">
        <v>409</v>
      </c>
      <c r="BH13" s="166"/>
      <c r="BI13" s="166"/>
      <c r="BJ13" s="167"/>
      <c r="BK13" s="171" t="s">
        <v>410</v>
      </c>
    </row>
    <row r="14" spans="1:63" customFormat="1" ht="15" customHeight="1" thickBot="1" x14ac:dyDescent="0.3">
      <c r="A14" s="12"/>
      <c r="B14" s="21"/>
      <c r="C14" s="12"/>
      <c r="D14" s="12"/>
      <c r="E14" s="12"/>
      <c r="F14" s="19"/>
      <c r="G14" s="12"/>
      <c r="H14" s="12"/>
      <c r="I14" s="12"/>
      <c r="K14" s="168"/>
      <c r="L14" s="169"/>
      <c r="M14" s="169"/>
      <c r="N14" s="169"/>
      <c r="O14" s="170"/>
      <c r="P14" s="168"/>
      <c r="Q14" s="169"/>
      <c r="R14" s="169"/>
      <c r="S14" s="170"/>
      <c r="T14" s="168"/>
      <c r="U14" s="169"/>
      <c r="V14" s="169"/>
      <c r="W14" s="170"/>
      <c r="X14" s="168"/>
      <c r="Y14" s="169"/>
      <c r="Z14" s="169"/>
      <c r="AA14" s="170"/>
      <c r="AB14" s="168"/>
      <c r="AC14" s="169"/>
      <c r="AD14" s="169"/>
      <c r="AE14" s="169"/>
      <c r="AF14" s="170"/>
      <c r="AG14" s="168"/>
      <c r="AH14" s="169"/>
      <c r="AI14" s="169"/>
      <c r="AJ14" s="170"/>
      <c r="AK14" s="168"/>
      <c r="AL14" s="169"/>
      <c r="AM14" s="169"/>
      <c r="AN14" s="170"/>
      <c r="AO14" s="168"/>
      <c r="AP14" s="169"/>
      <c r="AQ14" s="169"/>
      <c r="AR14" s="169"/>
      <c r="AS14" s="170"/>
      <c r="AT14" s="168"/>
      <c r="AU14" s="169"/>
      <c r="AV14" s="169"/>
      <c r="AW14" s="170"/>
      <c r="AX14" s="168"/>
      <c r="AY14" s="169"/>
      <c r="AZ14" s="169"/>
      <c r="BA14" s="169"/>
      <c r="BB14" s="170"/>
      <c r="BC14" s="168"/>
      <c r="BD14" s="169"/>
      <c r="BE14" s="169"/>
      <c r="BF14" s="170"/>
      <c r="BG14" s="168"/>
      <c r="BH14" s="169"/>
      <c r="BI14" s="169"/>
      <c r="BJ14" s="170"/>
      <c r="BK14" s="172"/>
    </row>
    <row r="15" spans="1:63" customFormat="1" x14ac:dyDescent="0.25">
      <c r="A15" s="159" t="s">
        <v>31</v>
      </c>
      <c r="B15" s="152" t="s">
        <v>299</v>
      </c>
      <c r="C15" s="152" t="s">
        <v>300</v>
      </c>
      <c r="D15" s="152" t="s">
        <v>301</v>
      </c>
      <c r="E15" s="152" t="s">
        <v>302</v>
      </c>
      <c r="F15" s="152" t="s">
        <v>224</v>
      </c>
      <c r="G15" s="152" t="s">
        <v>422</v>
      </c>
      <c r="H15" s="152" t="s">
        <v>1</v>
      </c>
      <c r="I15" s="154" t="s">
        <v>303</v>
      </c>
      <c r="K15" s="161" t="str">
        <f t="shared" ref="K15:AP15" si="0">"W"&amp;_xlfn.ISOWEEKNUM(K17)</f>
        <v>W1</v>
      </c>
      <c r="L15" s="163" t="str">
        <f t="shared" si="0"/>
        <v>W2</v>
      </c>
      <c r="M15" s="163" t="str">
        <f t="shared" si="0"/>
        <v>W3</v>
      </c>
      <c r="N15" s="163" t="str">
        <f t="shared" si="0"/>
        <v>W4</v>
      </c>
      <c r="O15" s="163" t="str">
        <f t="shared" si="0"/>
        <v>W5</v>
      </c>
      <c r="P15" s="163" t="str">
        <f t="shared" si="0"/>
        <v>W6</v>
      </c>
      <c r="Q15" s="163" t="str">
        <f t="shared" si="0"/>
        <v>W7</v>
      </c>
      <c r="R15" s="163" t="str">
        <f t="shared" si="0"/>
        <v>W8</v>
      </c>
      <c r="S15" s="163" t="str">
        <f t="shared" si="0"/>
        <v>W9</v>
      </c>
      <c r="T15" s="163" t="str">
        <f t="shared" si="0"/>
        <v>W10</v>
      </c>
      <c r="U15" s="163" t="str">
        <f t="shared" si="0"/>
        <v>W11</v>
      </c>
      <c r="V15" s="163" t="str">
        <f t="shared" si="0"/>
        <v>W12</v>
      </c>
      <c r="W15" s="163" t="str">
        <f t="shared" si="0"/>
        <v>W13</v>
      </c>
      <c r="X15" s="163" t="str">
        <f t="shared" si="0"/>
        <v>W14</v>
      </c>
      <c r="Y15" s="163" t="str">
        <f t="shared" si="0"/>
        <v>W15</v>
      </c>
      <c r="Z15" s="163" t="str">
        <f t="shared" si="0"/>
        <v>W16</v>
      </c>
      <c r="AA15" s="163" t="str">
        <f t="shared" si="0"/>
        <v>W17</v>
      </c>
      <c r="AB15" s="163" t="str">
        <f t="shared" si="0"/>
        <v>W18</v>
      </c>
      <c r="AC15" s="163" t="str">
        <f t="shared" si="0"/>
        <v>W19</v>
      </c>
      <c r="AD15" s="163" t="str">
        <f t="shared" si="0"/>
        <v>W20</v>
      </c>
      <c r="AE15" s="163" t="str">
        <f t="shared" si="0"/>
        <v>W21</v>
      </c>
      <c r="AF15" s="163" t="str">
        <f t="shared" si="0"/>
        <v>W22</v>
      </c>
      <c r="AG15" s="163" t="str">
        <f t="shared" si="0"/>
        <v>W23</v>
      </c>
      <c r="AH15" s="163" t="str">
        <f t="shared" si="0"/>
        <v>W24</v>
      </c>
      <c r="AI15" s="163" t="str">
        <f t="shared" si="0"/>
        <v>W25</v>
      </c>
      <c r="AJ15" s="163" t="str">
        <f t="shared" si="0"/>
        <v>W26</v>
      </c>
      <c r="AK15" s="163" t="str">
        <f t="shared" si="0"/>
        <v>W27</v>
      </c>
      <c r="AL15" s="163" t="str">
        <f t="shared" si="0"/>
        <v>W28</v>
      </c>
      <c r="AM15" s="163" t="str">
        <f t="shared" si="0"/>
        <v>W29</v>
      </c>
      <c r="AN15" s="163" t="str">
        <f t="shared" si="0"/>
        <v>W30</v>
      </c>
      <c r="AO15" s="163" t="str">
        <f t="shared" si="0"/>
        <v>W31</v>
      </c>
      <c r="AP15" s="163" t="str">
        <f t="shared" si="0"/>
        <v>W32</v>
      </c>
      <c r="AQ15" s="163" t="str">
        <f t="shared" ref="AQ15:BK15" si="1">"W"&amp;_xlfn.ISOWEEKNUM(AQ17)</f>
        <v>W33</v>
      </c>
      <c r="AR15" s="163" t="str">
        <f t="shared" si="1"/>
        <v>W34</v>
      </c>
      <c r="AS15" s="163" t="str">
        <f t="shared" si="1"/>
        <v>W35</v>
      </c>
      <c r="AT15" s="163" t="str">
        <f t="shared" si="1"/>
        <v>W36</v>
      </c>
      <c r="AU15" s="163" t="str">
        <f t="shared" si="1"/>
        <v>W37</v>
      </c>
      <c r="AV15" s="163" t="str">
        <f t="shared" si="1"/>
        <v>W38</v>
      </c>
      <c r="AW15" s="163" t="str">
        <f t="shared" si="1"/>
        <v>W39</v>
      </c>
      <c r="AX15" s="163" t="str">
        <f t="shared" si="1"/>
        <v>W40</v>
      </c>
      <c r="AY15" s="163" t="str">
        <f t="shared" si="1"/>
        <v>W41</v>
      </c>
      <c r="AZ15" s="163" t="str">
        <f t="shared" si="1"/>
        <v>W42</v>
      </c>
      <c r="BA15" s="163" t="str">
        <f t="shared" si="1"/>
        <v>W43</v>
      </c>
      <c r="BB15" s="163" t="str">
        <f t="shared" si="1"/>
        <v>W44</v>
      </c>
      <c r="BC15" s="163" t="str">
        <f t="shared" si="1"/>
        <v>W45</v>
      </c>
      <c r="BD15" s="163" t="str">
        <f t="shared" si="1"/>
        <v>W46</v>
      </c>
      <c r="BE15" s="163" t="str">
        <f t="shared" si="1"/>
        <v>W47</v>
      </c>
      <c r="BF15" s="163" t="str">
        <f t="shared" si="1"/>
        <v>W48</v>
      </c>
      <c r="BG15" s="163" t="str">
        <f t="shared" si="1"/>
        <v>W49</v>
      </c>
      <c r="BH15" s="163" t="str">
        <f t="shared" si="1"/>
        <v>W50</v>
      </c>
      <c r="BI15" s="163" t="str">
        <f t="shared" si="1"/>
        <v>W51</v>
      </c>
      <c r="BJ15" s="163" t="str">
        <f t="shared" si="1"/>
        <v>W52</v>
      </c>
      <c r="BK15" s="173" t="str">
        <f t="shared" si="1"/>
        <v>W1</v>
      </c>
    </row>
    <row r="16" spans="1:63" customFormat="1" ht="15.75" thickBot="1" x14ac:dyDescent="0.3">
      <c r="A16" s="160"/>
      <c r="B16" s="153"/>
      <c r="C16" s="153"/>
      <c r="D16" s="153"/>
      <c r="E16" s="153"/>
      <c r="F16" s="153"/>
      <c r="G16" s="153"/>
      <c r="H16" s="153"/>
      <c r="I16" s="155"/>
      <c r="K16" s="162"/>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c r="BJ16" s="164"/>
      <c r="BK16" s="174"/>
    </row>
    <row r="17" spans="1:205" customFormat="1" hidden="1" x14ac:dyDescent="0.25">
      <c r="K17" s="123">
        <f t="shared" ref="K17:AP17" si="2">IF(WEEKDAY(DATE(YEAR($T$6),1,1))&gt;2,DATE(YEAR($T$6),1,1)-(WEEKDAY(DATE(YEAR($T$6),1,1))-2),DATE(YEAR($T$6),1,1))+($K$12-1)*7+(COLUMN()-11)*7+7</f>
        <v>44564</v>
      </c>
      <c r="L17" s="123">
        <f t="shared" si="2"/>
        <v>44571</v>
      </c>
      <c r="M17" s="123">
        <f t="shared" si="2"/>
        <v>44578</v>
      </c>
      <c r="N17" s="123">
        <f t="shared" si="2"/>
        <v>44585</v>
      </c>
      <c r="O17" s="123">
        <f t="shared" si="2"/>
        <v>44592</v>
      </c>
      <c r="P17" s="123">
        <f t="shared" si="2"/>
        <v>44599</v>
      </c>
      <c r="Q17" s="123">
        <f t="shared" si="2"/>
        <v>44606</v>
      </c>
      <c r="R17" s="123">
        <f t="shared" si="2"/>
        <v>44613</v>
      </c>
      <c r="S17" s="123">
        <f t="shared" si="2"/>
        <v>44620</v>
      </c>
      <c r="T17" s="123">
        <f t="shared" si="2"/>
        <v>44627</v>
      </c>
      <c r="U17" s="123">
        <f t="shared" si="2"/>
        <v>44634</v>
      </c>
      <c r="V17" s="123">
        <f t="shared" si="2"/>
        <v>44641</v>
      </c>
      <c r="W17" s="123">
        <f t="shared" si="2"/>
        <v>44648</v>
      </c>
      <c r="X17" s="123">
        <f t="shared" si="2"/>
        <v>44655</v>
      </c>
      <c r="Y17" s="123">
        <f t="shared" si="2"/>
        <v>44662</v>
      </c>
      <c r="Z17" s="123">
        <f t="shared" si="2"/>
        <v>44669</v>
      </c>
      <c r="AA17" s="123">
        <f t="shared" si="2"/>
        <v>44676</v>
      </c>
      <c r="AB17" s="123">
        <f t="shared" si="2"/>
        <v>44683</v>
      </c>
      <c r="AC17" s="123">
        <f t="shared" si="2"/>
        <v>44690</v>
      </c>
      <c r="AD17" s="123">
        <f t="shared" si="2"/>
        <v>44697</v>
      </c>
      <c r="AE17" s="123">
        <f t="shared" si="2"/>
        <v>44704</v>
      </c>
      <c r="AF17" s="123">
        <f t="shared" si="2"/>
        <v>44711</v>
      </c>
      <c r="AG17" s="123">
        <f t="shared" si="2"/>
        <v>44718</v>
      </c>
      <c r="AH17" s="123">
        <f t="shared" si="2"/>
        <v>44725</v>
      </c>
      <c r="AI17" s="123">
        <f t="shared" si="2"/>
        <v>44732</v>
      </c>
      <c r="AJ17" s="123">
        <f t="shared" si="2"/>
        <v>44739</v>
      </c>
      <c r="AK17" s="123">
        <f t="shared" si="2"/>
        <v>44746</v>
      </c>
      <c r="AL17" s="123">
        <f t="shared" si="2"/>
        <v>44753</v>
      </c>
      <c r="AM17" s="123">
        <f t="shared" si="2"/>
        <v>44760</v>
      </c>
      <c r="AN17" s="123">
        <f t="shared" si="2"/>
        <v>44767</v>
      </c>
      <c r="AO17" s="123">
        <f t="shared" si="2"/>
        <v>44774</v>
      </c>
      <c r="AP17" s="123">
        <f t="shared" si="2"/>
        <v>44781</v>
      </c>
      <c r="AQ17" s="123">
        <f t="shared" ref="AQ17:BK17" si="3">IF(WEEKDAY(DATE(YEAR($T$6),1,1))&gt;2,DATE(YEAR($T$6),1,1)-(WEEKDAY(DATE(YEAR($T$6),1,1))-2),DATE(YEAR($T$6),1,1))+($K$12-1)*7+(COLUMN()-11)*7+7</f>
        <v>44788</v>
      </c>
      <c r="AR17" s="123">
        <f t="shared" si="3"/>
        <v>44795</v>
      </c>
      <c r="AS17" s="123">
        <f t="shared" si="3"/>
        <v>44802</v>
      </c>
      <c r="AT17" s="123">
        <f t="shared" si="3"/>
        <v>44809</v>
      </c>
      <c r="AU17" s="123">
        <f t="shared" si="3"/>
        <v>44816</v>
      </c>
      <c r="AV17" s="123">
        <f t="shared" si="3"/>
        <v>44823</v>
      </c>
      <c r="AW17" s="123">
        <f t="shared" si="3"/>
        <v>44830</v>
      </c>
      <c r="AX17" s="123">
        <f t="shared" si="3"/>
        <v>44837</v>
      </c>
      <c r="AY17" s="123">
        <f t="shared" si="3"/>
        <v>44844</v>
      </c>
      <c r="AZ17" s="123">
        <f t="shared" si="3"/>
        <v>44851</v>
      </c>
      <c r="BA17" s="123">
        <f t="shared" si="3"/>
        <v>44858</v>
      </c>
      <c r="BB17" s="123">
        <f t="shared" si="3"/>
        <v>44865</v>
      </c>
      <c r="BC17" s="123">
        <f t="shared" si="3"/>
        <v>44872</v>
      </c>
      <c r="BD17" s="123">
        <f t="shared" si="3"/>
        <v>44879</v>
      </c>
      <c r="BE17" s="123">
        <f t="shared" si="3"/>
        <v>44886</v>
      </c>
      <c r="BF17" s="123">
        <f t="shared" si="3"/>
        <v>44893</v>
      </c>
      <c r="BG17" s="123">
        <f t="shared" si="3"/>
        <v>44900</v>
      </c>
      <c r="BH17" s="123">
        <f t="shared" si="3"/>
        <v>44907</v>
      </c>
      <c r="BI17" s="123">
        <f t="shared" si="3"/>
        <v>44914</v>
      </c>
      <c r="BJ17" s="123">
        <f t="shared" si="3"/>
        <v>44921</v>
      </c>
      <c r="BK17" s="123">
        <f t="shared" si="3"/>
        <v>44928</v>
      </c>
    </row>
    <row r="18" spans="1:205" s="12" customFormat="1" ht="15.75" thickBot="1" x14ac:dyDescent="0.3">
      <c r="A18" s="98" t="s">
        <v>304</v>
      </c>
      <c r="B18" s="97"/>
      <c r="C18" s="97"/>
      <c r="D18" s="97"/>
      <c r="E18" s="97"/>
      <c r="F18" s="99">
        <f>MIN(F19:F158)</f>
        <v>44649</v>
      </c>
      <c r="G18" s="97">
        <f>NETWORKDAYS(F18,H18)</f>
        <v>311</v>
      </c>
      <c r="H18" s="99">
        <f>MAX(H19:H158)</f>
        <v>45083</v>
      </c>
      <c r="I18" s="109">
        <f ca="1">AVERAGE(I19,I30,I41,I61,I144)</f>
        <v>0.19400000000000001</v>
      </c>
      <c r="J18"/>
      <c r="K18" s="122">
        <f t="shared" ref="K18:AP18" si="4">K17+6</f>
        <v>44570</v>
      </c>
      <c r="L18" s="124">
        <f t="shared" si="4"/>
        <v>44577</v>
      </c>
      <c r="M18" s="124">
        <f t="shared" si="4"/>
        <v>44584</v>
      </c>
      <c r="N18" s="124">
        <f t="shared" si="4"/>
        <v>44591</v>
      </c>
      <c r="O18" s="124">
        <f t="shared" si="4"/>
        <v>44598</v>
      </c>
      <c r="P18" s="124">
        <f t="shared" si="4"/>
        <v>44605</v>
      </c>
      <c r="Q18" s="124">
        <f t="shared" si="4"/>
        <v>44612</v>
      </c>
      <c r="R18" s="124">
        <f t="shared" si="4"/>
        <v>44619</v>
      </c>
      <c r="S18" s="124">
        <f t="shared" si="4"/>
        <v>44626</v>
      </c>
      <c r="T18" s="124">
        <f t="shared" si="4"/>
        <v>44633</v>
      </c>
      <c r="U18" s="124">
        <f t="shared" si="4"/>
        <v>44640</v>
      </c>
      <c r="V18" s="124">
        <f t="shared" si="4"/>
        <v>44647</v>
      </c>
      <c r="W18" s="124">
        <f t="shared" si="4"/>
        <v>44654</v>
      </c>
      <c r="X18" s="124">
        <f t="shared" si="4"/>
        <v>44661</v>
      </c>
      <c r="Y18" s="124">
        <f t="shared" si="4"/>
        <v>44668</v>
      </c>
      <c r="Z18" s="124">
        <f t="shared" si="4"/>
        <v>44675</v>
      </c>
      <c r="AA18" s="124">
        <f t="shared" si="4"/>
        <v>44682</v>
      </c>
      <c r="AB18" s="124">
        <f t="shared" si="4"/>
        <v>44689</v>
      </c>
      <c r="AC18" s="124">
        <f t="shared" si="4"/>
        <v>44696</v>
      </c>
      <c r="AD18" s="124">
        <f t="shared" si="4"/>
        <v>44703</v>
      </c>
      <c r="AE18" s="124">
        <f t="shared" si="4"/>
        <v>44710</v>
      </c>
      <c r="AF18" s="124">
        <f t="shared" si="4"/>
        <v>44717</v>
      </c>
      <c r="AG18" s="124">
        <f t="shared" si="4"/>
        <v>44724</v>
      </c>
      <c r="AH18" s="124">
        <f t="shared" si="4"/>
        <v>44731</v>
      </c>
      <c r="AI18" s="124">
        <f t="shared" si="4"/>
        <v>44738</v>
      </c>
      <c r="AJ18" s="124">
        <f t="shared" si="4"/>
        <v>44745</v>
      </c>
      <c r="AK18" s="124">
        <f t="shared" si="4"/>
        <v>44752</v>
      </c>
      <c r="AL18" s="124">
        <f t="shared" si="4"/>
        <v>44759</v>
      </c>
      <c r="AM18" s="124">
        <f t="shared" si="4"/>
        <v>44766</v>
      </c>
      <c r="AN18" s="124">
        <f t="shared" si="4"/>
        <v>44773</v>
      </c>
      <c r="AO18" s="124">
        <f t="shared" si="4"/>
        <v>44780</v>
      </c>
      <c r="AP18" s="124">
        <f t="shared" si="4"/>
        <v>44787</v>
      </c>
      <c r="AQ18" s="124">
        <f t="shared" ref="AQ18:BK18" si="5">AQ17+6</f>
        <v>44794</v>
      </c>
      <c r="AR18" s="124">
        <f t="shared" si="5"/>
        <v>44801</v>
      </c>
      <c r="AS18" s="124">
        <f t="shared" si="5"/>
        <v>44808</v>
      </c>
      <c r="AT18" s="124">
        <f t="shared" si="5"/>
        <v>44815</v>
      </c>
      <c r="AU18" s="124">
        <f t="shared" si="5"/>
        <v>44822</v>
      </c>
      <c r="AV18" s="124">
        <f t="shared" si="5"/>
        <v>44829</v>
      </c>
      <c r="AW18" s="124">
        <f t="shared" si="5"/>
        <v>44836</v>
      </c>
      <c r="AX18" s="124">
        <f t="shared" si="5"/>
        <v>44843</v>
      </c>
      <c r="AY18" s="124">
        <f t="shared" si="5"/>
        <v>44850</v>
      </c>
      <c r="AZ18" s="124">
        <f t="shared" si="5"/>
        <v>44857</v>
      </c>
      <c r="BA18" s="124">
        <f t="shared" si="5"/>
        <v>44864</v>
      </c>
      <c r="BB18" s="124">
        <f t="shared" si="5"/>
        <v>44871</v>
      </c>
      <c r="BC18" s="124">
        <f t="shared" si="5"/>
        <v>44878</v>
      </c>
      <c r="BD18" s="124">
        <f t="shared" si="5"/>
        <v>44885</v>
      </c>
      <c r="BE18" s="124">
        <f t="shared" si="5"/>
        <v>44892</v>
      </c>
      <c r="BF18" s="124">
        <f t="shared" si="5"/>
        <v>44899</v>
      </c>
      <c r="BG18" s="124">
        <f t="shared" si="5"/>
        <v>44906</v>
      </c>
      <c r="BH18" s="124">
        <f t="shared" si="5"/>
        <v>44913</v>
      </c>
      <c r="BI18" s="124">
        <f t="shared" si="5"/>
        <v>44920</v>
      </c>
      <c r="BJ18" s="124">
        <f t="shared" si="5"/>
        <v>44927</v>
      </c>
      <c r="BK18" s="125">
        <f t="shared" si="5"/>
        <v>44934</v>
      </c>
    </row>
    <row r="19" spans="1:205" s="21" customFormat="1" ht="15.75" x14ac:dyDescent="0.25">
      <c r="A19" s="58">
        <v>1</v>
      </c>
      <c r="B19" s="40" t="s">
        <v>305</v>
      </c>
      <c r="C19" s="41"/>
      <c r="D19" s="42"/>
      <c r="E19" s="43"/>
      <c r="F19" s="106">
        <f>MIN(F20:F29)</f>
        <v>44649</v>
      </c>
      <c r="G19" s="108">
        <f>NETWORKDAYS(F19,H19)</f>
        <v>117</v>
      </c>
      <c r="H19" s="106">
        <f>MAX(H20:H29)</f>
        <v>44811</v>
      </c>
      <c r="I19" s="69">
        <f>AVERAGE(I20:I29)</f>
        <v>0.88000000000000012</v>
      </c>
      <c r="J19"/>
      <c r="K19" s="45"/>
      <c r="L19" s="46"/>
      <c r="M19" s="46"/>
      <c r="N19" s="46"/>
      <c r="O19" s="46"/>
      <c r="P19" s="46"/>
      <c r="Q19" s="46"/>
      <c r="R19" s="46"/>
      <c r="S19" s="46"/>
      <c r="T19" s="46"/>
      <c r="U19" s="46"/>
      <c r="V19" s="46"/>
      <c r="W19" s="46"/>
      <c r="X19" s="46"/>
      <c r="Y19" s="46"/>
      <c r="Z19" s="46"/>
      <c r="AA19" s="46"/>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8"/>
    </row>
    <row r="20" spans="1:205" s="12" customFormat="1" ht="15.75" x14ac:dyDescent="0.25">
      <c r="A20" s="59" t="s">
        <v>2</v>
      </c>
      <c r="B20" s="23" t="s">
        <v>306</v>
      </c>
      <c r="C20" s="36"/>
      <c r="D20" s="30" t="s">
        <v>36</v>
      </c>
      <c r="E20" s="29" t="s">
        <v>389</v>
      </c>
      <c r="F20" s="101">
        <v>44649</v>
      </c>
      <c r="G20" s="28">
        <v>1</v>
      </c>
      <c r="H20" s="101">
        <f>IF(F20="","",WORKDAY(IF(WEEKDAY(F20,1)=7,F20+2,IF(WEEKDAY(F20,1)=1,F20+1,F20)),G20-1,))</f>
        <v>44649</v>
      </c>
      <c r="I20" s="70">
        <v>1</v>
      </c>
      <c r="J20"/>
      <c r="K20" s="49"/>
      <c r="L20" s="4"/>
      <c r="M20" s="4"/>
      <c r="N20" s="4"/>
      <c r="O20" s="4"/>
      <c r="P20" s="4"/>
      <c r="Q20" s="4"/>
      <c r="R20" s="4"/>
      <c r="S20" s="4"/>
      <c r="T20" s="4"/>
      <c r="U20" s="4"/>
      <c r="V20" s="4"/>
      <c r="W20" s="4"/>
      <c r="X20" s="4"/>
      <c r="Y20" s="4"/>
      <c r="Z20" s="4"/>
      <c r="AA20" s="4"/>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50"/>
    </row>
    <row r="21" spans="1:205" ht="15.75" x14ac:dyDescent="0.25">
      <c r="A21" s="59" t="s">
        <v>3</v>
      </c>
      <c r="B21" s="23" t="s">
        <v>307</v>
      </c>
      <c r="C21" s="36" t="s">
        <v>2</v>
      </c>
      <c r="D21" s="30" t="s">
        <v>36</v>
      </c>
      <c r="E21" s="29" t="s">
        <v>389</v>
      </c>
      <c r="F21" s="101">
        <v>44655</v>
      </c>
      <c r="G21" s="28">
        <v>1</v>
      </c>
      <c r="H21" s="101">
        <f>IF(F21="","",WORKDAY(IF(WEEKDAY(F21,1)=7,F21+2,IF(WEEKDAY(F21,1)=1,F21+1,F21)),G21-1,))</f>
        <v>44655</v>
      </c>
      <c r="I21" s="70">
        <v>1</v>
      </c>
      <c r="K21" s="49"/>
      <c r="L21" s="4"/>
      <c r="M21" s="4"/>
      <c r="N21" s="4"/>
      <c r="O21" s="4"/>
      <c r="P21" s="4"/>
      <c r="Q21" s="4"/>
      <c r="R21" s="4"/>
      <c r="S21" s="4"/>
      <c r="T21" s="4"/>
      <c r="U21" s="4"/>
      <c r="V21" s="4"/>
      <c r="W21" s="4"/>
      <c r="X21" s="4"/>
      <c r="Y21" s="4"/>
      <c r="Z21" s="4"/>
      <c r="AA21" s="4"/>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50"/>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row>
    <row r="22" spans="1:205" ht="15.75" x14ac:dyDescent="0.25">
      <c r="A22" s="59" t="s">
        <v>4</v>
      </c>
      <c r="B22" s="23" t="s">
        <v>308</v>
      </c>
      <c r="C22" s="36" t="s">
        <v>2</v>
      </c>
      <c r="D22" s="30" t="s">
        <v>43</v>
      </c>
      <c r="E22" s="29"/>
      <c r="F22" s="101">
        <v>44660</v>
      </c>
      <c r="G22" s="28">
        <v>5</v>
      </c>
      <c r="H22" s="101">
        <f>IF(F22="","",WORKDAY(IF(WEEKDAY(F22,1)=7,F22+2,IF(WEEKDAY(F22,1)=1,F22+1,F22)),G22-1,))</f>
        <v>44666</v>
      </c>
      <c r="I22" s="70">
        <v>1</v>
      </c>
      <c r="K22" s="49"/>
      <c r="L22" s="4"/>
      <c r="M22" s="4"/>
      <c r="N22" s="4"/>
      <c r="O22" s="4"/>
      <c r="P22" s="4"/>
      <c r="Q22" s="4"/>
      <c r="R22" s="4"/>
      <c r="S22" s="4"/>
      <c r="T22" s="4"/>
      <c r="U22" s="4"/>
      <c r="V22" s="4"/>
      <c r="W22" s="4"/>
      <c r="X22" s="4"/>
      <c r="Y22" s="4"/>
      <c r="Z22" s="4"/>
      <c r="AA22" s="4"/>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50"/>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row>
    <row r="23" spans="1:205" ht="15.75" x14ac:dyDescent="0.25">
      <c r="A23" s="59" t="s">
        <v>5</v>
      </c>
      <c r="B23" s="23" t="s">
        <v>309</v>
      </c>
      <c r="C23" s="36" t="s">
        <v>2</v>
      </c>
      <c r="D23" s="30" t="s">
        <v>45</v>
      </c>
      <c r="E23" s="29"/>
      <c r="F23" s="101">
        <v>44660</v>
      </c>
      <c r="G23" s="28">
        <v>5</v>
      </c>
      <c r="H23" s="101">
        <f>IF(F23="","",WORKDAY(IF(WEEKDAY(F23,1)=7,F23+2,IF(WEEKDAY(F23,1)=1,F23+1,F23)),G23-1,))</f>
        <v>44666</v>
      </c>
      <c r="I23" s="70">
        <v>1</v>
      </c>
      <c r="K23" s="49"/>
      <c r="L23" s="4"/>
      <c r="M23" s="4"/>
      <c r="N23" s="4"/>
      <c r="O23" s="4"/>
      <c r="P23" s="4"/>
      <c r="Q23" s="4"/>
      <c r="R23" s="4"/>
      <c r="S23" s="4"/>
      <c r="T23" s="4"/>
      <c r="U23" s="4"/>
      <c r="V23" s="4"/>
      <c r="W23" s="4"/>
      <c r="X23" s="4"/>
      <c r="Y23" s="4"/>
      <c r="Z23" s="4"/>
      <c r="AA23" s="4"/>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50"/>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row>
    <row r="24" spans="1:205" ht="15.75" x14ac:dyDescent="0.25">
      <c r="A24" s="59" t="s">
        <v>6</v>
      </c>
      <c r="B24" s="23" t="s">
        <v>310</v>
      </c>
      <c r="C24" s="36" t="s">
        <v>2</v>
      </c>
      <c r="D24" s="30" t="s">
        <v>47</v>
      </c>
      <c r="E24" s="29"/>
      <c r="F24" s="101">
        <v>44660</v>
      </c>
      <c r="G24" s="28">
        <v>5</v>
      </c>
      <c r="H24" s="101">
        <f t="shared" ref="H24:H29" si="6">IF(F24="","",WORKDAY(IF(WEEKDAY(F24,1)=7,F24+2,IF(WEEKDAY(F24,1)=1,F24+1,F24)),G24-1,))</f>
        <v>44666</v>
      </c>
      <c r="I24" s="70">
        <v>1</v>
      </c>
      <c r="K24" s="49"/>
      <c r="L24" s="4"/>
      <c r="M24" s="4"/>
      <c r="N24" s="4"/>
      <c r="O24" s="4"/>
      <c r="P24" s="4"/>
      <c r="Q24" s="4"/>
      <c r="R24" s="4"/>
      <c r="S24" s="4"/>
      <c r="T24" s="4"/>
      <c r="U24" s="4"/>
      <c r="V24" s="4"/>
      <c r="W24" s="4"/>
      <c r="X24" s="4"/>
      <c r="Y24" s="4"/>
      <c r="Z24" s="4"/>
      <c r="AA24" s="4"/>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50"/>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row>
    <row r="25" spans="1:205" ht="15.75" x14ac:dyDescent="0.25">
      <c r="A25" s="59" t="s">
        <v>77</v>
      </c>
      <c r="B25" s="23" t="s">
        <v>311</v>
      </c>
      <c r="C25" s="36" t="s">
        <v>2</v>
      </c>
      <c r="D25" s="30" t="s">
        <v>49</v>
      </c>
      <c r="E25" s="29"/>
      <c r="F25" s="101">
        <v>44660</v>
      </c>
      <c r="G25" s="28">
        <v>5</v>
      </c>
      <c r="H25" s="101">
        <f t="shared" si="6"/>
        <v>44666</v>
      </c>
      <c r="I25" s="70">
        <v>1</v>
      </c>
      <c r="K25" s="49"/>
      <c r="L25" s="4"/>
      <c r="M25" s="4"/>
      <c r="N25" s="4"/>
      <c r="O25" s="4"/>
      <c r="P25" s="4"/>
      <c r="Q25" s="4"/>
      <c r="R25" s="4"/>
      <c r="S25" s="4"/>
      <c r="T25" s="4"/>
      <c r="U25" s="4"/>
      <c r="V25" s="4"/>
      <c r="W25" s="4"/>
      <c r="X25" s="4"/>
      <c r="Y25" s="4"/>
      <c r="Z25" s="4"/>
      <c r="AA25" s="4"/>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50"/>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row>
    <row r="26" spans="1:205" ht="15.75" x14ac:dyDescent="0.25">
      <c r="A26" s="59" t="s">
        <v>78</v>
      </c>
      <c r="B26" s="23" t="s">
        <v>312</v>
      </c>
      <c r="C26" s="36" t="s">
        <v>2</v>
      </c>
      <c r="D26" s="30" t="s">
        <v>51</v>
      </c>
      <c r="E26" s="29"/>
      <c r="F26" s="101">
        <v>44660</v>
      </c>
      <c r="G26" s="28">
        <v>5</v>
      </c>
      <c r="H26" s="101">
        <f>IF(F26="","",WORKDAY(IF(WEEKDAY(F26,1)=7,F26+2,IF(WEEKDAY(F26,1)=1,F26+1,F26)),G26-1,))</f>
        <v>44666</v>
      </c>
      <c r="I26" s="70">
        <v>1</v>
      </c>
      <c r="K26" s="49"/>
      <c r="L26" s="4"/>
      <c r="M26" s="4"/>
      <c r="N26" s="4"/>
      <c r="O26" s="4"/>
      <c r="P26" s="4"/>
      <c r="Q26" s="4"/>
      <c r="R26" s="4"/>
      <c r="S26" s="4"/>
      <c r="T26" s="4"/>
      <c r="U26" s="4"/>
      <c r="V26" s="4"/>
      <c r="W26" s="4"/>
      <c r="X26" s="4"/>
      <c r="Y26" s="4"/>
      <c r="Z26" s="4"/>
      <c r="AA26" s="4"/>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50"/>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row>
    <row r="27" spans="1:205" ht="15.75" x14ac:dyDescent="0.25">
      <c r="A27" s="59" t="s">
        <v>79</v>
      </c>
      <c r="B27" s="23" t="s">
        <v>313</v>
      </c>
      <c r="C27" s="36" t="s">
        <v>2</v>
      </c>
      <c r="D27" s="30" t="s">
        <v>41</v>
      </c>
      <c r="E27" s="29"/>
      <c r="F27" s="101">
        <v>44660</v>
      </c>
      <c r="G27" s="28">
        <v>5</v>
      </c>
      <c r="H27" s="101">
        <f t="shared" si="6"/>
        <v>44666</v>
      </c>
      <c r="I27" s="70">
        <v>1</v>
      </c>
      <c r="K27" s="49"/>
      <c r="L27" s="4"/>
      <c r="M27" s="4"/>
      <c r="N27" s="4"/>
      <c r="O27" s="4"/>
      <c r="P27" s="4"/>
      <c r="Q27" s="4"/>
      <c r="R27" s="4"/>
      <c r="S27" s="4"/>
      <c r="T27" s="4"/>
      <c r="U27" s="4"/>
      <c r="V27" s="4"/>
      <c r="W27" s="4"/>
      <c r="X27" s="4"/>
      <c r="Y27" s="4"/>
      <c r="Z27" s="4"/>
      <c r="AA27" s="4"/>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50"/>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row>
    <row r="28" spans="1:205" ht="15.75" x14ac:dyDescent="0.25">
      <c r="A28" s="59" t="s">
        <v>81</v>
      </c>
      <c r="B28" s="23" t="s">
        <v>314</v>
      </c>
      <c r="C28" s="36" t="s">
        <v>82</v>
      </c>
      <c r="D28" s="30" t="s">
        <v>36</v>
      </c>
      <c r="E28" s="29" t="s">
        <v>389</v>
      </c>
      <c r="F28" s="101">
        <v>44799</v>
      </c>
      <c r="G28" s="28">
        <v>9</v>
      </c>
      <c r="H28" s="101">
        <f t="shared" si="6"/>
        <v>44811</v>
      </c>
      <c r="I28" s="70">
        <v>0.8</v>
      </c>
      <c r="K28" s="49"/>
      <c r="L28" s="4"/>
      <c r="M28" s="4"/>
      <c r="N28" s="4"/>
      <c r="O28" s="4"/>
      <c r="P28" s="4"/>
      <c r="Q28" s="4"/>
      <c r="R28" s="4"/>
      <c r="S28" s="4"/>
      <c r="T28" s="4"/>
      <c r="U28" s="4"/>
      <c r="V28" s="4"/>
      <c r="W28" s="4"/>
      <c r="X28" s="4"/>
      <c r="Y28" s="4"/>
      <c r="Z28" s="4"/>
      <c r="AA28" s="4"/>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50"/>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row>
    <row r="29" spans="1:205" ht="15.75" x14ac:dyDescent="0.25">
      <c r="A29" s="59">
        <v>2</v>
      </c>
      <c r="B29" s="23" t="s">
        <v>315</v>
      </c>
      <c r="C29" s="36" t="s">
        <v>80</v>
      </c>
      <c r="D29" s="30" t="s">
        <v>36</v>
      </c>
      <c r="E29" s="29" t="s">
        <v>390</v>
      </c>
      <c r="F29" s="101">
        <v>44681</v>
      </c>
      <c r="G29" s="28">
        <v>1</v>
      </c>
      <c r="H29" s="101">
        <f t="shared" si="6"/>
        <v>44683</v>
      </c>
      <c r="I29" s="70">
        <v>0</v>
      </c>
      <c r="K29" s="49"/>
      <c r="L29" s="4"/>
      <c r="M29" s="4"/>
      <c r="N29" s="4"/>
      <c r="O29" s="4"/>
      <c r="P29" s="4"/>
      <c r="Q29" s="4"/>
      <c r="R29" s="4"/>
      <c r="S29" s="4"/>
      <c r="T29" s="4"/>
      <c r="U29" s="4"/>
      <c r="V29" s="4"/>
      <c r="W29" s="4"/>
      <c r="X29" s="4"/>
      <c r="Y29" s="4"/>
      <c r="Z29" s="4"/>
      <c r="AA29" s="4"/>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50"/>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row>
    <row r="30" spans="1:205" ht="15.75" x14ac:dyDescent="0.25">
      <c r="A30" s="58">
        <v>2</v>
      </c>
      <c r="B30" s="40" t="s">
        <v>316</v>
      </c>
      <c r="C30" s="41"/>
      <c r="D30" s="42"/>
      <c r="E30" s="43"/>
      <c r="F30" s="106">
        <f>MIN(F31:F40)</f>
        <v>44811</v>
      </c>
      <c r="G30" s="107">
        <f>NETWORKDAYS(F30,H30)</f>
        <v>64</v>
      </c>
      <c r="H30" s="106">
        <f>MAX(H31:H40)</f>
        <v>44900</v>
      </c>
      <c r="I30" s="69">
        <f>AVERAGE(I31:I40)</f>
        <v>0.09</v>
      </c>
      <c r="K30" s="49"/>
      <c r="L30" s="4"/>
      <c r="M30" s="4"/>
      <c r="N30" s="4"/>
      <c r="O30" s="4"/>
      <c r="P30" s="4"/>
      <c r="Q30" s="4"/>
      <c r="R30" s="4"/>
      <c r="S30" s="4"/>
      <c r="T30" s="4"/>
      <c r="U30" s="4"/>
      <c r="V30" s="4"/>
      <c r="W30" s="4"/>
      <c r="X30" s="4"/>
      <c r="Y30" s="4"/>
      <c r="Z30" s="4"/>
      <c r="AA30" s="4"/>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50"/>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row>
    <row r="31" spans="1:205" s="5" customFormat="1" ht="15.75" x14ac:dyDescent="0.25">
      <c r="A31" s="59" t="s">
        <v>7</v>
      </c>
      <c r="B31" s="23" t="s">
        <v>317</v>
      </c>
      <c r="C31" s="36">
        <v>1</v>
      </c>
      <c r="D31" s="30" t="s">
        <v>43</v>
      </c>
      <c r="E31" s="29" t="s">
        <v>391</v>
      </c>
      <c r="F31" s="101">
        <v>44811</v>
      </c>
      <c r="G31" s="28">
        <v>20</v>
      </c>
      <c r="H31" s="101">
        <f>IF(F31="","",WORKDAY(IF(WEEKDAY(F31,1)=7,F31+2,IF(WEEKDAY(F31,1)=1,F31+1,F31)),G31-1,))</f>
        <v>44838</v>
      </c>
      <c r="I31" s="70">
        <v>0.1</v>
      </c>
      <c r="J31"/>
      <c r="K31" s="49"/>
      <c r="L31" s="4"/>
      <c r="M31" s="4"/>
      <c r="N31" s="4"/>
      <c r="O31" s="4"/>
      <c r="P31" s="4"/>
      <c r="Q31" s="4"/>
      <c r="R31" s="4"/>
      <c r="S31" s="4"/>
      <c r="T31" s="4"/>
      <c r="U31" s="4"/>
      <c r="V31" s="4"/>
      <c r="W31" s="4"/>
      <c r="X31" s="4"/>
      <c r="Y31" s="4"/>
      <c r="Z31" s="4"/>
      <c r="AA31" s="4"/>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50"/>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row>
    <row r="32" spans="1:205" ht="15.75" x14ac:dyDescent="0.25">
      <c r="A32" s="59" t="s">
        <v>8</v>
      </c>
      <c r="B32" s="23" t="s">
        <v>318</v>
      </c>
      <c r="C32" s="36">
        <v>1</v>
      </c>
      <c r="D32" s="30" t="s">
        <v>45</v>
      </c>
      <c r="E32" s="29" t="s">
        <v>391</v>
      </c>
      <c r="F32" s="101">
        <v>44811</v>
      </c>
      <c r="G32" s="28">
        <v>20</v>
      </c>
      <c r="H32" s="101">
        <f t="shared" ref="H32:H39" si="7">IF(F32="","",WORKDAY(IF(WEEKDAY(F32,1)=7,F32+2,IF(WEEKDAY(F32,1)=1,F32+1,F32)),G32-1,))</f>
        <v>44838</v>
      </c>
      <c r="I32" s="70">
        <v>0.1</v>
      </c>
      <c r="K32" s="49"/>
      <c r="L32" s="4"/>
      <c r="M32" s="4"/>
      <c r="N32" s="4"/>
      <c r="O32" s="4"/>
      <c r="P32" s="4"/>
      <c r="Q32" s="4"/>
      <c r="R32" s="4"/>
      <c r="S32" s="4"/>
      <c r="T32" s="4"/>
      <c r="U32" s="4"/>
      <c r="V32" s="4"/>
      <c r="W32" s="4"/>
      <c r="X32" s="4"/>
      <c r="Y32" s="4"/>
      <c r="Z32" s="4"/>
      <c r="AA32" s="4"/>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50"/>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row>
    <row r="33" spans="1:205" ht="15.75" x14ac:dyDescent="0.25">
      <c r="A33" s="59" t="s">
        <v>9</v>
      </c>
      <c r="B33" s="23" t="s">
        <v>319</v>
      </c>
      <c r="C33" s="36">
        <v>1</v>
      </c>
      <c r="D33" s="30" t="s">
        <v>47</v>
      </c>
      <c r="E33" s="29" t="s">
        <v>391</v>
      </c>
      <c r="F33" s="101">
        <v>44811</v>
      </c>
      <c r="G33" s="28">
        <v>20</v>
      </c>
      <c r="H33" s="101">
        <f t="shared" si="7"/>
        <v>44838</v>
      </c>
      <c r="I33" s="70">
        <v>0.1</v>
      </c>
      <c r="K33" s="49"/>
      <c r="L33" s="4"/>
      <c r="M33" s="4"/>
      <c r="N33" s="4"/>
      <c r="O33" s="4"/>
      <c r="P33" s="4"/>
      <c r="Q33" s="4"/>
      <c r="R33" s="4"/>
      <c r="S33" s="4"/>
      <c r="T33" s="4"/>
      <c r="U33" s="4"/>
      <c r="V33" s="4"/>
      <c r="W33" s="4"/>
      <c r="X33" s="4"/>
      <c r="Y33" s="4"/>
      <c r="Z33" s="4"/>
      <c r="AA33" s="4"/>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50"/>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row>
    <row r="34" spans="1:205" ht="15.75" x14ac:dyDescent="0.25">
      <c r="A34" s="59" t="s">
        <v>10</v>
      </c>
      <c r="B34" s="23" t="s">
        <v>320</v>
      </c>
      <c r="C34" s="36">
        <v>1</v>
      </c>
      <c r="D34" s="30" t="s">
        <v>49</v>
      </c>
      <c r="E34" s="29" t="s">
        <v>391</v>
      </c>
      <c r="F34" s="101">
        <v>44811</v>
      </c>
      <c r="G34" s="28">
        <v>20</v>
      </c>
      <c r="H34" s="101">
        <f t="shared" si="7"/>
        <v>44838</v>
      </c>
      <c r="I34" s="70">
        <v>0.1</v>
      </c>
      <c r="K34" s="49"/>
      <c r="L34" s="4"/>
      <c r="M34" s="4"/>
      <c r="N34" s="4"/>
      <c r="O34" s="4"/>
      <c r="P34" s="4"/>
      <c r="Q34" s="4"/>
      <c r="R34" s="4"/>
      <c r="S34" s="4"/>
      <c r="T34" s="4"/>
      <c r="U34" s="4"/>
      <c r="V34" s="4"/>
      <c r="W34" s="4"/>
      <c r="X34" s="4"/>
      <c r="Y34" s="4"/>
      <c r="Z34" s="4"/>
      <c r="AA34" s="4"/>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50"/>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row>
    <row r="35" spans="1:205" ht="15.75" x14ac:dyDescent="0.25">
      <c r="A35" s="59" t="s">
        <v>11</v>
      </c>
      <c r="B35" s="23" t="s">
        <v>321</v>
      </c>
      <c r="C35" s="36">
        <v>1</v>
      </c>
      <c r="D35" s="30" t="s">
        <v>51</v>
      </c>
      <c r="E35" s="29" t="s">
        <v>391</v>
      </c>
      <c r="F35" s="101">
        <v>44811</v>
      </c>
      <c r="G35" s="28">
        <v>20</v>
      </c>
      <c r="H35" s="101">
        <f t="shared" si="7"/>
        <v>44838</v>
      </c>
      <c r="I35" s="70">
        <v>0.1</v>
      </c>
      <c r="K35" s="49"/>
      <c r="L35" s="4"/>
      <c r="M35" s="4"/>
      <c r="N35" s="4"/>
      <c r="O35" s="4"/>
      <c r="P35" s="4"/>
      <c r="Q35" s="4"/>
      <c r="R35" s="4"/>
      <c r="S35" s="4"/>
      <c r="T35" s="4"/>
      <c r="U35" s="4"/>
      <c r="V35" s="4"/>
      <c r="W35" s="4"/>
      <c r="X35" s="4"/>
      <c r="Y35" s="4"/>
      <c r="Z35" s="4"/>
      <c r="AA35" s="4"/>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50"/>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row>
    <row r="36" spans="1:205" ht="15.75" x14ac:dyDescent="0.25">
      <c r="A36" s="59" t="s">
        <v>28</v>
      </c>
      <c r="B36" s="23" t="s">
        <v>322</v>
      </c>
      <c r="C36" s="36">
        <v>1</v>
      </c>
      <c r="D36" s="30" t="s">
        <v>41</v>
      </c>
      <c r="E36" s="29" t="s">
        <v>391</v>
      </c>
      <c r="F36" s="101">
        <v>44811</v>
      </c>
      <c r="G36" s="28">
        <v>20</v>
      </c>
      <c r="H36" s="101">
        <f t="shared" si="7"/>
        <v>44838</v>
      </c>
      <c r="I36" s="70">
        <v>0.1</v>
      </c>
      <c r="K36" s="49"/>
      <c r="L36" s="4"/>
      <c r="M36" s="4"/>
      <c r="N36" s="4"/>
      <c r="O36" s="4"/>
      <c r="P36" s="4"/>
      <c r="Q36" s="4"/>
      <c r="R36" s="4"/>
      <c r="S36" s="4"/>
      <c r="T36" s="4"/>
      <c r="U36" s="4"/>
      <c r="V36" s="4"/>
      <c r="W36" s="4"/>
      <c r="X36" s="4"/>
      <c r="Y36" s="4"/>
      <c r="Z36" s="4"/>
      <c r="AA36" s="4"/>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50"/>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row>
    <row r="37" spans="1:205" ht="15.75" x14ac:dyDescent="0.25">
      <c r="A37" s="59" t="s">
        <v>100</v>
      </c>
      <c r="B37" s="23" t="s">
        <v>323</v>
      </c>
      <c r="C37" s="36" t="s">
        <v>83</v>
      </c>
      <c r="D37" s="30" t="s">
        <v>36</v>
      </c>
      <c r="E37" s="29" t="s">
        <v>392</v>
      </c>
      <c r="F37" s="101">
        <v>44840</v>
      </c>
      <c r="G37" s="28">
        <v>22</v>
      </c>
      <c r="H37" s="101">
        <f t="shared" si="7"/>
        <v>44869</v>
      </c>
      <c r="I37" s="70">
        <v>0.1</v>
      </c>
      <c r="K37" s="49"/>
      <c r="L37" s="4"/>
      <c r="M37" s="4"/>
      <c r="N37" s="4"/>
      <c r="O37" s="4"/>
      <c r="P37" s="4"/>
      <c r="Q37" s="4"/>
      <c r="R37" s="4"/>
      <c r="S37" s="4"/>
      <c r="T37" s="4"/>
      <c r="U37" s="4"/>
      <c r="V37" s="4"/>
      <c r="W37" s="4"/>
      <c r="X37" s="4"/>
      <c r="Y37" s="4"/>
      <c r="Z37" s="4"/>
      <c r="AA37" s="4"/>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50"/>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row>
    <row r="38" spans="1:205" ht="15.75" x14ac:dyDescent="0.25">
      <c r="A38" s="59" t="s">
        <v>101</v>
      </c>
      <c r="B38" s="23" t="s">
        <v>316</v>
      </c>
      <c r="C38" s="36" t="s">
        <v>84</v>
      </c>
      <c r="D38" s="30" t="s">
        <v>36</v>
      </c>
      <c r="E38" s="29" t="s">
        <v>392</v>
      </c>
      <c r="F38" s="101">
        <v>44869</v>
      </c>
      <c r="G38" s="28">
        <v>22</v>
      </c>
      <c r="H38" s="101">
        <f t="shared" si="7"/>
        <v>44900</v>
      </c>
      <c r="I38" s="70">
        <v>0.15</v>
      </c>
      <c r="K38" s="49"/>
      <c r="L38" s="4"/>
      <c r="M38" s="4"/>
      <c r="N38" s="4"/>
      <c r="O38" s="4"/>
      <c r="P38" s="4"/>
      <c r="Q38" s="4"/>
      <c r="R38" s="4"/>
      <c r="S38" s="4"/>
      <c r="T38" s="4"/>
      <c r="U38" s="4"/>
      <c r="V38" s="4"/>
      <c r="W38" s="4"/>
      <c r="X38" s="4"/>
      <c r="Y38" s="4"/>
      <c r="Z38" s="4"/>
      <c r="AA38" s="4"/>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50"/>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row>
    <row r="39" spans="1:205" ht="15.75" x14ac:dyDescent="0.25">
      <c r="A39" s="59" t="s">
        <v>102</v>
      </c>
      <c r="B39" s="23" t="s">
        <v>324</v>
      </c>
      <c r="C39" s="36">
        <v>1</v>
      </c>
      <c r="D39" s="30" t="s">
        <v>85</v>
      </c>
      <c r="E39" s="29" t="s">
        <v>391</v>
      </c>
      <c r="F39" s="101">
        <v>44811</v>
      </c>
      <c r="G39" s="28">
        <v>22</v>
      </c>
      <c r="H39" s="101">
        <f t="shared" si="7"/>
        <v>44840</v>
      </c>
      <c r="I39" s="70">
        <v>0.05</v>
      </c>
      <c r="K39" s="49"/>
      <c r="L39" s="4"/>
      <c r="M39" s="4"/>
      <c r="N39" s="4"/>
      <c r="O39" s="4"/>
      <c r="P39" s="4"/>
      <c r="Q39" s="4"/>
      <c r="R39" s="4"/>
      <c r="S39" s="4"/>
      <c r="T39" s="4"/>
      <c r="U39" s="4"/>
      <c r="V39" s="4"/>
      <c r="W39" s="4"/>
      <c r="X39" s="4"/>
      <c r="Y39" s="4"/>
      <c r="Z39" s="4"/>
      <c r="AA39" s="4"/>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50"/>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row>
    <row r="40" spans="1:205" ht="30" x14ac:dyDescent="0.25">
      <c r="A40" s="59" t="s">
        <v>103</v>
      </c>
      <c r="B40" s="23" t="s">
        <v>325</v>
      </c>
      <c r="C40" s="36" t="s">
        <v>8</v>
      </c>
      <c r="D40" s="30" t="s">
        <v>36</v>
      </c>
      <c r="E40" s="29" t="s">
        <v>393</v>
      </c>
      <c r="F40" s="101">
        <v>44838</v>
      </c>
      <c r="G40" s="28">
        <v>1</v>
      </c>
      <c r="H40" s="101">
        <f>IF(F40="","",WORKDAY(IF(WEEKDAY(F40,1)=7,F40+2,IF(WEEKDAY(F40,1)=1,F40+1,F40)),G40-1,))</f>
        <v>44838</v>
      </c>
      <c r="I40" s="70">
        <v>0</v>
      </c>
      <c r="K40" s="49"/>
      <c r="L40" s="4"/>
      <c r="M40" s="4"/>
      <c r="N40" s="4"/>
      <c r="O40" s="4"/>
      <c r="P40" s="4"/>
      <c r="Q40" s="4"/>
      <c r="R40" s="4"/>
      <c r="S40" s="4"/>
      <c r="T40" s="4"/>
      <c r="U40" s="4"/>
      <c r="V40" s="4"/>
      <c r="W40" s="4"/>
      <c r="X40" s="4"/>
      <c r="Y40" s="4"/>
      <c r="Z40" s="4"/>
      <c r="AA40" s="4"/>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50"/>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row>
    <row r="41" spans="1:205" s="5" customFormat="1" ht="15.75" x14ac:dyDescent="0.25">
      <c r="A41" s="58">
        <v>3</v>
      </c>
      <c r="B41" s="40" t="s">
        <v>326</v>
      </c>
      <c r="C41" s="41"/>
      <c r="D41" s="42"/>
      <c r="E41" s="43"/>
      <c r="F41" s="106">
        <f>MIN(F42:F60)</f>
        <v>44898</v>
      </c>
      <c r="G41" s="108">
        <f>NETWORKDAYS(F41,H41)</f>
        <v>84</v>
      </c>
      <c r="H41" s="106">
        <f>MAX(H42:H60)</f>
        <v>45015</v>
      </c>
      <c r="I41" s="69">
        <f>SUMIF(A42:A60,A41&amp;"*",I42:I60)/(COUNTIF(A41:A60,A41&amp;".*"))</f>
        <v>0</v>
      </c>
      <c r="J41"/>
      <c r="K41" s="49"/>
      <c r="L41" s="4"/>
      <c r="M41" s="4"/>
      <c r="N41" s="4"/>
      <c r="O41" s="4"/>
      <c r="P41" s="4"/>
      <c r="Q41" s="4"/>
      <c r="R41" s="4"/>
      <c r="S41" s="4"/>
      <c r="T41" s="4"/>
      <c r="U41" s="4"/>
      <c r="V41" s="4"/>
      <c r="W41" s="4"/>
      <c r="X41" s="4"/>
      <c r="Y41" s="4"/>
      <c r="Z41" s="4"/>
      <c r="AA41" s="4"/>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50"/>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row>
    <row r="42" spans="1:205" ht="15.75" x14ac:dyDescent="0.25">
      <c r="A42" s="59" t="s">
        <v>12</v>
      </c>
      <c r="B42" s="23" t="s">
        <v>327</v>
      </c>
      <c r="C42" s="36">
        <v>2</v>
      </c>
      <c r="D42" s="30" t="s">
        <v>54</v>
      </c>
      <c r="E42" s="29"/>
      <c r="F42" s="101">
        <v>44898</v>
      </c>
      <c r="G42" s="28">
        <v>65</v>
      </c>
      <c r="H42" s="101">
        <f>IF(F42="","",WORKDAY(IF(WEEKDAY(F42,1)=7,F42+2,IF(WEEKDAY(F42,1)=1,F42+1,F42)),G42-1,))</f>
        <v>44988</v>
      </c>
      <c r="I42" s="70">
        <v>0</v>
      </c>
      <c r="K42" s="49"/>
      <c r="L42" s="4"/>
      <c r="M42" s="4"/>
      <c r="N42" s="4"/>
      <c r="O42" s="4"/>
      <c r="P42" s="4"/>
      <c r="Q42" s="4"/>
      <c r="R42" s="4"/>
      <c r="S42" s="4"/>
      <c r="T42" s="4"/>
      <c r="U42" s="4"/>
      <c r="V42" s="4"/>
      <c r="W42" s="4"/>
      <c r="X42" s="4"/>
      <c r="Y42" s="4"/>
      <c r="Z42" s="4"/>
      <c r="AA42" s="4"/>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50"/>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row>
    <row r="43" spans="1:205" ht="15.75" x14ac:dyDescent="0.25">
      <c r="A43" s="59" t="s">
        <v>13</v>
      </c>
      <c r="B43" s="23" t="s">
        <v>328</v>
      </c>
      <c r="C43" s="36">
        <v>2</v>
      </c>
      <c r="D43" s="30" t="s">
        <v>56</v>
      </c>
      <c r="E43" s="29"/>
      <c r="F43" s="101">
        <v>44898</v>
      </c>
      <c r="G43" s="28">
        <v>65</v>
      </c>
      <c r="H43" s="101">
        <f t="shared" ref="H43:H60" si="8">IF(F43="","",WORKDAY(IF(WEEKDAY(F43,1)=7,F43+2,IF(WEEKDAY(F43,1)=1,F43+1,F43)),G43-1,))</f>
        <v>44988</v>
      </c>
      <c r="I43" s="70">
        <v>0</v>
      </c>
      <c r="K43" s="49"/>
      <c r="L43" s="4"/>
      <c r="M43" s="4"/>
      <c r="N43" s="4"/>
      <c r="O43" s="4"/>
      <c r="P43" s="4"/>
      <c r="Q43" s="4"/>
      <c r="R43" s="4"/>
      <c r="S43" s="4"/>
      <c r="T43" s="4"/>
      <c r="U43" s="4"/>
      <c r="V43" s="4"/>
      <c r="W43" s="4"/>
      <c r="X43" s="4"/>
      <c r="Y43" s="4"/>
      <c r="Z43" s="4"/>
      <c r="AA43" s="4"/>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50"/>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row>
    <row r="44" spans="1:205" ht="15.75" x14ac:dyDescent="0.25">
      <c r="A44" s="59" t="s">
        <v>14</v>
      </c>
      <c r="B44" s="23" t="s">
        <v>329</v>
      </c>
      <c r="C44" s="36">
        <v>2</v>
      </c>
      <c r="D44" s="30" t="s">
        <v>62</v>
      </c>
      <c r="E44" s="29"/>
      <c r="F44" s="101">
        <v>44898</v>
      </c>
      <c r="G44" s="28">
        <v>65</v>
      </c>
      <c r="H44" s="101">
        <f t="shared" si="8"/>
        <v>44988</v>
      </c>
      <c r="I44" s="70">
        <v>0</v>
      </c>
      <c r="K44" s="49"/>
      <c r="L44" s="4"/>
      <c r="M44" s="4"/>
      <c r="N44" s="4"/>
      <c r="O44" s="4"/>
      <c r="P44" s="4"/>
      <c r="Q44" s="4"/>
      <c r="R44" s="4"/>
      <c r="S44" s="4"/>
      <c r="T44" s="4"/>
      <c r="U44" s="4"/>
      <c r="V44" s="4"/>
      <c r="W44" s="4"/>
      <c r="X44" s="4"/>
      <c r="Y44" s="4"/>
      <c r="Z44" s="4"/>
      <c r="AA44" s="4"/>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50"/>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row>
    <row r="45" spans="1:205" ht="15.75" x14ac:dyDescent="0.25">
      <c r="A45" s="59" t="s">
        <v>15</v>
      </c>
      <c r="B45" s="23" t="s">
        <v>330</v>
      </c>
      <c r="C45" s="36">
        <v>2</v>
      </c>
      <c r="D45" s="30" t="s">
        <v>64</v>
      </c>
      <c r="E45" s="29"/>
      <c r="F45" s="101">
        <v>44898</v>
      </c>
      <c r="G45" s="28">
        <v>65</v>
      </c>
      <c r="H45" s="101">
        <f t="shared" si="8"/>
        <v>44988</v>
      </c>
      <c r="I45" s="70">
        <v>0</v>
      </c>
      <c r="K45" s="49"/>
      <c r="L45" s="4"/>
      <c r="M45" s="4"/>
      <c r="N45" s="4"/>
      <c r="O45" s="4"/>
      <c r="P45" s="4"/>
      <c r="Q45" s="4"/>
      <c r="R45" s="4"/>
      <c r="S45" s="4"/>
      <c r="T45" s="4"/>
      <c r="U45" s="4"/>
      <c r="V45" s="4"/>
      <c r="W45" s="4"/>
      <c r="X45" s="4"/>
      <c r="Y45" s="4"/>
      <c r="Z45" s="4"/>
      <c r="AA45" s="4"/>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50"/>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row>
    <row r="46" spans="1:205" ht="15.75" x14ac:dyDescent="0.25">
      <c r="A46" s="59" t="s">
        <v>16</v>
      </c>
      <c r="B46" s="23" t="s">
        <v>331</v>
      </c>
      <c r="C46" s="36">
        <v>2</v>
      </c>
      <c r="D46" s="30" t="s">
        <v>58</v>
      </c>
      <c r="E46" s="29"/>
      <c r="F46" s="101">
        <v>44898</v>
      </c>
      <c r="G46" s="28">
        <v>65</v>
      </c>
      <c r="H46" s="101">
        <f t="shared" si="8"/>
        <v>44988</v>
      </c>
      <c r="I46" s="70">
        <v>0</v>
      </c>
      <c r="K46" s="49"/>
      <c r="L46" s="4"/>
      <c r="M46" s="4"/>
      <c r="N46" s="4"/>
      <c r="O46" s="4"/>
      <c r="P46" s="4"/>
      <c r="Q46" s="4"/>
      <c r="R46" s="4"/>
      <c r="S46" s="4"/>
      <c r="T46" s="4"/>
      <c r="U46" s="4"/>
      <c r="V46" s="4"/>
      <c r="W46" s="4"/>
      <c r="X46" s="4"/>
      <c r="Y46" s="4"/>
      <c r="Z46" s="4"/>
      <c r="AA46" s="4"/>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50"/>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row>
    <row r="47" spans="1:205" ht="15.75" x14ac:dyDescent="0.25">
      <c r="A47" s="59" t="s">
        <v>86</v>
      </c>
      <c r="B47" s="23" t="s">
        <v>331</v>
      </c>
      <c r="C47" s="36">
        <v>2</v>
      </c>
      <c r="D47" s="30" t="s">
        <v>60</v>
      </c>
      <c r="E47" s="29"/>
      <c r="F47" s="101">
        <v>44898</v>
      </c>
      <c r="G47" s="28">
        <v>65</v>
      </c>
      <c r="H47" s="101">
        <f t="shared" si="8"/>
        <v>44988</v>
      </c>
      <c r="I47" s="70">
        <v>0</v>
      </c>
      <c r="K47" s="49"/>
      <c r="L47" s="4"/>
      <c r="M47" s="4"/>
      <c r="N47" s="4"/>
      <c r="O47" s="4"/>
      <c r="P47" s="4"/>
      <c r="Q47" s="4"/>
      <c r="R47" s="4"/>
      <c r="S47" s="4"/>
      <c r="T47" s="4"/>
      <c r="U47" s="4"/>
      <c r="V47" s="4"/>
      <c r="W47" s="4"/>
      <c r="X47" s="4"/>
      <c r="Y47" s="4"/>
      <c r="Z47" s="4"/>
      <c r="AA47" s="4"/>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50"/>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row>
    <row r="48" spans="1:205" ht="15.75" x14ac:dyDescent="0.25">
      <c r="A48" s="59" t="s">
        <v>87</v>
      </c>
      <c r="B48" s="23" t="s">
        <v>332</v>
      </c>
      <c r="C48" s="36">
        <v>2</v>
      </c>
      <c r="D48" s="30" t="s">
        <v>66</v>
      </c>
      <c r="E48" s="29"/>
      <c r="F48" s="101">
        <v>44898</v>
      </c>
      <c r="G48" s="28">
        <v>65</v>
      </c>
      <c r="H48" s="101">
        <f t="shared" si="8"/>
        <v>44988</v>
      </c>
      <c r="I48" s="70">
        <v>0</v>
      </c>
      <c r="K48" s="49"/>
      <c r="L48" s="4"/>
      <c r="M48" s="4"/>
      <c r="N48" s="4"/>
      <c r="O48" s="4"/>
      <c r="P48" s="4"/>
      <c r="Q48" s="4"/>
      <c r="R48" s="4"/>
      <c r="S48" s="4"/>
      <c r="T48" s="4"/>
      <c r="U48" s="4"/>
      <c r="V48" s="4"/>
      <c r="W48" s="4"/>
      <c r="X48" s="4"/>
      <c r="Y48" s="4"/>
      <c r="Z48" s="4"/>
      <c r="AA48" s="4"/>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50"/>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row>
    <row r="49" spans="1:205" ht="15.75" x14ac:dyDescent="0.25">
      <c r="A49" s="59" t="s">
        <v>88</v>
      </c>
      <c r="B49" s="23" t="s">
        <v>333</v>
      </c>
      <c r="C49" s="36">
        <v>2</v>
      </c>
      <c r="D49" s="30" t="s">
        <v>68</v>
      </c>
      <c r="E49" s="29"/>
      <c r="F49" s="101">
        <v>44898</v>
      </c>
      <c r="G49" s="28">
        <v>65</v>
      </c>
      <c r="H49" s="101">
        <f t="shared" si="8"/>
        <v>44988</v>
      </c>
      <c r="I49" s="70">
        <v>0</v>
      </c>
      <c r="K49" s="49"/>
      <c r="L49" s="4"/>
      <c r="M49" s="4"/>
      <c r="N49" s="4"/>
      <c r="O49" s="4"/>
      <c r="P49" s="4"/>
      <c r="Q49" s="4"/>
      <c r="R49" s="4"/>
      <c r="S49" s="4"/>
      <c r="T49" s="4"/>
      <c r="U49" s="4"/>
      <c r="V49" s="4"/>
      <c r="W49" s="4"/>
      <c r="X49" s="4"/>
      <c r="Y49" s="4"/>
      <c r="Z49" s="4"/>
      <c r="AA49" s="4"/>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50"/>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row>
    <row r="50" spans="1:205" ht="15.75" x14ac:dyDescent="0.25">
      <c r="A50" s="59" t="s">
        <v>89</v>
      </c>
      <c r="B50" s="23" t="s">
        <v>334</v>
      </c>
      <c r="C50" s="36">
        <v>2</v>
      </c>
      <c r="D50" s="30" t="s">
        <v>70</v>
      </c>
      <c r="E50" s="29"/>
      <c r="F50" s="101">
        <v>44898</v>
      </c>
      <c r="G50" s="28">
        <v>65</v>
      </c>
      <c r="H50" s="101">
        <f t="shared" si="8"/>
        <v>44988</v>
      </c>
      <c r="I50" s="70">
        <v>0</v>
      </c>
      <c r="K50" s="49"/>
      <c r="L50" s="4"/>
      <c r="M50" s="4"/>
      <c r="N50" s="4"/>
      <c r="O50" s="4"/>
      <c r="P50" s="4"/>
      <c r="Q50" s="4"/>
      <c r="R50" s="4"/>
      <c r="S50" s="4"/>
      <c r="T50" s="4"/>
      <c r="U50" s="4"/>
      <c r="V50" s="4"/>
      <c r="W50" s="4"/>
      <c r="X50" s="4"/>
      <c r="Y50" s="4"/>
      <c r="Z50" s="4"/>
      <c r="AA50" s="4"/>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50"/>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row>
    <row r="51" spans="1:205" ht="15.75" x14ac:dyDescent="0.25">
      <c r="A51" s="59" t="s">
        <v>90</v>
      </c>
      <c r="B51" s="23" t="s">
        <v>334</v>
      </c>
      <c r="C51" s="36">
        <v>2</v>
      </c>
      <c r="D51" s="30" t="s">
        <v>72</v>
      </c>
      <c r="E51" s="29"/>
      <c r="F51" s="101">
        <v>44898</v>
      </c>
      <c r="G51" s="28">
        <v>65</v>
      </c>
      <c r="H51" s="101">
        <f t="shared" si="8"/>
        <v>44988</v>
      </c>
      <c r="I51" s="70">
        <v>0</v>
      </c>
      <c r="K51" s="49"/>
      <c r="L51" s="4"/>
      <c r="M51" s="4"/>
      <c r="N51" s="4"/>
      <c r="O51" s="4"/>
      <c r="P51" s="4"/>
      <c r="Q51" s="4"/>
      <c r="R51" s="4"/>
      <c r="S51" s="4"/>
      <c r="T51" s="4"/>
      <c r="U51" s="4"/>
      <c r="V51" s="4"/>
      <c r="W51" s="4"/>
      <c r="X51" s="4"/>
      <c r="Y51" s="4"/>
      <c r="Z51" s="4"/>
      <c r="AA51" s="4"/>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50"/>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row>
    <row r="52" spans="1:205" ht="15.75" x14ac:dyDescent="0.25">
      <c r="A52" s="59" t="s">
        <v>91</v>
      </c>
      <c r="B52" s="23" t="s">
        <v>335</v>
      </c>
      <c r="C52" s="36">
        <v>2</v>
      </c>
      <c r="D52" s="30" t="s">
        <v>74</v>
      </c>
      <c r="E52" s="29"/>
      <c r="F52" s="101">
        <v>44898</v>
      </c>
      <c r="G52" s="28">
        <v>65</v>
      </c>
      <c r="H52" s="101">
        <f t="shared" si="8"/>
        <v>44988</v>
      </c>
      <c r="I52" s="70">
        <v>0</v>
      </c>
      <c r="K52" s="49"/>
      <c r="L52" s="4"/>
      <c r="M52" s="4"/>
      <c r="N52" s="4"/>
      <c r="O52" s="4"/>
      <c r="P52" s="4"/>
      <c r="Q52" s="4"/>
      <c r="R52" s="4"/>
      <c r="S52" s="4"/>
      <c r="T52" s="4"/>
      <c r="U52" s="4"/>
      <c r="V52" s="4"/>
      <c r="W52" s="4"/>
      <c r="X52" s="4"/>
      <c r="Y52" s="4"/>
      <c r="Z52" s="4"/>
      <c r="AA52" s="4"/>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50"/>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row>
    <row r="53" spans="1:205" ht="15.75" x14ac:dyDescent="0.25">
      <c r="A53" s="59" t="s">
        <v>92</v>
      </c>
      <c r="B53" s="23" t="s">
        <v>336</v>
      </c>
      <c r="C53" s="36">
        <v>2</v>
      </c>
      <c r="D53" s="30" t="s">
        <v>43</v>
      </c>
      <c r="E53" s="29"/>
      <c r="F53" s="101">
        <v>44898</v>
      </c>
      <c r="G53" s="28">
        <v>65</v>
      </c>
      <c r="H53" s="101">
        <f t="shared" si="8"/>
        <v>44988</v>
      </c>
      <c r="I53" s="70">
        <v>0</v>
      </c>
      <c r="K53" s="49"/>
      <c r="L53" s="4"/>
      <c r="M53" s="4"/>
      <c r="N53" s="4"/>
      <c r="O53" s="4"/>
      <c r="P53" s="4"/>
      <c r="Q53" s="4"/>
      <c r="R53" s="4"/>
      <c r="S53" s="4"/>
      <c r="T53" s="4"/>
      <c r="U53" s="4"/>
      <c r="V53" s="4"/>
      <c r="W53" s="4"/>
      <c r="X53" s="4"/>
      <c r="Y53" s="4"/>
      <c r="Z53" s="4"/>
      <c r="AA53" s="4"/>
      <c r="AB53" s="7"/>
      <c r="AC53" s="7"/>
      <c r="AD53" s="7"/>
      <c r="AE53" s="7"/>
      <c r="AF53" s="7"/>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50"/>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row>
    <row r="54" spans="1:205" ht="15.75" x14ac:dyDescent="0.25">
      <c r="A54" s="59" t="s">
        <v>93</v>
      </c>
      <c r="B54" s="23" t="s">
        <v>337</v>
      </c>
      <c r="C54" s="36">
        <v>2</v>
      </c>
      <c r="D54" s="30" t="s">
        <v>45</v>
      </c>
      <c r="E54" s="29"/>
      <c r="F54" s="101">
        <v>44898</v>
      </c>
      <c r="G54" s="28">
        <v>65</v>
      </c>
      <c r="H54" s="101">
        <f t="shared" si="8"/>
        <v>44988</v>
      </c>
      <c r="I54" s="70">
        <v>0</v>
      </c>
      <c r="K54" s="49"/>
      <c r="L54" s="4"/>
      <c r="M54" s="4"/>
      <c r="N54" s="4"/>
      <c r="O54" s="4"/>
      <c r="P54" s="4"/>
      <c r="Q54" s="4"/>
      <c r="R54" s="4"/>
      <c r="S54" s="4"/>
      <c r="T54" s="4"/>
      <c r="U54" s="4"/>
      <c r="V54" s="4"/>
      <c r="W54" s="4"/>
      <c r="X54" s="4"/>
      <c r="Y54" s="4"/>
      <c r="Z54" s="4"/>
      <c r="AA54" s="4"/>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50"/>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row>
    <row r="55" spans="1:205" ht="15.75" x14ac:dyDescent="0.25">
      <c r="A55" s="59" t="s">
        <v>94</v>
      </c>
      <c r="B55" s="23" t="s">
        <v>338</v>
      </c>
      <c r="C55" s="36">
        <v>2</v>
      </c>
      <c r="D55" s="30" t="s">
        <v>47</v>
      </c>
      <c r="E55" s="29"/>
      <c r="F55" s="101">
        <v>44898</v>
      </c>
      <c r="G55" s="28">
        <v>65</v>
      </c>
      <c r="H55" s="101">
        <f t="shared" si="8"/>
        <v>44988</v>
      </c>
      <c r="I55" s="70">
        <v>0</v>
      </c>
      <c r="K55" s="49"/>
      <c r="L55" s="4"/>
      <c r="M55" s="4"/>
      <c r="N55" s="4"/>
      <c r="O55" s="4"/>
      <c r="P55" s="4"/>
      <c r="Q55" s="4"/>
      <c r="R55" s="4"/>
      <c r="S55" s="4"/>
      <c r="T55" s="4"/>
      <c r="U55" s="4"/>
      <c r="V55" s="4"/>
      <c r="W55" s="4"/>
      <c r="X55" s="4"/>
      <c r="Y55" s="4"/>
      <c r="Z55" s="4"/>
      <c r="AA55" s="4"/>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50"/>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row>
    <row r="56" spans="1:205" ht="15.75" x14ac:dyDescent="0.25">
      <c r="A56" s="59" t="s">
        <v>95</v>
      </c>
      <c r="B56" s="23" t="s">
        <v>339</v>
      </c>
      <c r="C56" s="36">
        <v>2</v>
      </c>
      <c r="D56" s="30" t="s">
        <v>49</v>
      </c>
      <c r="E56" s="29"/>
      <c r="F56" s="101">
        <v>44898</v>
      </c>
      <c r="G56" s="28">
        <v>65</v>
      </c>
      <c r="H56" s="101">
        <f t="shared" si="8"/>
        <v>44988</v>
      </c>
      <c r="I56" s="70">
        <v>0</v>
      </c>
      <c r="K56" s="49"/>
      <c r="L56" s="4"/>
      <c r="M56" s="4"/>
      <c r="N56" s="4"/>
      <c r="O56" s="4"/>
      <c r="P56" s="4"/>
      <c r="Q56" s="4"/>
      <c r="R56" s="4"/>
      <c r="S56" s="4"/>
      <c r="T56" s="4"/>
      <c r="U56" s="4"/>
      <c r="V56" s="4"/>
      <c r="W56" s="4"/>
      <c r="X56" s="4"/>
      <c r="Y56" s="4"/>
      <c r="Z56" s="4"/>
      <c r="AA56" s="4"/>
      <c r="AB56" s="7"/>
      <c r="AC56" s="7"/>
      <c r="AD56" s="7"/>
      <c r="AE56" s="7"/>
      <c r="AF56" s="7"/>
      <c r="AG56" s="7"/>
      <c r="AH56" s="7"/>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50"/>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row>
    <row r="57" spans="1:205" ht="15.75" x14ac:dyDescent="0.25">
      <c r="A57" s="59" t="s">
        <v>96</v>
      </c>
      <c r="B57" s="23" t="s">
        <v>340</v>
      </c>
      <c r="C57" s="36">
        <v>2</v>
      </c>
      <c r="D57" s="30" t="s">
        <v>41</v>
      </c>
      <c r="E57" s="29"/>
      <c r="F57" s="101">
        <v>44898</v>
      </c>
      <c r="G57" s="28">
        <v>65</v>
      </c>
      <c r="H57" s="101">
        <f t="shared" si="8"/>
        <v>44988</v>
      </c>
      <c r="I57" s="70">
        <v>0</v>
      </c>
      <c r="K57" s="49"/>
      <c r="L57" s="4"/>
      <c r="M57" s="4"/>
      <c r="N57" s="4"/>
      <c r="O57" s="4"/>
      <c r="P57" s="4"/>
      <c r="Q57" s="4"/>
      <c r="R57" s="4"/>
      <c r="S57" s="4"/>
      <c r="T57" s="4"/>
      <c r="U57" s="4"/>
      <c r="V57" s="4"/>
      <c r="W57" s="4"/>
      <c r="X57" s="4"/>
      <c r="Y57" s="4"/>
      <c r="Z57" s="4"/>
      <c r="AA57" s="4"/>
      <c r="AB57" s="7"/>
      <c r="AC57" s="7"/>
      <c r="AD57" s="7"/>
      <c r="AE57" s="7"/>
      <c r="AF57" s="7"/>
      <c r="AG57" s="7"/>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50"/>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row>
    <row r="58" spans="1:205" ht="15.75" x14ac:dyDescent="0.25">
      <c r="A58" s="59" t="s">
        <v>97</v>
      </c>
      <c r="B58" s="23" t="s">
        <v>341</v>
      </c>
      <c r="C58" s="36" t="s">
        <v>104</v>
      </c>
      <c r="D58" s="30" t="s">
        <v>76</v>
      </c>
      <c r="E58" s="29"/>
      <c r="F58" s="101">
        <v>44988</v>
      </c>
      <c r="G58" s="28">
        <v>20</v>
      </c>
      <c r="H58" s="101">
        <f t="shared" si="8"/>
        <v>45015</v>
      </c>
      <c r="I58" s="70">
        <v>0</v>
      </c>
      <c r="K58" s="49"/>
      <c r="L58" s="4"/>
      <c r="M58" s="4"/>
      <c r="N58" s="4"/>
      <c r="O58" s="4"/>
      <c r="P58" s="4"/>
      <c r="Q58" s="4"/>
      <c r="R58" s="4"/>
      <c r="S58" s="4"/>
      <c r="T58" s="4"/>
      <c r="U58" s="4"/>
      <c r="V58" s="4"/>
      <c r="W58" s="4"/>
      <c r="X58" s="4"/>
      <c r="Y58" s="4"/>
      <c r="Z58" s="4"/>
      <c r="AA58" s="4"/>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50"/>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row>
    <row r="59" spans="1:205" ht="15.75" x14ac:dyDescent="0.25">
      <c r="A59" s="59" t="s">
        <v>98</v>
      </c>
      <c r="B59" s="23" t="s">
        <v>342</v>
      </c>
      <c r="C59" s="36" t="s">
        <v>97</v>
      </c>
      <c r="D59" s="30" t="s">
        <v>76</v>
      </c>
      <c r="E59" s="29"/>
      <c r="F59" s="101">
        <v>44911</v>
      </c>
      <c r="G59" s="28">
        <v>1</v>
      </c>
      <c r="H59" s="101">
        <f t="shared" si="8"/>
        <v>44911</v>
      </c>
      <c r="I59" s="70">
        <v>0</v>
      </c>
      <c r="K59" s="49"/>
      <c r="L59" s="4"/>
      <c r="M59" s="4"/>
      <c r="N59" s="4"/>
      <c r="O59" s="4"/>
      <c r="P59" s="4"/>
      <c r="Q59" s="4"/>
      <c r="R59" s="4"/>
      <c r="S59" s="4"/>
      <c r="T59" s="4"/>
      <c r="U59" s="4"/>
      <c r="V59" s="4"/>
      <c r="W59" s="4"/>
      <c r="X59" s="4"/>
      <c r="Y59" s="4"/>
      <c r="Z59" s="4"/>
      <c r="AA59" s="4"/>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50"/>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row>
    <row r="60" spans="1:205" ht="30" x14ac:dyDescent="0.25">
      <c r="A60" s="59" t="s">
        <v>99</v>
      </c>
      <c r="B60" s="23" t="s">
        <v>343</v>
      </c>
      <c r="C60" s="36" t="s">
        <v>98</v>
      </c>
      <c r="D60" s="30" t="s">
        <v>36</v>
      </c>
      <c r="E60" s="29" t="s">
        <v>393</v>
      </c>
      <c r="F60" s="101">
        <v>44911</v>
      </c>
      <c r="G60" s="28">
        <v>1</v>
      </c>
      <c r="H60" s="101">
        <f t="shared" si="8"/>
        <v>44911</v>
      </c>
      <c r="I60" s="70">
        <v>0</v>
      </c>
      <c r="K60" s="49"/>
      <c r="L60" s="4"/>
      <c r="M60" s="4"/>
      <c r="N60" s="4"/>
      <c r="O60" s="4"/>
      <c r="P60" s="4"/>
      <c r="Q60" s="4"/>
      <c r="R60" s="4"/>
      <c r="S60" s="4"/>
      <c r="T60" s="4"/>
      <c r="U60" s="4"/>
      <c r="V60" s="4"/>
      <c r="W60" s="4"/>
      <c r="X60" s="4"/>
      <c r="Y60" s="4"/>
      <c r="Z60" s="4"/>
      <c r="AA60" s="4"/>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50"/>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row>
    <row r="61" spans="1:205" ht="15.75" x14ac:dyDescent="0.25">
      <c r="A61" s="58">
        <v>4</v>
      </c>
      <c r="B61" s="40" t="s">
        <v>344</v>
      </c>
      <c r="C61" s="41" t="s">
        <v>29</v>
      </c>
      <c r="D61" s="42"/>
      <c r="E61" s="43"/>
      <c r="F61" s="106">
        <f>MIN(F62:F143)</f>
        <v>44933</v>
      </c>
      <c r="G61" s="108">
        <f>NETWORKDAYS(F61,H61)</f>
        <v>98</v>
      </c>
      <c r="H61" s="106">
        <f>MAX(H62:H143)</f>
        <v>45070</v>
      </c>
      <c r="I61" s="69">
        <f ca="1">SUMIF(A62:A145,A61&amp;"*",I62:I143)/(COUNTIF(A61:A145,A61&amp;".*"))</f>
        <v>0</v>
      </c>
      <c r="K61" s="49"/>
      <c r="L61" s="4"/>
      <c r="M61" s="4"/>
      <c r="N61" s="4"/>
      <c r="O61" s="4"/>
      <c r="P61" s="4"/>
      <c r="Q61" s="4"/>
      <c r="R61" s="4"/>
      <c r="S61" s="4"/>
      <c r="T61" s="4"/>
      <c r="U61" s="4"/>
      <c r="V61" s="4"/>
      <c r="W61" s="4"/>
      <c r="X61" s="4"/>
      <c r="Y61" s="4"/>
      <c r="Z61" s="4"/>
      <c r="AA61" s="4"/>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50"/>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row>
    <row r="62" spans="1:205" s="5" customFormat="1" ht="15.75" x14ac:dyDescent="0.25">
      <c r="A62" s="59" t="s">
        <v>17</v>
      </c>
      <c r="B62" s="23" t="s">
        <v>345</v>
      </c>
      <c r="C62" s="36">
        <v>3</v>
      </c>
      <c r="D62" s="30" t="s">
        <v>54</v>
      </c>
      <c r="E62" s="29"/>
      <c r="F62" s="101">
        <v>45015</v>
      </c>
      <c r="G62" s="28">
        <v>21</v>
      </c>
      <c r="H62" s="101">
        <f>IF(F62="","",WORKDAY(IF(WEEKDAY(F62,1)=7,F62+2,IF(WEEKDAY(F62,1)=1,F62+1,F62)),G62-1,))</f>
        <v>45043</v>
      </c>
      <c r="I62" s="70">
        <v>0</v>
      </c>
      <c r="J62"/>
      <c r="K62" s="49"/>
      <c r="L62" s="4"/>
      <c r="M62" s="4"/>
      <c r="N62" s="4"/>
      <c r="O62" s="4"/>
      <c r="P62" s="4"/>
      <c r="Q62" s="4"/>
      <c r="R62" s="4"/>
      <c r="S62" s="4"/>
      <c r="T62" s="4"/>
      <c r="U62" s="4"/>
      <c r="V62" s="4"/>
      <c r="W62" s="4"/>
      <c r="X62" s="4"/>
      <c r="Y62" s="4"/>
      <c r="Z62" s="4"/>
      <c r="AA62" s="4"/>
      <c r="AB62" s="7"/>
      <c r="AC62" s="7"/>
      <c r="AD62" s="7"/>
      <c r="AE62" s="7"/>
      <c r="AF62" s="7"/>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50"/>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row>
    <row r="63" spans="1:205" s="5" customFormat="1" ht="15.75" x14ac:dyDescent="0.25">
      <c r="A63" s="59" t="s">
        <v>18</v>
      </c>
      <c r="B63" s="23" t="s">
        <v>346</v>
      </c>
      <c r="C63" s="36">
        <v>3</v>
      </c>
      <c r="D63" s="30" t="s">
        <v>56</v>
      </c>
      <c r="E63" s="29"/>
      <c r="F63" s="101">
        <v>45015</v>
      </c>
      <c r="G63" s="28">
        <v>21</v>
      </c>
      <c r="H63" s="101">
        <f t="shared" ref="H63:H126" si="9">IF(F63="","",WORKDAY(IF(WEEKDAY(F63,1)=7,F63+2,IF(WEEKDAY(F63,1)=1,F63+1,F63)),G63-1,))</f>
        <v>45043</v>
      </c>
      <c r="I63" s="70">
        <v>0</v>
      </c>
      <c r="J63"/>
      <c r="K63" s="49"/>
      <c r="L63" s="4"/>
      <c r="M63" s="4"/>
      <c r="N63" s="4"/>
      <c r="O63" s="4"/>
      <c r="P63" s="4"/>
      <c r="Q63" s="4"/>
      <c r="R63" s="4"/>
      <c r="S63" s="4"/>
      <c r="T63" s="4"/>
      <c r="U63" s="4"/>
      <c r="V63" s="4"/>
      <c r="W63" s="4"/>
      <c r="X63" s="4"/>
      <c r="Y63" s="4"/>
      <c r="Z63" s="4"/>
      <c r="AA63" s="4"/>
      <c r="AB63" s="7"/>
      <c r="AC63" s="7"/>
      <c r="AD63" s="7"/>
      <c r="AE63" s="7"/>
      <c r="AF63" s="7"/>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50"/>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row>
    <row r="64" spans="1:205" s="5" customFormat="1" ht="15.75" x14ac:dyDescent="0.25">
      <c r="A64" s="59" t="s">
        <v>19</v>
      </c>
      <c r="B64" s="23" t="s">
        <v>347</v>
      </c>
      <c r="C64" s="36">
        <v>3</v>
      </c>
      <c r="D64" s="30" t="s">
        <v>62</v>
      </c>
      <c r="E64" s="29"/>
      <c r="F64" s="101">
        <v>45015</v>
      </c>
      <c r="G64" s="28">
        <v>21</v>
      </c>
      <c r="H64" s="101">
        <f t="shared" si="9"/>
        <v>45043</v>
      </c>
      <c r="I64" s="70">
        <v>0</v>
      </c>
      <c r="J64"/>
      <c r="K64" s="49"/>
      <c r="L64" s="4"/>
      <c r="M64" s="4"/>
      <c r="N64" s="4"/>
      <c r="O64" s="4"/>
      <c r="P64" s="4"/>
      <c r="Q64" s="4"/>
      <c r="R64" s="4"/>
      <c r="S64" s="4"/>
      <c r="T64" s="4"/>
      <c r="U64" s="4"/>
      <c r="V64" s="4"/>
      <c r="W64" s="4"/>
      <c r="X64" s="4"/>
      <c r="Y64" s="4"/>
      <c r="Z64" s="4"/>
      <c r="AA64" s="4"/>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50"/>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row>
    <row r="65" spans="1:205" s="5" customFormat="1" ht="15.75" x14ac:dyDescent="0.25">
      <c r="A65" s="59" t="s">
        <v>20</v>
      </c>
      <c r="B65" s="23" t="s">
        <v>348</v>
      </c>
      <c r="C65" s="36">
        <v>3</v>
      </c>
      <c r="D65" s="30" t="s">
        <v>64</v>
      </c>
      <c r="E65" s="29"/>
      <c r="F65" s="101">
        <v>45015</v>
      </c>
      <c r="G65" s="28">
        <v>21</v>
      </c>
      <c r="H65" s="101">
        <f t="shared" si="9"/>
        <v>45043</v>
      </c>
      <c r="I65" s="70">
        <v>0</v>
      </c>
      <c r="J65"/>
      <c r="K65" s="49"/>
      <c r="L65" s="4"/>
      <c r="M65" s="4"/>
      <c r="N65" s="4"/>
      <c r="O65" s="4"/>
      <c r="P65" s="4"/>
      <c r="Q65" s="4"/>
      <c r="R65" s="4"/>
      <c r="S65" s="4"/>
      <c r="T65" s="4"/>
      <c r="U65" s="4"/>
      <c r="V65" s="4"/>
      <c r="W65" s="4"/>
      <c r="X65" s="4"/>
      <c r="Y65" s="4"/>
      <c r="Z65" s="4"/>
      <c r="AA65" s="4"/>
      <c r="AB65" s="7"/>
      <c r="AC65" s="7"/>
      <c r="AD65" s="7"/>
      <c r="AE65" s="7"/>
      <c r="AF65" s="7"/>
      <c r="AG65" s="7"/>
      <c r="AH65" s="7"/>
      <c r="AI65" s="7"/>
      <c r="AJ65" s="7"/>
      <c r="AK65" s="7"/>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50"/>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row>
    <row r="66" spans="1:205" s="5" customFormat="1" ht="15.75" x14ac:dyDescent="0.25">
      <c r="A66" s="59" t="s">
        <v>21</v>
      </c>
      <c r="B66" s="23" t="s">
        <v>349</v>
      </c>
      <c r="C66" s="36">
        <v>3</v>
      </c>
      <c r="D66" s="30" t="s">
        <v>58</v>
      </c>
      <c r="E66" s="29"/>
      <c r="F66" s="101">
        <v>45015</v>
      </c>
      <c r="G66" s="28">
        <v>21</v>
      </c>
      <c r="H66" s="101">
        <f t="shared" si="9"/>
        <v>45043</v>
      </c>
      <c r="I66" s="70">
        <v>0</v>
      </c>
      <c r="J66"/>
      <c r="K66" s="49"/>
      <c r="L66" s="4"/>
      <c r="M66" s="4"/>
      <c r="N66" s="4"/>
      <c r="O66" s="4"/>
      <c r="P66" s="4"/>
      <c r="Q66" s="4"/>
      <c r="R66" s="4"/>
      <c r="S66" s="4"/>
      <c r="T66" s="4"/>
      <c r="U66" s="4"/>
      <c r="V66" s="4"/>
      <c r="W66" s="4"/>
      <c r="X66" s="4"/>
      <c r="Y66" s="4"/>
      <c r="Z66" s="4"/>
      <c r="AA66" s="4"/>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50"/>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row>
    <row r="67" spans="1:205" s="5" customFormat="1" ht="15.75" x14ac:dyDescent="0.25">
      <c r="A67" s="59" t="s">
        <v>105</v>
      </c>
      <c r="B67" s="23" t="s">
        <v>349</v>
      </c>
      <c r="C67" s="36">
        <v>3</v>
      </c>
      <c r="D67" s="30" t="s">
        <v>60</v>
      </c>
      <c r="E67" s="29"/>
      <c r="F67" s="101">
        <v>45015</v>
      </c>
      <c r="G67" s="28">
        <v>21</v>
      </c>
      <c r="H67" s="101">
        <f t="shared" si="9"/>
        <v>45043</v>
      </c>
      <c r="I67" s="70">
        <v>0</v>
      </c>
      <c r="J67"/>
      <c r="K67" s="49"/>
      <c r="L67" s="4"/>
      <c r="M67" s="4"/>
      <c r="N67" s="4"/>
      <c r="O67" s="4"/>
      <c r="P67" s="4"/>
      <c r="Q67" s="4"/>
      <c r="R67" s="4"/>
      <c r="S67" s="4"/>
      <c r="T67" s="4"/>
      <c r="U67" s="4"/>
      <c r="V67" s="4"/>
      <c r="W67" s="4"/>
      <c r="X67" s="4"/>
      <c r="Y67" s="4"/>
      <c r="Z67" s="4"/>
      <c r="AA67" s="4"/>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50"/>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row>
    <row r="68" spans="1:205" s="5" customFormat="1" ht="15.75" x14ac:dyDescent="0.25">
      <c r="A68" s="59" t="s">
        <v>106</v>
      </c>
      <c r="B68" s="23" t="s">
        <v>350</v>
      </c>
      <c r="C68" s="36">
        <v>3</v>
      </c>
      <c r="D68" s="30" t="s">
        <v>66</v>
      </c>
      <c r="E68" s="29"/>
      <c r="F68" s="101">
        <v>45015</v>
      </c>
      <c r="G68" s="28">
        <v>21</v>
      </c>
      <c r="H68" s="101">
        <f t="shared" si="9"/>
        <v>45043</v>
      </c>
      <c r="I68" s="70">
        <v>0</v>
      </c>
      <c r="J68"/>
      <c r="K68" s="49"/>
      <c r="L68" s="4"/>
      <c r="M68" s="4"/>
      <c r="N68" s="4"/>
      <c r="O68" s="4"/>
      <c r="P68" s="4"/>
      <c r="Q68" s="4"/>
      <c r="R68" s="4"/>
      <c r="S68" s="4"/>
      <c r="T68" s="4"/>
      <c r="U68" s="4"/>
      <c r="V68" s="4"/>
      <c r="W68" s="4"/>
      <c r="X68" s="4"/>
      <c r="Y68" s="4"/>
      <c r="Z68" s="4"/>
      <c r="AA68" s="4"/>
      <c r="AB68" s="7"/>
      <c r="AC68" s="7"/>
      <c r="AD68" s="7"/>
      <c r="AE68" s="7"/>
      <c r="AF68" s="7"/>
      <c r="AG68" s="7"/>
      <c r="AH68" s="7"/>
      <c r="AI68" s="7"/>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50"/>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row>
    <row r="69" spans="1:205" s="5" customFormat="1" ht="15.75" x14ac:dyDescent="0.25">
      <c r="A69" s="59" t="s">
        <v>107</v>
      </c>
      <c r="B69" s="23" t="s">
        <v>351</v>
      </c>
      <c r="C69" s="36">
        <v>3</v>
      </c>
      <c r="D69" s="30" t="s">
        <v>68</v>
      </c>
      <c r="E69" s="29"/>
      <c r="F69" s="101">
        <v>45015</v>
      </c>
      <c r="G69" s="28">
        <v>21</v>
      </c>
      <c r="H69" s="101">
        <f t="shared" si="9"/>
        <v>45043</v>
      </c>
      <c r="I69" s="70">
        <v>0</v>
      </c>
      <c r="J69"/>
      <c r="K69" s="49"/>
      <c r="L69" s="4"/>
      <c r="M69" s="4"/>
      <c r="N69" s="4"/>
      <c r="O69" s="4"/>
      <c r="P69" s="4"/>
      <c r="Q69" s="4"/>
      <c r="R69" s="4"/>
      <c r="S69" s="4"/>
      <c r="T69" s="4"/>
      <c r="U69" s="4"/>
      <c r="V69" s="4"/>
      <c r="W69" s="4"/>
      <c r="X69" s="4"/>
      <c r="Y69" s="4"/>
      <c r="Z69" s="4"/>
      <c r="AA69" s="4"/>
      <c r="AB69" s="7"/>
      <c r="AC69" s="7"/>
      <c r="AD69" s="7"/>
      <c r="AE69" s="7"/>
      <c r="AF69" s="7"/>
      <c r="AG69" s="7"/>
      <c r="AH69" s="7"/>
      <c r="AI69" s="7"/>
      <c r="AJ69" s="7"/>
      <c r="AK69" s="7"/>
      <c r="AL69" s="7"/>
      <c r="AM69" s="7"/>
      <c r="AN69" s="7"/>
      <c r="AO69" s="7"/>
      <c r="AP69" s="7"/>
      <c r="AQ69" s="7"/>
      <c r="AR69" s="7"/>
      <c r="AS69" s="7"/>
      <c r="AT69" s="7"/>
      <c r="AU69" s="7"/>
      <c r="AV69" s="7"/>
      <c r="AW69" s="7"/>
      <c r="AX69" s="7"/>
      <c r="AY69" s="7"/>
      <c r="AZ69" s="7"/>
      <c r="BA69" s="7"/>
      <c r="BB69" s="7"/>
      <c r="BC69" s="7"/>
      <c r="BD69" s="7"/>
      <c r="BE69" s="7"/>
      <c r="BF69" s="7"/>
      <c r="BG69" s="7"/>
      <c r="BH69" s="7"/>
      <c r="BI69" s="7"/>
      <c r="BJ69" s="7"/>
      <c r="BK69" s="50"/>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row>
    <row r="70" spans="1:205" s="5" customFormat="1" ht="15.75" x14ac:dyDescent="0.25">
      <c r="A70" s="59" t="s">
        <v>108</v>
      </c>
      <c r="B70" s="23" t="s">
        <v>352</v>
      </c>
      <c r="C70" s="36">
        <v>3</v>
      </c>
      <c r="D70" s="30" t="s">
        <v>70</v>
      </c>
      <c r="E70" s="29"/>
      <c r="F70" s="101">
        <v>45015</v>
      </c>
      <c r="G70" s="28">
        <v>5</v>
      </c>
      <c r="H70" s="101">
        <f t="shared" si="9"/>
        <v>45021</v>
      </c>
      <c r="I70" s="70">
        <v>0</v>
      </c>
      <c r="J70"/>
      <c r="K70" s="49"/>
      <c r="L70" s="4"/>
      <c r="M70" s="4"/>
      <c r="N70" s="4"/>
      <c r="O70" s="4"/>
      <c r="P70" s="4"/>
      <c r="Q70" s="4"/>
      <c r="R70" s="4"/>
      <c r="S70" s="4"/>
      <c r="T70" s="4"/>
      <c r="U70" s="4"/>
      <c r="V70" s="4"/>
      <c r="W70" s="4"/>
      <c r="X70" s="4"/>
      <c r="Y70" s="4"/>
      <c r="Z70" s="4"/>
      <c r="AA70" s="4"/>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c r="BB70" s="7"/>
      <c r="BC70" s="7"/>
      <c r="BD70" s="7"/>
      <c r="BE70" s="7"/>
      <c r="BF70" s="7"/>
      <c r="BG70" s="7"/>
      <c r="BH70" s="7"/>
      <c r="BI70" s="7"/>
      <c r="BJ70" s="7"/>
      <c r="BK70" s="50"/>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row>
    <row r="71" spans="1:205" s="5" customFormat="1" ht="15.75" x14ac:dyDescent="0.25">
      <c r="A71" s="59" t="s">
        <v>109</v>
      </c>
      <c r="B71" s="23" t="s">
        <v>352</v>
      </c>
      <c r="C71" s="36">
        <v>3</v>
      </c>
      <c r="D71" s="30" t="s">
        <v>72</v>
      </c>
      <c r="E71" s="29"/>
      <c r="F71" s="101">
        <v>45015</v>
      </c>
      <c r="G71" s="28">
        <v>5</v>
      </c>
      <c r="H71" s="101">
        <f t="shared" si="9"/>
        <v>45021</v>
      </c>
      <c r="I71" s="70">
        <v>0</v>
      </c>
      <c r="J71"/>
      <c r="K71" s="49"/>
      <c r="L71" s="4"/>
      <c r="M71" s="4"/>
      <c r="N71" s="4"/>
      <c r="O71" s="4"/>
      <c r="P71" s="4"/>
      <c r="Q71" s="4"/>
      <c r="R71" s="4"/>
      <c r="S71" s="4"/>
      <c r="T71" s="4"/>
      <c r="U71" s="4"/>
      <c r="V71" s="4"/>
      <c r="W71" s="4"/>
      <c r="X71" s="4"/>
      <c r="Y71" s="4"/>
      <c r="Z71" s="4"/>
      <c r="AA71" s="4"/>
      <c r="AB71" s="7"/>
      <c r="AC71" s="7"/>
      <c r="AD71" s="7"/>
      <c r="AE71" s="7"/>
      <c r="AF71" s="7"/>
      <c r="AG71" s="7"/>
      <c r="AH71" s="7"/>
      <c r="AI71" s="7"/>
      <c r="AJ71" s="7"/>
      <c r="AK71" s="7"/>
      <c r="AL71" s="7"/>
      <c r="AM71" s="7"/>
      <c r="AN71" s="7"/>
      <c r="AO71" s="7"/>
      <c r="AP71" s="7"/>
      <c r="AQ71" s="7"/>
      <c r="AR71" s="7"/>
      <c r="AS71" s="7"/>
      <c r="AT71" s="7"/>
      <c r="AU71" s="7"/>
      <c r="AV71" s="7"/>
      <c r="AW71" s="7"/>
      <c r="AX71" s="7"/>
      <c r="AY71" s="7"/>
      <c r="AZ71" s="7"/>
      <c r="BA71" s="7"/>
      <c r="BB71" s="7"/>
      <c r="BC71" s="7"/>
      <c r="BD71" s="7"/>
      <c r="BE71" s="7"/>
      <c r="BF71" s="7"/>
      <c r="BG71" s="7"/>
      <c r="BH71" s="7"/>
      <c r="BI71" s="7"/>
      <c r="BJ71" s="7"/>
      <c r="BK71" s="50"/>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row>
    <row r="72" spans="1:205" s="5" customFormat="1" ht="15.75" x14ac:dyDescent="0.25">
      <c r="A72" s="59" t="s">
        <v>110</v>
      </c>
      <c r="B72" s="23" t="s">
        <v>353</v>
      </c>
      <c r="C72" s="36">
        <v>3</v>
      </c>
      <c r="D72" s="30" t="s">
        <v>74</v>
      </c>
      <c r="E72" s="29"/>
      <c r="F72" s="101">
        <v>45015</v>
      </c>
      <c r="G72" s="28">
        <v>5</v>
      </c>
      <c r="H72" s="101">
        <f t="shared" si="9"/>
        <v>45021</v>
      </c>
      <c r="I72" s="70">
        <v>0</v>
      </c>
      <c r="J72"/>
      <c r="K72" s="49"/>
      <c r="L72" s="4"/>
      <c r="M72" s="4"/>
      <c r="N72" s="4"/>
      <c r="O72" s="4"/>
      <c r="P72" s="4"/>
      <c r="Q72" s="4"/>
      <c r="R72" s="4"/>
      <c r="S72" s="4"/>
      <c r="T72" s="4"/>
      <c r="U72" s="4"/>
      <c r="V72" s="4"/>
      <c r="W72" s="4"/>
      <c r="X72" s="4"/>
      <c r="Y72" s="4"/>
      <c r="Z72" s="4"/>
      <c r="AA72" s="4"/>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c r="BB72" s="7"/>
      <c r="BC72" s="7"/>
      <c r="BD72" s="7"/>
      <c r="BE72" s="7"/>
      <c r="BF72" s="7"/>
      <c r="BG72" s="7"/>
      <c r="BH72" s="7"/>
      <c r="BI72" s="7"/>
      <c r="BJ72" s="7"/>
      <c r="BK72" s="50"/>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row>
    <row r="73" spans="1:205" s="5" customFormat="1" ht="30" x14ac:dyDescent="0.25">
      <c r="A73" s="59" t="s">
        <v>111</v>
      </c>
      <c r="B73" s="23" t="s">
        <v>354</v>
      </c>
      <c r="C73" s="36">
        <v>3</v>
      </c>
      <c r="D73" s="30" t="s">
        <v>43</v>
      </c>
      <c r="E73" s="29"/>
      <c r="F73" s="101">
        <v>45015</v>
      </c>
      <c r="G73" s="28">
        <v>21</v>
      </c>
      <c r="H73" s="101">
        <f t="shared" si="9"/>
        <v>45043</v>
      </c>
      <c r="I73" s="70">
        <v>0</v>
      </c>
      <c r="J73"/>
      <c r="K73" s="49"/>
      <c r="L73" s="4"/>
      <c r="M73" s="4"/>
      <c r="N73" s="4"/>
      <c r="O73" s="4"/>
      <c r="P73" s="4"/>
      <c r="Q73" s="4"/>
      <c r="R73" s="4"/>
      <c r="S73" s="4"/>
      <c r="T73" s="4"/>
      <c r="U73" s="4"/>
      <c r="V73" s="4"/>
      <c r="W73" s="4"/>
      <c r="X73" s="4"/>
      <c r="Y73" s="4"/>
      <c r="Z73" s="4"/>
      <c r="AA73" s="4"/>
      <c r="AB73" s="7"/>
      <c r="AC73" s="7"/>
      <c r="AD73" s="7"/>
      <c r="AE73" s="7"/>
      <c r="AF73" s="7"/>
      <c r="AG73" s="7"/>
      <c r="AH73" s="7"/>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50"/>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row>
    <row r="74" spans="1:205" s="5" customFormat="1" ht="15.75" x14ac:dyDescent="0.25">
      <c r="A74" s="59" t="s">
        <v>112</v>
      </c>
      <c r="B74" s="23" t="s">
        <v>355</v>
      </c>
      <c r="C74" s="36">
        <v>3</v>
      </c>
      <c r="D74" s="30" t="s">
        <v>45</v>
      </c>
      <c r="E74" s="29"/>
      <c r="F74" s="101">
        <v>45015</v>
      </c>
      <c r="G74" s="28">
        <v>21</v>
      </c>
      <c r="H74" s="101">
        <f t="shared" si="9"/>
        <v>45043</v>
      </c>
      <c r="I74" s="70">
        <v>0</v>
      </c>
      <c r="J74"/>
      <c r="K74" s="49"/>
      <c r="L74" s="4"/>
      <c r="M74" s="4"/>
      <c r="N74" s="4"/>
      <c r="O74" s="4"/>
      <c r="P74" s="4"/>
      <c r="Q74" s="4"/>
      <c r="R74" s="4"/>
      <c r="S74" s="4"/>
      <c r="T74" s="4"/>
      <c r="U74" s="4"/>
      <c r="V74" s="4"/>
      <c r="W74" s="4"/>
      <c r="X74" s="4"/>
      <c r="Y74" s="4"/>
      <c r="Z74" s="4"/>
      <c r="AA74" s="4"/>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50"/>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row>
    <row r="75" spans="1:205" s="5" customFormat="1" ht="30" x14ac:dyDescent="0.25">
      <c r="A75" s="59" t="s">
        <v>113</v>
      </c>
      <c r="B75" s="23" t="s">
        <v>356</v>
      </c>
      <c r="C75" s="36">
        <v>3</v>
      </c>
      <c r="D75" s="30" t="s">
        <v>47</v>
      </c>
      <c r="E75" s="29"/>
      <c r="F75" s="101">
        <v>45015</v>
      </c>
      <c r="G75" s="28">
        <v>21</v>
      </c>
      <c r="H75" s="101">
        <f t="shared" si="9"/>
        <v>45043</v>
      </c>
      <c r="I75" s="70">
        <v>0</v>
      </c>
      <c r="J75"/>
      <c r="K75" s="49"/>
      <c r="L75" s="4"/>
      <c r="M75" s="4"/>
      <c r="N75" s="4"/>
      <c r="O75" s="4"/>
      <c r="P75" s="4"/>
      <c r="Q75" s="4"/>
      <c r="R75" s="4"/>
      <c r="S75" s="4"/>
      <c r="T75" s="4"/>
      <c r="U75" s="4"/>
      <c r="V75" s="4"/>
      <c r="W75" s="4"/>
      <c r="X75" s="4"/>
      <c r="Y75" s="4"/>
      <c r="Z75" s="4"/>
      <c r="AA75" s="4"/>
      <c r="AB75" s="7"/>
      <c r="AC75" s="7"/>
      <c r="AD75" s="7"/>
      <c r="AE75" s="7"/>
      <c r="AF75" s="7"/>
      <c r="AG75" s="7"/>
      <c r="AH75" s="7"/>
      <c r="AI75" s="7"/>
      <c r="AJ75" s="7"/>
      <c r="AK75" s="7"/>
      <c r="AL75" s="7"/>
      <c r="AM75" s="7"/>
      <c r="AN75" s="7"/>
      <c r="AO75" s="7"/>
      <c r="AP75" s="7"/>
      <c r="AQ75" s="7"/>
      <c r="AR75" s="7"/>
      <c r="AS75" s="7"/>
      <c r="AT75" s="7"/>
      <c r="AU75" s="7"/>
      <c r="AV75" s="7"/>
      <c r="AW75" s="7"/>
      <c r="AX75" s="7"/>
      <c r="AY75" s="7"/>
      <c r="AZ75" s="7"/>
      <c r="BA75" s="7"/>
      <c r="BB75" s="7"/>
      <c r="BC75" s="7"/>
      <c r="BD75" s="7"/>
      <c r="BE75" s="7"/>
      <c r="BF75" s="7"/>
      <c r="BG75" s="7"/>
      <c r="BH75" s="7"/>
      <c r="BI75" s="7"/>
      <c r="BJ75" s="7"/>
      <c r="BK75" s="50"/>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row>
    <row r="76" spans="1:205" s="5" customFormat="1" ht="30" x14ac:dyDescent="0.25">
      <c r="A76" s="59" t="s">
        <v>114</v>
      </c>
      <c r="B76" s="23" t="s">
        <v>357</v>
      </c>
      <c r="C76" s="36">
        <v>3</v>
      </c>
      <c r="D76" s="30" t="s">
        <v>49</v>
      </c>
      <c r="E76" s="29"/>
      <c r="F76" s="101">
        <v>45015</v>
      </c>
      <c r="G76" s="28">
        <v>21</v>
      </c>
      <c r="H76" s="101">
        <f t="shared" si="9"/>
        <v>45043</v>
      </c>
      <c r="I76" s="70">
        <v>0</v>
      </c>
      <c r="J76"/>
      <c r="K76" s="49"/>
      <c r="L76" s="4"/>
      <c r="M76" s="4"/>
      <c r="N76" s="4"/>
      <c r="O76" s="4"/>
      <c r="P76" s="4"/>
      <c r="Q76" s="4"/>
      <c r="R76" s="4"/>
      <c r="S76" s="4"/>
      <c r="T76" s="4"/>
      <c r="U76" s="4"/>
      <c r="V76" s="4"/>
      <c r="W76" s="4"/>
      <c r="X76" s="4"/>
      <c r="Y76" s="4"/>
      <c r="Z76" s="4"/>
      <c r="AA76" s="4"/>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50"/>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row>
    <row r="77" spans="1:205" s="5" customFormat="1" ht="30" x14ac:dyDescent="0.25">
      <c r="A77" s="59" t="s">
        <v>115</v>
      </c>
      <c r="B77" s="23" t="s">
        <v>358</v>
      </c>
      <c r="C77" s="36">
        <v>3</v>
      </c>
      <c r="D77" s="30" t="s">
        <v>41</v>
      </c>
      <c r="E77" s="29"/>
      <c r="F77" s="101">
        <v>45015</v>
      </c>
      <c r="G77" s="28">
        <v>21</v>
      </c>
      <c r="H77" s="101">
        <f t="shared" si="9"/>
        <v>45043</v>
      </c>
      <c r="I77" s="70">
        <v>0</v>
      </c>
      <c r="J77"/>
      <c r="K77" s="49"/>
      <c r="L77" s="4"/>
      <c r="M77" s="4"/>
      <c r="N77" s="4"/>
      <c r="O77" s="4"/>
      <c r="P77" s="4"/>
      <c r="Q77" s="4"/>
      <c r="R77" s="4"/>
      <c r="S77" s="4"/>
      <c r="T77" s="4"/>
      <c r="U77" s="4"/>
      <c r="V77" s="4"/>
      <c r="W77" s="4"/>
      <c r="X77" s="4"/>
      <c r="Y77" s="4"/>
      <c r="Z77" s="4"/>
      <c r="AA77" s="4"/>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50"/>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row>
    <row r="78" spans="1:205" s="5" customFormat="1" ht="15.75" x14ac:dyDescent="0.25">
      <c r="A78" s="59" t="s">
        <v>116</v>
      </c>
      <c r="B78" s="23" t="s">
        <v>359</v>
      </c>
      <c r="C78" s="36">
        <v>3</v>
      </c>
      <c r="D78" s="30" t="s">
        <v>76</v>
      </c>
      <c r="E78" s="29"/>
      <c r="F78" s="101">
        <v>45015</v>
      </c>
      <c r="G78" s="28">
        <v>10</v>
      </c>
      <c r="H78" s="101">
        <f t="shared" si="9"/>
        <v>45028</v>
      </c>
      <c r="I78" s="70">
        <v>0</v>
      </c>
      <c r="J78"/>
      <c r="K78" s="49"/>
      <c r="L78" s="4"/>
      <c r="M78" s="4"/>
      <c r="N78" s="4"/>
      <c r="O78" s="4"/>
      <c r="P78" s="4"/>
      <c r="Q78" s="4"/>
      <c r="R78" s="4"/>
      <c r="S78" s="4"/>
      <c r="T78" s="4"/>
      <c r="U78" s="4"/>
      <c r="V78" s="4"/>
      <c r="W78" s="4"/>
      <c r="X78" s="4"/>
      <c r="Y78" s="4"/>
      <c r="Z78" s="4"/>
      <c r="AA78" s="4"/>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50"/>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row>
    <row r="79" spans="1:205" s="5" customFormat="1" ht="30" x14ac:dyDescent="0.25">
      <c r="A79" s="59" t="s">
        <v>117</v>
      </c>
      <c r="B79" s="23" t="s">
        <v>360</v>
      </c>
      <c r="C79" s="36">
        <v>3</v>
      </c>
      <c r="D79" s="30" t="s">
        <v>85</v>
      </c>
      <c r="E79" s="29" t="s">
        <v>394</v>
      </c>
      <c r="F79" s="101">
        <v>45015</v>
      </c>
      <c r="G79" s="28">
        <v>11</v>
      </c>
      <c r="H79" s="101">
        <f t="shared" si="9"/>
        <v>45029</v>
      </c>
      <c r="I79" s="70">
        <v>0</v>
      </c>
      <c r="J79"/>
      <c r="K79" s="49"/>
      <c r="L79" s="4"/>
      <c r="M79" s="4"/>
      <c r="N79" s="4"/>
      <c r="O79" s="4"/>
      <c r="P79" s="4"/>
      <c r="Q79" s="4"/>
      <c r="R79" s="4"/>
      <c r="S79" s="4"/>
      <c r="T79" s="4"/>
      <c r="U79" s="4"/>
      <c r="V79" s="4"/>
      <c r="W79" s="4"/>
      <c r="X79" s="4"/>
      <c r="Y79" s="4"/>
      <c r="Z79" s="4"/>
      <c r="AA79" s="4"/>
      <c r="AB79" s="7"/>
      <c r="AC79" s="7"/>
      <c r="AD79" s="7"/>
      <c r="AE79" s="7"/>
      <c r="AF79" s="7"/>
      <c r="AG79" s="7"/>
      <c r="AH79" s="7"/>
      <c r="AI79" s="7"/>
      <c r="AJ79" s="7"/>
      <c r="AK79" s="7"/>
      <c r="AL79" s="7"/>
      <c r="AM79" s="7"/>
      <c r="AN79" s="7"/>
      <c r="AO79" s="7"/>
      <c r="AP79" s="7"/>
      <c r="AQ79" s="7"/>
      <c r="AR79" s="7"/>
      <c r="AS79" s="7"/>
      <c r="AT79" s="7"/>
      <c r="AU79" s="7"/>
      <c r="AV79" s="7"/>
      <c r="AW79" s="7"/>
      <c r="AX79" s="7"/>
      <c r="AY79" s="7"/>
      <c r="AZ79" s="7"/>
      <c r="BA79" s="7"/>
      <c r="BB79" s="7"/>
      <c r="BC79" s="7"/>
      <c r="BD79" s="7"/>
      <c r="BE79" s="7"/>
      <c r="BF79" s="7"/>
      <c r="BG79" s="7"/>
      <c r="BH79" s="7"/>
      <c r="BI79" s="7"/>
      <c r="BJ79" s="7"/>
      <c r="BK79" s="50"/>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row>
    <row r="80" spans="1:205" s="5" customFormat="1" ht="15.75" x14ac:dyDescent="0.25">
      <c r="A80" s="59" t="s">
        <v>118</v>
      </c>
      <c r="B80" s="23" t="s">
        <v>361</v>
      </c>
      <c r="C80" s="36" t="s">
        <v>119</v>
      </c>
      <c r="D80" s="30" t="s">
        <v>43</v>
      </c>
      <c r="E80" s="29"/>
      <c r="F80" s="101">
        <v>45043</v>
      </c>
      <c r="G80" s="28">
        <v>20</v>
      </c>
      <c r="H80" s="101">
        <f t="shared" si="9"/>
        <v>45070</v>
      </c>
      <c r="I80" s="70">
        <v>0</v>
      </c>
      <c r="J80"/>
      <c r="K80" s="49"/>
      <c r="L80" s="4"/>
      <c r="M80" s="4"/>
      <c r="N80" s="4"/>
      <c r="O80" s="4"/>
      <c r="P80" s="4"/>
      <c r="Q80" s="4"/>
      <c r="R80" s="4"/>
      <c r="S80" s="4"/>
      <c r="T80" s="4"/>
      <c r="U80" s="4"/>
      <c r="V80" s="4"/>
      <c r="W80" s="4"/>
      <c r="X80" s="4"/>
      <c r="Y80" s="4"/>
      <c r="Z80" s="4"/>
      <c r="AA80" s="4"/>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c r="BB80" s="7"/>
      <c r="BC80" s="7"/>
      <c r="BD80" s="7"/>
      <c r="BE80" s="7"/>
      <c r="BF80" s="7"/>
      <c r="BG80" s="7"/>
      <c r="BH80" s="7"/>
      <c r="BI80" s="7"/>
      <c r="BJ80" s="7"/>
      <c r="BK80" s="50"/>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row>
    <row r="81" spans="1:205" s="5" customFormat="1" ht="15.75" x14ac:dyDescent="0.25">
      <c r="A81" s="59" t="s">
        <v>120</v>
      </c>
      <c r="B81" s="23" t="s">
        <v>361</v>
      </c>
      <c r="C81" s="36" t="s">
        <v>119</v>
      </c>
      <c r="D81" s="30" t="s">
        <v>45</v>
      </c>
      <c r="E81" s="29"/>
      <c r="F81" s="101">
        <v>45043</v>
      </c>
      <c r="G81" s="28">
        <v>20</v>
      </c>
      <c r="H81" s="101">
        <f t="shared" si="9"/>
        <v>45070</v>
      </c>
      <c r="I81" s="70">
        <v>0</v>
      </c>
      <c r="J81"/>
      <c r="K81" s="49"/>
      <c r="L81" s="4"/>
      <c r="M81" s="4"/>
      <c r="N81" s="4"/>
      <c r="O81" s="4"/>
      <c r="P81" s="4"/>
      <c r="Q81" s="4"/>
      <c r="R81" s="4"/>
      <c r="S81" s="4"/>
      <c r="T81" s="4"/>
      <c r="U81" s="4"/>
      <c r="V81" s="4"/>
      <c r="W81" s="4"/>
      <c r="X81" s="4"/>
      <c r="Y81" s="4"/>
      <c r="Z81" s="4"/>
      <c r="AA81" s="4"/>
      <c r="AB81" s="7"/>
      <c r="AC81" s="7"/>
      <c r="AD81" s="7"/>
      <c r="AE81" s="7"/>
      <c r="AF81" s="7"/>
      <c r="AG81" s="7"/>
      <c r="AH81" s="7"/>
      <c r="AI81" s="7"/>
      <c r="AJ81" s="7"/>
      <c r="AK81" s="7"/>
      <c r="AL81" s="7"/>
      <c r="AM81" s="7"/>
      <c r="AN81" s="7"/>
      <c r="AO81" s="7"/>
      <c r="AP81" s="7"/>
      <c r="AQ81" s="7"/>
      <c r="AR81" s="7"/>
      <c r="AS81" s="7"/>
      <c r="AT81" s="7"/>
      <c r="AU81" s="7"/>
      <c r="AV81" s="7"/>
      <c r="AW81" s="7"/>
      <c r="AX81" s="7"/>
      <c r="AY81" s="7"/>
      <c r="AZ81" s="7"/>
      <c r="BA81" s="7"/>
      <c r="BB81" s="7"/>
      <c r="BC81" s="7"/>
      <c r="BD81" s="7"/>
      <c r="BE81" s="7"/>
      <c r="BF81" s="7"/>
      <c r="BG81" s="7"/>
      <c r="BH81" s="7"/>
      <c r="BI81" s="7"/>
      <c r="BJ81" s="7"/>
      <c r="BK81" s="50"/>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row>
    <row r="82" spans="1:205" s="5" customFormat="1" ht="15.75" x14ac:dyDescent="0.25">
      <c r="A82" s="59" t="s">
        <v>121</v>
      </c>
      <c r="B82" s="23" t="s">
        <v>361</v>
      </c>
      <c r="C82" s="36" t="s">
        <v>119</v>
      </c>
      <c r="D82" s="30" t="s">
        <v>47</v>
      </c>
      <c r="E82" s="29"/>
      <c r="F82" s="101">
        <v>45043</v>
      </c>
      <c r="G82" s="28">
        <v>20</v>
      </c>
      <c r="H82" s="101">
        <f t="shared" si="9"/>
        <v>45070</v>
      </c>
      <c r="I82" s="70">
        <v>0</v>
      </c>
      <c r="J82"/>
      <c r="K82" s="49"/>
      <c r="L82" s="4"/>
      <c r="M82" s="4"/>
      <c r="N82" s="4"/>
      <c r="O82" s="4"/>
      <c r="P82" s="4"/>
      <c r="Q82" s="4"/>
      <c r="R82" s="4"/>
      <c r="S82" s="4"/>
      <c r="T82" s="4"/>
      <c r="U82" s="4"/>
      <c r="V82" s="4"/>
      <c r="W82" s="4"/>
      <c r="X82" s="4"/>
      <c r="Y82" s="4"/>
      <c r="Z82" s="4"/>
      <c r="AA82" s="4"/>
      <c r="AB82" s="7"/>
      <c r="AC82" s="7"/>
      <c r="AD82" s="7"/>
      <c r="AE82" s="7"/>
      <c r="AF82" s="7"/>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50"/>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row>
    <row r="83" spans="1:205" s="5" customFormat="1" ht="15.75" x14ac:dyDescent="0.25">
      <c r="A83" s="59" t="s">
        <v>122</v>
      </c>
      <c r="B83" s="23" t="s">
        <v>361</v>
      </c>
      <c r="C83" s="36" t="s">
        <v>119</v>
      </c>
      <c r="D83" s="30" t="s">
        <v>49</v>
      </c>
      <c r="E83" s="29"/>
      <c r="F83" s="101">
        <v>45043</v>
      </c>
      <c r="G83" s="28">
        <v>20</v>
      </c>
      <c r="H83" s="101">
        <f t="shared" si="9"/>
        <v>45070</v>
      </c>
      <c r="I83" s="70">
        <v>0</v>
      </c>
      <c r="J83"/>
      <c r="K83" s="49"/>
      <c r="L83" s="4"/>
      <c r="M83" s="4"/>
      <c r="N83" s="4"/>
      <c r="O83" s="4"/>
      <c r="P83" s="4"/>
      <c r="Q83" s="4"/>
      <c r="R83" s="4"/>
      <c r="S83" s="4"/>
      <c r="T83" s="4"/>
      <c r="U83" s="4"/>
      <c r="V83" s="4"/>
      <c r="W83" s="4"/>
      <c r="X83" s="4"/>
      <c r="Y83" s="4"/>
      <c r="Z83" s="4"/>
      <c r="AA83" s="4"/>
      <c r="AB83" s="7"/>
      <c r="AC83" s="7"/>
      <c r="AD83" s="7"/>
      <c r="AE83" s="7"/>
      <c r="AF83" s="7"/>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50"/>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row>
    <row r="84" spans="1:205" s="5" customFormat="1" ht="15.75" x14ac:dyDescent="0.25">
      <c r="A84" s="59" t="s">
        <v>123</v>
      </c>
      <c r="B84" s="23" t="s">
        <v>361</v>
      </c>
      <c r="C84" s="36" t="s">
        <v>119</v>
      </c>
      <c r="D84" s="30" t="s">
        <v>41</v>
      </c>
      <c r="E84" s="29"/>
      <c r="F84" s="101">
        <v>45043</v>
      </c>
      <c r="G84" s="28">
        <v>20</v>
      </c>
      <c r="H84" s="101">
        <f t="shared" si="9"/>
        <v>45070</v>
      </c>
      <c r="I84" s="70">
        <v>0</v>
      </c>
      <c r="J84"/>
      <c r="K84" s="49"/>
      <c r="L84" s="4"/>
      <c r="M84" s="4"/>
      <c r="N84" s="4"/>
      <c r="O84" s="4"/>
      <c r="P84" s="4"/>
      <c r="Q84" s="4"/>
      <c r="R84" s="4"/>
      <c r="S84" s="4"/>
      <c r="T84" s="4"/>
      <c r="U84" s="4"/>
      <c r="V84" s="4"/>
      <c r="W84" s="4"/>
      <c r="X84" s="4"/>
      <c r="Y84" s="4"/>
      <c r="Z84" s="4"/>
      <c r="AA84" s="4"/>
      <c r="AB84" s="7"/>
      <c r="AC84" s="7"/>
      <c r="AD84" s="7"/>
      <c r="AE84" s="7"/>
      <c r="AF84" s="7"/>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50"/>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row>
    <row r="85" spans="1:205" s="5" customFormat="1" ht="15.75" x14ac:dyDescent="0.25">
      <c r="A85" s="59" t="s">
        <v>124</v>
      </c>
      <c r="B85" s="23" t="s">
        <v>362</v>
      </c>
      <c r="C85" s="36" t="s">
        <v>125</v>
      </c>
      <c r="D85" s="30" t="s">
        <v>54</v>
      </c>
      <c r="E85" s="29"/>
      <c r="F85" s="101">
        <v>45070</v>
      </c>
      <c r="G85" s="28">
        <v>0</v>
      </c>
      <c r="H85" s="101">
        <f t="shared" si="9"/>
        <v>45069</v>
      </c>
      <c r="I85" s="70">
        <v>0</v>
      </c>
      <c r="J85"/>
      <c r="K85" s="49"/>
      <c r="L85" s="4"/>
      <c r="M85" s="4"/>
      <c r="N85" s="4"/>
      <c r="O85" s="4"/>
      <c r="P85" s="4"/>
      <c r="Q85" s="4"/>
      <c r="R85" s="4"/>
      <c r="S85" s="4"/>
      <c r="T85" s="4"/>
      <c r="U85" s="4"/>
      <c r="V85" s="4"/>
      <c r="W85" s="4"/>
      <c r="X85" s="4"/>
      <c r="Y85" s="4"/>
      <c r="Z85" s="4"/>
      <c r="AA85" s="4"/>
      <c r="AB85" s="7"/>
      <c r="AC85" s="7"/>
      <c r="AD85" s="7"/>
      <c r="AE85" s="7"/>
      <c r="AF85" s="7"/>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50"/>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row>
    <row r="86" spans="1:205" s="5" customFormat="1" ht="15.75" x14ac:dyDescent="0.25">
      <c r="A86" s="59" t="s">
        <v>126</v>
      </c>
      <c r="B86" s="23" t="s">
        <v>362</v>
      </c>
      <c r="C86" s="36" t="s">
        <v>125</v>
      </c>
      <c r="D86" s="30" t="s">
        <v>56</v>
      </c>
      <c r="E86" s="29"/>
      <c r="F86" s="101">
        <v>45070</v>
      </c>
      <c r="G86" s="28">
        <v>0</v>
      </c>
      <c r="H86" s="101">
        <f t="shared" si="9"/>
        <v>45069</v>
      </c>
      <c r="I86" s="70">
        <v>0</v>
      </c>
      <c r="J86"/>
      <c r="K86" s="49"/>
      <c r="L86" s="4"/>
      <c r="M86" s="4"/>
      <c r="N86" s="4"/>
      <c r="O86" s="4"/>
      <c r="P86" s="4"/>
      <c r="Q86" s="4"/>
      <c r="R86" s="4"/>
      <c r="S86" s="4"/>
      <c r="T86" s="4"/>
      <c r="U86" s="4"/>
      <c r="V86" s="4"/>
      <c r="W86" s="4"/>
      <c r="X86" s="4"/>
      <c r="Y86" s="4"/>
      <c r="Z86" s="4"/>
      <c r="AA86" s="4"/>
      <c r="AB86" s="7"/>
      <c r="AC86" s="7"/>
      <c r="AD86" s="7"/>
      <c r="AE86" s="7"/>
      <c r="AF86" s="7"/>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50"/>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row>
    <row r="87" spans="1:205" s="5" customFormat="1" ht="15.75" x14ac:dyDescent="0.25">
      <c r="A87" s="59" t="s">
        <v>127</v>
      </c>
      <c r="B87" s="23" t="s">
        <v>362</v>
      </c>
      <c r="C87" s="36" t="s">
        <v>125</v>
      </c>
      <c r="D87" s="30" t="s">
        <v>62</v>
      </c>
      <c r="E87" s="29"/>
      <c r="F87" s="101">
        <v>45070</v>
      </c>
      <c r="G87" s="28">
        <v>0</v>
      </c>
      <c r="H87" s="101">
        <f t="shared" si="9"/>
        <v>45069</v>
      </c>
      <c r="I87" s="70">
        <v>0</v>
      </c>
      <c r="J87"/>
      <c r="K87" s="49"/>
      <c r="L87" s="4"/>
      <c r="M87" s="4"/>
      <c r="N87" s="4"/>
      <c r="O87" s="4"/>
      <c r="P87" s="4"/>
      <c r="Q87" s="4"/>
      <c r="R87" s="4"/>
      <c r="S87" s="4"/>
      <c r="T87" s="4"/>
      <c r="U87" s="4"/>
      <c r="V87" s="4"/>
      <c r="W87" s="4"/>
      <c r="X87" s="4"/>
      <c r="Y87" s="4"/>
      <c r="Z87" s="4"/>
      <c r="AA87" s="4"/>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50"/>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row>
    <row r="88" spans="1:205" s="5" customFormat="1" ht="15.75" x14ac:dyDescent="0.25">
      <c r="A88" s="59" t="s">
        <v>128</v>
      </c>
      <c r="B88" s="23" t="s">
        <v>362</v>
      </c>
      <c r="C88" s="36" t="s">
        <v>125</v>
      </c>
      <c r="D88" s="30" t="s">
        <v>64</v>
      </c>
      <c r="E88" s="29"/>
      <c r="F88" s="101">
        <v>45070</v>
      </c>
      <c r="G88" s="28">
        <v>0</v>
      </c>
      <c r="H88" s="101">
        <f t="shared" si="9"/>
        <v>45069</v>
      </c>
      <c r="I88" s="70">
        <v>0</v>
      </c>
      <c r="J88"/>
      <c r="K88" s="49"/>
      <c r="L88" s="4"/>
      <c r="M88" s="4"/>
      <c r="N88" s="4"/>
      <c r="O88" s="4"/>
      <c r="P88" s="4"/>
      <c r="Q88" s="4"/>
      <c r="R88" s="4"/>
      <c r="S88" s="4"/>
      <c r="T88" s="4"/>
      <c r="U88" s="4"/>
      <c r="V88" s="4"/>
      <c r="W88" s="4"/>
      <c r="X88" s="4"/>
      <c r="Y88" s="4"/>
      <c r="Z88" s="4"/>
      <c r="AA88" s="4"/>
      <c r="AB88" s="7"/>
      <c r="AC88" s="7"/>
      <c r="AD88" s="7"/>
      <c r="AE88" s="7"/>
      <c r="AF88" s="7"/>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50"/>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row>
    <row r="89" spans="1:205" s="5" customFormat="1" ht="15.75" x14ac:dyDescent="0.25">
      <c r="A89" s="59" t="s">
        <v>129</v>
      </c>
      <c r="B89" s="23" t="s">
        <v>362</v>
      </c>
      <c r="C89" s="36" t="s">
        <v>125</v>
      </c>
      <c r="D89" s="30" t="s">
        <v>58</v>
      </c>
      <c r="E89" s="29"/>
      <c r="F89" s="101">
        <v>45070</v>
      </c>
      <c r="G89" s="28">
        <v>0</v>
      </c>
      <c r="H89" s="101">
        <f t="shared" si="9"/>
        <v>45069</v>
      </c>
      <c r="I89" s="70">
        <v>0</v>
      </c>
      <c r="J89"/>
      <c r="K89" s="49"/>
      <c r="L89" s="4"/>
      <c r="M89" s="4"/>
      <c r="N89" s="4"/>
      <c r="O89" s="4"/>
      <c r="P89" s="4"/>
      <c r="Q89" s="4"/>
      <c r="R89" s="4"/>
      <c r="S89" s="4"/>
      <c r="T89" s="4"/>
      <c r="U89" s="4"/>
      <c r="V89" s="4"/>
      <c r="W89" s="4"/>
      <c r="X89" s="4"/>
      <c r="Y89" s="4"/>
      <c r="Z89" s="4"/>
      <c r="AA89" s="4"/>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50"/>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row>
    <row r="90" spans="1:205" s="5" customFormat="1" ht="15.75" x14ac:dyDescent="0.25">
      <c r="A90" s="59" t="s">
        <v>130</v>
      </c>
      <c r="B90" s="23" t="s">
        <v>362</v>
      </c>
      <c r="C90" s="36" t="s">
        <v>125</v>
      </c>
      <c r="D90" s="30" t="s">
        <v>60</v>
      </c>
      <c r="E90" s="29"/>
      <c r="F90" s="101">
        <v>45070</v>
      </c>
      <c r="G90" s="28">
        <v>0</v>
      </c>
      <c r="H90" s="101">
        <f t="shared" si="9"/>
        <v>45069</v>
      </c>
      <c r="I90" s="70">
        <v>0</v>
      </c>
      <c r="J90"/>
      <c r="K90" s="49"/>
      <c r="L90" s="4"/>
      <c r="M90" s="4"/>
      <c r="N90" s="4"/>
      <c r="O90" s="4"/>
      <c r="P90" s="4"/>
      <c r="Q90" s="4"/>
      <c r="R90" s="4"/>
      <c r="S90" s="4"/>
      <c r="T90" s="4"/>
      <c r="U90" s="4"/>
      <c r="V90" s="4"/>
      <c r="W90" s="4"/>
      <c r="X90" s="4"/>
      <c r="Y90" s="4"/>
      <c r="Z90" s="4"/>
      <c r="AA90" s="4"/>
      <c r="AB90" s="7"/>
      <c r="AC90" s="7"/>
      <c r="AD90" s="7"/>
      <c r="AE90" s="7"/>
      <c r="AF90" s="7"/>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50"/>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row>
    <row r="91" spans="1:205" s="5" customFormat="1" ht="15.75" x14ac:dyDescent="0.25">
      <c r="A91" s="59" t="s">
        <v>131</v>
      </c>
      <c r="B91" s="23" t="s">
        <v>362</v>
      </c>
      <c r="C91" s="36" t="s">
        <v>125</v>
      </c>
      <c r="D91" s="30" t="s">
        <v>66</v>
      </c>
      <c r="E91" s="29"/>
      <c r="F91" s="101">
        <v>45070</v>
      </c>
      <c r="G91" s="28">
        <v>0</v>
      </c>
      <c r="H91" s="101">
        <f t="shared" si="9"/>
        <v>45069</v>
      </c>
      <c r="I91" s="70">
        <v>0</v>
      </c>
      <c r="J91"/>
      <c r="K91" s="49"/>
      <c r="L91" s="4"/>
      <c r="M91" s="4"/>
      <c r="N91" s="4"/>
      <c r="O91" s="4"/>
      <c r="P91" s="4"/>
      <c r="Q91" s="4"/>
      <c r="R91" s="4"/>
      <c r="S91" s="4"/>
      <c r="T91" s="4"/>
      <c r="U91" s="4"/>
      <c r="V91" s="4"/>
      <c r="W91" s="4"/>
      <c r="X91" s="4"/>
      <c r="Y91" s="4"/>
      <c r="Z91" s="4"/>
      <c r="AA91" s="4"/>
      <c r="AB91" s="7"/>
      <c r="AC91" s="7"/>
      <c r="AD91" s="7"/>
      <c r="AE91" s="7"/>
      <c r="AF91" s="7"/>
      <c r="AG91" s="7"/>
      <c r="AH91" s="7"/>
      <c r="AI91" s="7"/>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50"/>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row>
    <row r="92" spans="1:205" s="5" customFormat="1" ht="15.75" x14ac:dyDescent="0.25">
      <c r="A92" s="59" t="s">
        <v>132</v>
      </c>
      <c r="B92" s="23" t="s">
        <v>362</v>
      </c>
      <c r="C92" s="36" t="s">
        <v>125</v>
      </c>
      <c r="D92" s="30" t="s">
        <v>68</v>
      </c>
      <c r="E92" s="29"/>
      <c r="F92" s="101">
        <v>45070</v>
      </c>
      <c r="G92" s="28">
        <v>0</v>
      </c>
      <c r="H92" s="101">
        <f t="shared" si="9"/>
        <v>45069</v>
      </c>
      <c r="I92" s="70">
        <v>0</v>
      </c>
      <c r="J92"/>
      <c r="K92" s="49"/>
      <c r="L92" s="4"/>
      <c r="M92" s="4"/>
      <c r="N92" s="4"/>
      <c r="O92" s="4"/>
      <c r="P92" s="4"/>
      <c r="Q92" s="4"/>
      <c r="R92" s="4"/>
      <c r="S92" s="4"/>
      <c r="T92" s="4"/>
      <c r="U92" s="4"/>
      <c r="V92" s="4"/>
      <c r="W92" s="4"/>
      <c r="X92" s="4"/>
      <c r="Y92" s="4"/>
      <c r="Z92" s="4"/>
      <c r="AA92" s="4"/>
      <c r="AB92" s="7"/>
      <c r="AC92" s="7"/>
      <c r="AD92" s="7"/>
      <c r="AE92" s="7"/>
      <c r="AF92" s="7"/>
      <c r="AG92" s="7"/>
      <c r="AH92" s="7"/>
      <c r="AI92" s="7"/>
      <c r="AJ92" s="7"/>
      <c r="AK92" s="7"/>
      <c r="AL92" s="7"/>
      <c r="AM92" s="7"/>
      <c r="AN92" s="7"/>
      <c r="AO92" s="7"/>
      <c r="AP92" s="7"/>
      <c r="AQ92" s="7"/>
      <c r="AR92" s="7"/>
      <c r="AS92" s="7"/>
      <c r="AT92" s="7"/>
      <c r="AU92" s="7"/>
      <c r="AV92" s="7"/>
      <c r="AW92" s="7"/>
      <c r="AX92" s="7"/>
      <c r="AY92" s="7"/>
      <c r="AZ92" s="7"/>
      <c r="BA92" s="7"/>
      <c r="BB92" s="7"/>
      <c r="BC92" s="7"/>
      <c r="BD92" s="7"/>
      <c r="BE92" s="7"/>
      <c r="BF92" s="7"/>
      <c r="BG92" s="7"/>
      <c r="BH92" s="7"/>
      <c r="BI92" s="7"/>
      <c r="BJ92" s="7"/>
      <c r="BK92" s="50"/>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row>
    <row r="93" spans="1:205" s="5" customFormat="1" ht="15.75" x14ac:dyDescent="0.25">
      <c r="A93" s="59" t="s">
        <v>133</v>
      </c>
      <c r="B93" s="23" t="s">
        <v>362</v>
      </c>
      <c r="C93" s="36" t="s">
        <v>125</v>
      </c>
      <c r="D93" s="30" t="s">
        <v>70</v>
      </c>
      <c r="E93" s="29"/>
      <c r="F93" s="101">
        <v>45070</v>
      </c>
      <c r="G93" s="28">
        <v>0</v>
      </c>
      <c r="H93" s="101">
        <f t="shared" si="9"/>
        <v>45069</v>
      </c>
      <c r="I93" s="70">
        <v>0</v>
      </c>
      <c r="J93"/>
      <c r="K93" s="49"/>
      <c r="L93" s="4"/>
      <c r="M93" s="4"/>
      <c r="N93" s="4"/>
      <c r="O93" s="4"/>
      <c r="P93" s="4"/>
      <c r="Q93" s="4"/>
      <c r="R93" s="4"/>
      <c r="S93" s="4"/>
      <c r="T93" s="4"/>
      <c r="U93" s="4"/>
      <c r="V93" s="4"/>
      <c r="W93" s="4"/>
      <c r="X93" s="4"/>
      <c r="Y93" s="4"/>
      <c r="Z93" s="4"/>
      <c r="AA93" s="4"/>
      <c r="AB93" s="7"/>
      <c r="AC93" s="7"/>
      <c r="AD93" s="7"/>
      <c r="AE93" s="7"/>
      <c r="AF93" s="7"/>
      <c r="AG93" s="7"/>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50"/>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row>
    <row r="94" spans="1:205" s="5" customFormat="1" ht="15.75" x14ac:dyDescent="0.25">
      <c r="A94" s="59" t="s">
        <v>134</v>
      </c>
      <c r="B94" s="23" t="s">
        <v>362</v>
      </c>
      <c r="C94" s="36" t="s">
        <v>125</v>
      </c>
      <c r="D94" s="30" t="s">
        <v>72</v>
      </c>
      <c r="E94" s="29"/>
      <c r="F94" s="101">
        <v>45070</v>
      </c>
      <c r="G94" s="28">
        <v>0</v>
      </c>
      <c r="H94" s="101">
        <f t="shared" si="9"/>
        <v>45069</v>
      </c>
      <c r="I94" s="70">
        <v>0</v>
      </c>
      <c r="J94"/>
      <c r="K94" s="49"/>
      <c r="L94" s="4"/>
      <c r="M94" s="4"/>
      <c r="N94" s="4"/>
      <c r="O94" s="4"/>
      <c r="P94" s="4"/>
      <c r="Q94" s="4"/>
      <c r="R94" s="4"/>
      <c r="S94" s="4"/>
      <c r="T94" s="4"/>
      <c r="U94" s="4"/>
      <c r="V94" s="4"/>
      <c r="W94" s="4"/>
      <c r="X94" s="4"/>
      <c r="Y94" s="4"/>
      <c r="Z94" s="4"/>
      <c r="AA94" s="4"/>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50"/>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row>
    <row r="95" spans="1:205" s="5" customFormat="1" ht="15.75" x14ac:dyDescent="0.25">
      <c r="A95" s="59" t="s">
        <v>135</v>
      </c>
      <c r="B95" s="23" t="s">
        <v>362</v>
      </c>
      <c r="C95" s="36" t="s">
        <v>125</v>
      </c>
      <c r="D95" s="30" t="s">
        <v>74</v>
      </c>
      <c r="E95" s="29"/>
      <c r="F95" s="101">
        <v>45070</v>
      </c>
      <c r="G95" s="28">
        <v>0</v>
      </c>
      <c r="H95" s="101">
        <f t="shared" si="9"/>
        <v>45069</v>
      </c>
      <c r="I95" s="70">
        <v>0</v>
      </c>
      <c r="J95"/>
      <c r="K95" s="49"/>
      <c r="L95" s="4"/>
      <c r="M95" s="4"/>
      <c r="N95" s="4"/>
      <c r="O95" s="4"/>
      <c r="P95" s="4"/>
      <c r="Q95" s="4"/>
      <c r="R95" s="4"/>
      <c r="S95" s="4"/>
      <c r="T95" s="4"/>
      <c r="U95" s="4"/>
      <c r="V95" s="4"/>
      <c r="W95" s="4"/>
      <c r="X95" s="4"/>
      <c r="Y95" s="4"/>
      <c r="Z95" s="4"/>
      <c r="AA95" s="4"/>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c r="BB95" s="7"/>
      <c r="BC95" s="7"/>
      <c r="BD95" s="7"/>
      <c r="BE95" s="7"/>
      <c r="BF95" s="7"/>
      <c r="BG95" s="7"/>
      <c r="BH95" s="7"/>
      <c r="BI95" s="7"/>
      <c r="BJ95" s="7"/>
      <c r="BK95" s="50"/>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row>
    <row r="96" spans="1:205" s="5" customFormat="1" ht="15.75" x14ac:dyDescent="0.25">
      <c r="A96" s="59" t="s">
        <v>136</v>
      </c>
      <c r="B96" s="23" t="s">
        <v>362</v>
      </c>
      <c r="C96" s="36" t="s">
        <v>125</v>
      </c>
      <c r="D96" s="30" t="s">
        <v>43</v>
      </c>
      <c r="E96" s="29"/>
      <c r="F96" s="101">
        <v>45070</v>
      </c>
      <c r="G96" s="28">
        <v>0</v>
      </c>
      <c r="H96" s="101">
        <f t="shared" si="9"/>
        <v>45069</v>
      </c>
      <c r="I96" s="70">
        <v>0</v>
      </c>
      <c r="J96"/>
      <c r="K96" s="49"/>
      <c r="L96" s="4"/>
      <c r="M96" s="4"/>
      <c r="N96" s="4"/>
      <c r="O96" s="4"/>
      <c r="P96" s="4"/>
      <c r="Q96" s="4"/>
      <c r="R96" s="4"/>
      <c r="S96" s="4"/>
      <c r="T96" s="4"/>
      <c r="U96" s="4"/>
      <c r="V96" s="4"/>
      <c r="W96" s="4"/>
      <c r="X96" s="4"/>
      <c r="Y96" s="4"/>
      <c r="Z96" s="4"/>
      <c r="AA96" s="4"/>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50"/>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row>
    <row r="97" spans="1:205" s="5" customFormat="1" ht="15.75" x14ac:dyDescent="0.25">
      <c r="A97" s="59" t="s">
        <v>137</v>
      </c>
      <c r="B97" s="23" t="s">
        <v>362</v>
      </c>
      <c r="C97" s="36" t="s">
        <v>125</v>
      </c>
      <c r="D97" s="30" t="s">
        <v>45</v>
      </c>
      <c r="E97" s="29"/>
      <c r="F97" s="101">
        <v>45070</v>
      </c>
      <c r="G97" s="28">
        <v>0</v>
      </c>
      <c r="H97" s="101">
        <f t="shared" si="9"/>
        <v>45069</v>
      </c>
      <c r="I97" s="70">
        <v>0</v>
      </c>
      <c r="J97"/>
      <c r="K97" s="49"/>
      <c r="L97" s="4"/>
      <c r="M97" s="4"/>
      <c r="N97" s="4"/>
      <c r="O97" s="4"/>
      <c r="P97" s="4"/>
      <c r="Q97" s="4"/>
      <c r="R97" s="4"/>
      <c r="S97" s="4"/>
      <c r="T97" s="4"/>
      <c r="U97" s="4"/>
      <c r="V97" s="4"/>
      <c r="W97" s="4"/>
      <c r="X97" s="4"/>
      <c r="Y97" s="4"/>
      <c r="Z97" s="4"/>
      <c r="AA97" s="4"/>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c r="BB97" s="7"/>
      <c r="BC97" s="7"/>
      <c r="BD97" s="7"/>
      <c r="BE97" s="7"/>
      <c r="BF97" s="7"/>
      <c r="BG97" s="7"/>
      <c r="BH97" s="7"/>
      <c r="BI97" s="7"/>
      <c r="BJ97" s="7"/>
      <c r="BK97" s="50"/>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row>
    <row r="98" spans="1:205" s="5" customFormat="1" ht="15.75" x14ac:dyDescent="0.25">
      <c r="A98" s="59" t="s">
        <v>138</v>
      </c>
      <c r="B98" s="23" t="s">
        <v>362</v>
      </c>
      <c r="C98" s="36" t="s">
        <v>125</v>
      </c>
      <c r="D98" s="30" t="s">
        <v>47</v>
      </c>
      <c r="E98" s="29"/>
      <c r="F98" s="101">
        <v>45070</v>
      </c>
      <c r="G98" s="28">
        <v>0</v>
      </c>
      <c r="H98" s="101">
        <f t="shared" si="9"/>
        <v>45069</v>
      </c>
      <c r="I98" s="70">
        <v>0</v>
      </c>
      <c r="J98"/>
      <c r="K98" s="49"/>
      <c r="L98" s="4"/>
      <c r="M98" s="4"/>
      <c r="N98" s="4"/>
      <c r="O98" s="4"/>
      <c r="P98" s="4"/>
      <c r="Q98" s="4"/>
      <c r="R98" s="4"/>
      <c r="S98" s="4"/>
      <c r="T98" s="4"/>
      <c r="U98" s="4"/>
      <c r="V98" s="4"/>
      <c r="W98" s="4"/>
      <c r="X98" s="4"/>
      <c r="Y98" s="4"/>
      <c r="Z98" s="4"/>
      <c r="AA98" s="4"/>
      <c r="AB98" s="7"/>
      <c r="AC98" s="7"/>
      <c r="AD98" s="7"/>
      <c r="AE98" s="7"/>
      <c r="AF98" s="7"/>
      <c r="AG98" s="7"/>
      <c r="AH98" s="7"/>
      <c r="AI98" s="7"/>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50"/>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row>
    <row r="99" spans="1:205" s="5" customFormat="1" ht="15.75" x14ac:dyDescent="0.25">
      <c r="A99" s="59" t="s">
        <v>139</v>
      </c>
      <c r="B99" s="23" t="s">
        <v>362</v>
      </c>
      <c r="C99" s="36" t="s">
        <v>125</v>
      </c>
      <c r="D99" s="30" t="s">
        <v>49</v>
      </c>
      <c r="E99" s="29"/>
      <c r="F99" s="101">
        <v>45070</v>
      </c>
      <c r="G99" s="28">
        <v>0</v>
      </c>
      <c r="H99" s="101">
        <f t="shared" si="9"/>
        <v>45069</v>
      </c>
      <c r="I99" s="70">
        <v>0</v>
      </c>
      <c r="J99"/>
      <c r="K99" s="49"/>
      <c r="L99" s="4"/>
      <c r="M99" s="4"/>
      <c r="N99" s="4"/>
      <c r="O99" s="4"/>
      <c r="P99" s="4"/>
      <c r="Q99" s="4"/>
      <c r="R99" s="4"/>
      <c r="S99" s="4"/>
      <c r="T99" s="4"/>
      <c r="U99" s="4"/>
      <c r="V99" s="4"/>
      <c r="W99" s="4"/>
      <c r="X99" s="4"/>
      <c r="Y99" s="4"/>
      <c r="Z99" s="4"/>
      <c r="AA99" s="4"/>
      <c r="AB99" s="7"/>
      <c r="AC99" s="7"/>
      <c r="AD99" s="7"/>
      <c r="AE99" s="7"/>
      <c r="AF99" s="7"/>
      <c r="AG99" s="7"/>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50"/>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row>
    <row r="100" spans="1:205" s="5" customFormat="1" ht="15.75" x14ac:dyDescent="0.25">
      <c r="A100" s="59" t="s">
        <v>140</v>
      </c>
      <c r="B100" s="23" t="s">
        <v>362</v>
      </c>
      <c r="C100" s="36" t="s">
        <v>125</v>
      </c>
      <c r="D100" s="30" t="s">
        <v>41</v>
      </c>
      <c r="E100" s="29"/>
      <c r="F100" s="101">
        <v>45070</v>
      </c>
      <c r="G100" s="28">
        <v>0</v>
      </c>
      <c r="H100" s="101">
        <f t="shared" si="9"/>
        <v>45069</v>
      </c>
      <c r="I100" s="70">
        <v>0</v>
      </c>
      <c r="J100"/>
      <c r="K100" s="49"/>
      <c r="L100" s="4"/>
      <c r="M100" s="4"/>
      <c r="N100" s="4"/>
      <c r="O100" s="4"/>
      <c r="P100" s="4"/>
      <c r="Q100" s="4"/>
      <c r="R100" s="4"/>
      <c r="S100" s="4"/>
      <c r="T100" s="4"/>
      <c r="U100" s="4"/>
      <c r="V100" s="4"/>
      <c r="W100" s="4"/>
      <c r="X100" s="4"/>
      <c r="Y100" s="4"/>
      <c r="Z100" s="4"/>
      <c r="AA100" s="4"/>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50"/>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row>
    <row r="101" spans="1:205" s="5" customFormat="1" ht="15.75" x14ac:dyDescent="0.25">
      <c r="A101" s="59" t="s">
        <v>141</v>
      </c>
      <c r="B101" s="23" t="s">
        <v>363</v>
      </c>
      <c r="C101" s="36" t="s">
        <v>142</v>
      </c>
      <c r="D101" s="30" t="s">
        <v>54</v>
      </c>
      <c r="E101" s="29"/>
      <c r="F101" s="101">
        <v>44965</v>
      </c>
      <c r="G101" s="28">
        <v>0</v>
      </c>
      <c r="H101" s="101">
        <f t="shared" si="9"/>
        <v>44964</v>
      </c>
      <c r="I101" s="70">
        <v>0</v>
      </c>
      <c r="J101"/>
      <c r="K101" s="49"/>
      <c r="L101" s="4"/>
      <c r="M101" s="4"/>
      <c r="N101" s="4"/>
      <c r="O101" s="4"/>
      <c r="P101" s="4"/>
      <c r="Q101" s="4"/>
      <c r="R101" s="4"/>
      <c r="S101" s="4"/>
      <c r="T101" s="4"/>
      <c r="U101" s="4"/>
      <c r="V101" s="4"/>
      <c r="W101" s="4"/>
      <c r="X101" s="4"/>
      <c r="Y101" s="4"/>
      <c r="Z101" s="4"/>
      <c r="AA101" s="4"/>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50"/>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row>
    <row r="102" spans="1:205" s="5" customFormat="1" ht="15.75" x14ac:dyDescent="0.25">
      <c r="A102" s="59" t="s">
        <v>143</v>
      </c>
      <c r="B102" s="23" t="s">
        <v>363</v>
      </c>
      <c r="C102" s="36" t="s">
        <v>142</v>
      </c>
      <c r="D102" s="30" t="s">
        <v>56</v>
      </c>
      <c r="E102" s="29"/>
      <c r="F102" s="101">
        <v>44965</v>
      </c>
      <c r="G102" s="28">
        <v>0</v>
      </c>
      <c r="H102" s="101">
        <f t="shared" si="9"/>
        <v>44964</v>
      </c>
      <c r="I102" s="70">
        <v>0</v>
      </c>
      <c r="J102"/>
      <c r="K102" s="49"/>
      <c r="L102" s="4"/>
      <c r="M102" s="4"/>
      <c r="N102" s="4"/>
      <c r="O102" s="4"/>
      <c r="P102" s="4"/>
      <c r="Q102" s="4"/>
      <c r="R102" s="4"/>
      <c r="S102" s="4"/>
      <c r="T102" s="4"/>
      <c r="U102" s="4"/>
      <c r="V102" s="4"/>
      <c r="W102" s="4"/>
      <c r="X102" s="4"/>
      <c r="Y102" s="4"/>
      <c r="Z102" s="4"/>
      <c r="AA102" s="4"/>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50"/>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row>
    <row r="103" spans="1:205" s="5" customFormat="1" ht="15.75" x14ac:dyDescent="0.25">
      <c r="A103" s="59" t="s">
        <v>144</v>
      </c>
      <c r="B103" s="23" t="s">
        <v>363</v>
      </c>
      <c r="C103" s="36" t="s">
        <v>142</v>
      </c>
      <c r="D103" s="30" t="s">
        <v>62</v>
      </c>
      <c r="E103" s="29"/>
      <c r="F103" s="101">
        <v>44965</v>
      </c>
      <c r="G103" s="28">
        <v>0</v>
      </c>
      <c r="H103" s="101">
        <f t="shared" si="9"/>
        <v>44964</v>
      </c>
      <c r="I103" s="70">
        <v>0</v>
      </c>
      <c r="J103"/>
      <c r="K103" s="49"/>
      <c r="L103" s="4"/>
      <c r="M103" s="4"/>
      <c r="N103" s="4"/>
      <c r="O103" s="4"/>
      <c r="P103" s="4"/>
      <c r="Q103" s="4"/>
      <c r="R103" s="4"/>
      <c r="S103" s="4"/>
      <c r="T103" s="4"/>
      <c r="U103" s="4"/>
      <c r="V103" s="4"/>
      <c r="W103" s="4"/>
      <c r="X103" s="4"/>
      <c r="Y103" s="4"/>
      <c r="Z103" s="4"/>
      <c r="AA103" s="4"/>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50"/>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row>
    <row r="104" spans="1:205" s="5" customFormat="1" ht="15.75" x14ac:dyDescent="0.25">
      <c r="A104" s="59" t="s">
        <v>145</v>
      </c>
      <c r="B104" s="23" t="s">
        <v>363</v>
      </c>
      <c r="C104" s="36" t="s">
        <v>142</v>
      </c>
      <c r="D104" s="30" t="s">
        <v>64</v>
      </c>
      <c r="E104" s="29"/>
      <c r="F104" s="101">
        <v>44965</v>
      </c>
      <c r="G104" s="28">
        <v>0</v>
      </c>
      <c r="H104" s="101">
        <f t="shared" si="9"/>
        <v>44964</v>
      </c>
      <c r="I104" s="70">
        <v>0</v>
      </c>
      <c r="J104"/>
      <c r="K104" s="49"/>
      <c r="L104" s="4"/>
      <c r="M104" s="4"/>
      <c r="N104" s="4"/>
      <c r="O104" s="4"/>
      <c r="P104" s="4"/>
      <c r="Q104" s="4"/>
      <c r="R104" s="4"/>
      <c r="S104" s="4"/>
      <c r="T104" s="4"/>
      <c r="U104" s="4"/>
      <c r="V104" s="4"/>
      <c r="W104" s="4"/>
      <c r="X104" s="4"/>
      <c r="Y104" s="4"/>
      <c r="Z104" s="4"/>
      <c r="AA104" s="4"/>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50"/>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row>
    <row r="105" spans="1:205" s="5" customFormat="1" ht="15.75" x14ac:dyDescent="0.25">
      <c r="A105" s="59" t="s">
        <v>146</v>
      </c>
      <c r="B105" s="23" t="s">
        <v>363</v>
      </c>
      <c r="C105" s="36" t="s">
        <v>142</v>
      </c>
      <c r="D105" s="30" t="s">
        <v>58</v>
      </c>
      <c r="E105" s="29"/>
      <c r="F105" s="101">
        <v>44965</v>
      </c>
      <c r="G105" s="28">
        <v>0</v>
      </c>
      <c r="H105" s="101">
        <f t="shared" si="9"/>
        <v>44964</v>
      </c>
      <c r="I105" s="70">
        <v>0</v>
      </c>
      <c r="J105"/>
      <c r="K105" s="49"/>
      <c r="L105" s="4"/>
      <c r="M105" s="4"/>
      <c r="N105" s="4"/>
      <c r="O105" s="4"/>
      <c r="P105" s="4"/>
      <c r="Q105" s="4"/>
      <c r="R105" s="4"/>
      <c r="S105" s="4"/>
      <c r="T105" s="4"/>
      <c r="U105" s="4"/>
      <c r="V105" s="4"/>
      <c r="W105" s="4"/>
      <c r="X105" s="4"/>
      <c r="Y105" s="4"/>
      <c r="Z105" s="4"/>
      <c r="AA105" s="4"/>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50"/>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row>
    <row r="106" spans="1:205" s="5" customFormat="1" ht="15.75" x14ac:dyDescent="0.25">
      <c r="A106" s="59" t="s">
        <v>147</v>
      </c>
      <c r="B106" s="23" t="s">
        <v>363</v>
      </c>
      <c r="C106" s="36" t="s">
        <v>142</v>
      </c>
      <c r="D106" s="30" t="s">
        <v>60</v>
      </c>
      <c r="E106" s="29"/>
      <c r="F106" s="101">
        <v>44965</v>
      </c>
      <c r="G106" s="28">
        <v>0</v>
      </c>
      <c r="H106" s="101">
        <f t="shared" si="9"/>
        <v>44964</v>
      </c>
      <c r="I106" s="70">
        <v>0</v>
      </c>
      <c r="J106"/>
      <c r="K106" s="49"/>
      <c r="L106" s="4"/>
      <c r="M106" s="4"/>
      <c r="N106" s="4"/>
      <c r="O106" s="4"/>
      <c r="P106" s="4"/>
      <c r="Q106" s="4"/>
      <c r="R106" s="4"/>
      <c r="S106" s="4"/>
      <c r="T106" s="4"/>
      <c r="U106" s="4"/>
      <c r="V106" s="4"/>
      <c r="W106" s="4"/>
      <c r="X106" s="4"/>
      <c r="Y106" s="4"/>
      <c r="Z106" s="4"/>
      <c r="AA106" s="4"/>
      <c r="AB106" s="7"/>
      <c r="AC106" s="7"/>
      <c r="AD106" s="7"/>
      <c r="AE106" s="7"/>
      <c r="AF106" s="7"/>
      <c r="AG106" s="7"/>
      <c r="AH106" s="7"/>
      <c r="AI106" s="7"/>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50"/>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row>
    <row r="107" spans="1:205" s="5" customFormat="1" ht="15.75" x14ac:dyDescent="0.25">
      <c r="A107" s="59" t="s">
        <v>148</v>
      </c>
      <c r="B107" s="23" t="s">
        <v>363</v>
      </c>
      <c r="C107" s="36" t="s">
        <v>142</v>
      </c>
      <c r="D107" s="30" t="s">
        <v>66</v>
      </c>
      <c r="E107" s="29"/>
      <c r="F107" s="101">
        <v>44965</v>
      </c>
      <c r="G107" s="28">
        <v>0</v>
      </c>
      <c r="H107" s="101">
        <f t="shared" si="9"/>
        <v>44964</v>
      </c>
      <c r="I107" s="70">
        <v>0</v>
      </c>
      <c r="J107"/>
      <c r="K107" s="49"/>
      <c r="L107" s="4"/>
      <c r="M107" s="4"/>
      <c r="N107" s="4"/>
      <c r="O107" s="4"/>
      <c r="P107" s="4"/>
      <c r="Q107" s="4"/>
      <c r="R107" s="4"/>
      <c r="S107" s="4"/>
      <c r="T107" s="4"/>
      <c r="U107" s="4"/>
      <c r="V107" s="4"/>
      <c r="W107" s="4"/>
      <c r="X107" s="4"/>
      <c r="Y107" s="4"/>
      <c r="Z107" s="4"/>
      <c r="AA107" s="4"/>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50"/>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row>
    <row r="108" spans="1:205" s="5" customFormat="1" ht="15.75" x14ac:dyDescent="0.25">
      <c r="A108" s="59" t="s">
        <v>149</v>
      </c>
      <c r="B108" s="23" t="s">
        <v>363</v>
      </c>
      <c r="C108" s="36" t="s">
        <v>142</v>
      </c>
      <c r="D108" s="30" t="s">
        <v>68</v>
      </c>
      <c r="E108" s="29"/>
      <c r="F108" s="101">
        <v>44965</v>
      </c>
      <c r="G108" s="28">
        <v>0</v>
      </c>
      <c r="H108" s="101">
        <f t="shared" si="9"/>
        <v>44964</v>
      </c>
      <c r="I108" s="70">
        <v>0</v>
      </c>
      <c r="J108"/>
      <c r="K108" s="49"/>
      <c r="L108" s="4"/>
      <c r="M108" s="4"/>
      <c r="N108" s="4"/>
      <c r="O108" s="4"/>
      <c r="P108" s="4"/>
      <c r="Q108" s="4"/>
      <c r="R108" s="4"/>
      <c r="S108" s="4"/>
      <c r="T108" s="4"/>
      <c r="U108" s="4"/>
      <c r="V108" s="4"/>
      <c r="W108" s="4"/>
      <c r="X108" s="4"/>
      <c r="Y108" s="4"/>
      <c r="Z108" s="4"/>
      <c r="AA108" s="4"/>
      <c r="AB108" s="7"/>
      <c r="AC108" s="7"/>
      <c r="AD108" s="7"/>
      <c r="AE108" s="7"/>
      <c r="AF108" s="7"/>
      <c r="AG108" s="7"/>
      <c r="AH108" s="7"/>
      <c r="AI108" s="7"/>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50"/>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row>
    <row r="109" spans="1:205" s="5" customFormat="1" ht="15.75" x14ac:dyDescent="0.25">
      <c r="A109" s="59" t="s">
        <v>150</v>
      </c>
      <c r="B109" s="23" t="s">
        <v>363</v>
      </c>
      <c r="C109" s="36" t="s">
        <v>142</v>
      </c>
      <c r="D109" s="30" t="s">
        <v>70</v>
      </c>
      <c r="E109" s="29"/>
      <c r="F109" s="101">
        <v>44965</v>
      </c>
      <c r="G109" s="28">
        <v>0</v>
      </c>
      <c r="H109" s="101">
        <f t="shared" si="9"/>
        <v>44964</v>
      </c>
      <c r="I109" s="70">
        <v>0</v>
      </c>
      <c r="J109"/>
      <c r="K109" s="49"/>
      <c r="L109" s="4"/>
      <c r="M109" s="4"/>
      <c r="N109" s="4"/>
      <c r="O109" s="4"/>
      <c r="P109" s="4"/>
      <c r="Q109" s="4"/>
      <c r="R109" s="4"/>
      <c r="S109" s="4"/>
      <c r="T109" s="4"/>
      <c r="U109" s="4"/>
      <c r="V109" s="4"/>
      <c r="W109" s="4"/>
      <c r="X109" s="4"/>
      <c r="Y109" s="4"/>
      <c r="Z109" s="4"/>
      <c r="AA109" s="4"/>
      <c r="AB109" s="7"/>
      <c r="AC109" s="7"/>
      <c r="AD109" s="7"/>
      <c r="AE109" s="7"/>
      <c r="AF109" s="7"/>
      <c r="AG109" s="7"/>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50"/>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row>
    <row r="110" spans="1:205" s="5" customFormat="1" ht="15.75" x14ac:dyDescent="0.25">
      <c r="A110" s="59" t="s">
        <v>151</v>
      </c>
      <c r="B110" s="23" t="s">
        <v>363</v>
      </c>
      <c r="C110" s="36" t="s">
        <v>142</v>
      </c>
      <c r="D110" s="30" t="s">
        <v>72</v>
      </c>
      <c r="E110" s="29"/>
      <c r="F110" s="101">
        <v>44965</v>
      </c>
      <c r="G110" s="28">
        <v>0</v>
      </c>
      <c r="H110" s="101">
        <f t="shared" si="9"/>
        <v>44964</v>
      </c>
      <c r="I110" s="70">
        <v>0</v>
      </c>
      <c r="J110"/>
      <c r="K110" s="49"/>
      <c r="L110" s="4"/>
      <c r="M110" s="4"/>
      <c r="N110" s="4"/>
      <c r="O110" s="4"/>
      <c r="P110" s="4"/>
      <c r="Q110" s="4"/>
      <c r="R110" s="4"/>
      <c r="S110" s="4"/>
      <c r="T110" s="4"/>
      <c r="U110" s="4"/>
      <c r="V110" s="4"/>
      <c r="W110" s="4"/>
      <c r="X110" s="4"/>
      <c r="Y110" s="4"/>
      <c r="Z110" s="4"/>
      <c r="AA110" s="4"/>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50"/>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row>
    <row r="111" spans="1:205" s="5" customFormat="1" ht="15.75" x14ac:dyDescent="0.25">
      <c r="A111" s="59" t="s">
        <v>152</v>
      </c>
      <c r="B111" s="23" t="s">
        <v>363</v>
      </c>
      <c r="C111" s="36" t="s">
        <v>142</v>
      </c>
      <c r="D111" s="30" t="s">
        <v>74</v>
      </c>
      <c r="E111" s="29"/>
      <c r="F111" s="101">
        <v>44965</v>
      </c>
      <c r="G111" s="28">
        <v>0</v>
      </c>
      <c r="H111" s="101">
        <f t="shared" si="9"/>
        <v>44964</v>
      </c>
      <c r="I111" s="70">
        <v>0</v>
      </c>
      <c r="J111"/>
      <c r="K111" s="49"/>
      <c r="L111" s="4"/>
      <c r="M111" s="4"/>
      <c r="N111" s="4"/>
      <c r="O111" s="4"/>
      <c r="P111" s="4"/>
      <c r="Q111" s="4"/>
      <c r="R111" s="4"/>
      <c r="S111" s="4"/>
      <c r="T111" s="4"/>
      <c r="U111" s="4"/>
      <c r="V111" s="4"/>
      <c r="W111" s="4"/>
      <c r="X111" s="4"/>
      <c r="Y111" s="4"/>
      <c r="Z111" s="4"/>
      <c r="AA111" s="4"/>
      <c r="AB111" s="7"/>
      <c r="AC111" s="7"/>
      <c r="AD111" s="7"/>
      <c r="AE111" s="7"/>
      <c r="AF111" s="7"/>
      <c r="AG111" s="7"/>
      <c r="AH111" s="7"/>
      <c r="AI111" s="7"/>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50"/>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row>
    <row r="112" spans="1:205" s="5" customFormat="1" ht="15.75" x14ac:dyDescent="0.25">
      <c r="A112" s="59" t="s">
        <v>153</v>
      </c>
      <c r="B112" s="23" t="s">
        <v>363</v>
      </c>
      <c r="C112" s="36" t="s">
        <v>142</v>
      </c>
      <c r="D112" s="30" t="s">
        <v>43</v>
      </c>
      <c r="E112" s="29"/>
      <c r="F112" s="101">
        <v>44965</v>
      </c>
      <c r="G112" s="28">
        <v>0</v>
      </c>
      <c r="H112" s="101">
        <f t="shared" si="9"/>
        <v>44964</v>
      </c>
      <c r="I112" s="70">
        <v>0</v>
      </c>
      <c r="J112"/>
      <c r="K112" s="49"/>
      <c r="L112" s="4"/>
      <c r="M112" s="4"/>
      <c r="N112" s="4"/>
      <c r="O112" s="4"/>
      <c r="P112" s="4"/>
      <c r="Q112" s="4"/>
      <c r="R112" s="4"/>
      <c r="S112" s="4"/>
      <c r="T112" s="4"/>
      <c r="U112" s="4"/>
      <c r="V112" s="4"/>
      <c r="W112" s="4"/>
      <c r="X112" s="4"/>
      <c r="Y112" s="4"/>
      <c r="Z112" s="4"/>
      <c r="AA112" s="4"/>
      <c r="AB112" s="7"/>
      <c r="AC112" s="7"/>
      <c r="AD112" s="7"/>
      <c r="AE112" s="7"/>
      <c r="AF112" s="7"/>
      <c r="AG112" s="7"/>
      <c r="AH112" s="7"/>
      <c r="AI112" s="7"/>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50"/>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row>
    <row r="113" spans="1:205" s="5" customFormat="1" ht="15.75" x14ac:dyDescent="0.25">
      <c r="A113" s="59" t="s">
        <v>154</v>
      </c>
      <c r="B113" s="23" t="s">
        <v>363</v>
      </c>
      <c r="C113" s="36" t="s">
        <v>142</v>
      </c>
      <c r="D113" s="30" t="s">
        <v>45</v>
      </c>
      <c r="E113" s="29"/>
      <c r="F113" s="101">
        <v>44965</v>
      </c>
      <c r="G113" s="28">
        <v>0</v>
      </c>
      <c r="H113" s="101">
        <f t="shared" si="9"/>
        <v>44964</v>
      </c>
      <c r="I113" s="70">
        <v>0</v>
      </c>
      <c r="J113"/>
      <c r="K113" s="49"/>
      <c r="L113" s="4"/>
      <c r="M113" s="4"/>
      <c r="N113" s="4"/>
      <c r="O113" s="4"/>
      <c r="P113" s="4"/>
      <c r="Q113" s="4"/>
      <c r="R113" s="4"/>
      <c r="S113" s="4"/>
      <c r="T113" s="4"/>
      <c r="U113" s="4"/>
      <c r="V113" s="4"/>
      <c r="W113" s="4"/>
      <c r="X113" s="4"/>
      <c r="Y113" s="4"/>
      <c r="Z113" s="4"/>
      <c r="AA113" s="4"/>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F113" s="7"/>
      <c r="BG113" s="7"/>
      <c r="BH113" s="7"/>
      <c r="BI113" s="7"/>
      <c r="BJ113" s="7"/>
      <c r="BK113" s="50"/>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row>
    <row r="114" spans="1:205" s="5" customFormat="1" ht="15.75" x14ac:dyDescent="0.25">
      <c r="A114" s="59" t="s">
        <v>155</v>
      </c>
      <c r="B114" s="23" t="s">
        <v>363</v>
      </c>
      <c r="C114" s="36" t="s">
        <v>142</v>
      </c>
      <c r="D114" s="30" t="s">
        <v>47</v>
      </c>
      <c r="E114" s="29"/>
      <c r="F114" s="101">
        <v>44965</v>
      </c>
      <c r="G114" s="28">
        <v>0</v>
      </c>
      <c r="H114" s="101">
        <f t="shared" si="9"/>
        <v>44964</v>
      </c>
      <c r="I114" s="70">
        <v>0</v>
      </c>
      <c r="J114"/>
      <c r="K114" s="49"/>
      <c r="L114" s="4"/>
      <c r="M114" s="4"/>
      <c r="N114" s="4"/>
      <c r="O114" s="4"/>
      <c r="P114" s="4"/>
      <c r="Q114" s="4"/>
      <c r="R114" s="4"/>
      <c r="S114" s="4"/>
      <c r="T114" s="4"/>
      <c r="U114" s="4"/>
      <c r="V114" s="4"/>
      <c r="W114" s="4"/>
      <c r="X114" s="4"/>
      <c r="Y114" s="4"/>
      <c r="Z114" s="4"/>
      <c r="AA114" s="4"/>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50"/>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row>
    <row r="115" spans="1:205" s="5" customFormat="1" ht="15.75" x14ac:dyDescent="0.25">
      <c r="A115" s="59" t="s">
        <v>156</v>
      </c>
      <c r="B115" s="23" t="s">
        <v>363</v>
      </c>
      <c r="C115" s="36" t="s">
        <v>142</v>
      </c>
      <c r="D115" s="30" t="s">
        <v>49</v>
      </c>
      <c r="E115" s="29"/>
      <c r="F115" s="101">
        <v>44965</v>
      </c>
      <c r="G115" s="28">
        <v>0</v>
      </c>
      <c r="H115" s="101">
        <f t="shared" si="9"/>
        <v>44964</v>
      </c>
      <c r="I115" s="70">
        <v>0</v>
      </c>
      <c r="J115"/>
      <c r="K115" s="49"/>
      <c r="L115" s="4"/>
      <c r="M115" s="4"/>
      <c r="N115" s="4"/>
      <c r="O115" s="4"/>
      <c r="P115" s="4"/>
      <c r="Q115" s="4"/>
      <c r="R115" s="4"/>
      <c r="S115" s="4"/>
      <c r="T115" s="4"/>
      <c r="U115" s="4"/>
      <c r="V115" s="4"/>
      <c r="W115" s="4"/>
      <c r="X115" s="4"/>
      <c r="Y115" s="4"/>
      <c r="Z115" s="4"/>
      <c r="AA115" s="4"/>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50"/>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row>
    <row r="116" spans="1:205" s="5" customFormat="1" ht="15.75" x14ac:dyDescent="0.25">
      <c r="A116" s="59" t="s">
        <v>157</v>
      </c>
      <c r="B116" s="23" t="s">
        <v>363</v>
      </c>
      <c r="C116" s="36" t="s">
        <v>142</v>
      </c>
      <c r="D116" s="30" t="s">
        <v>41</v>
      </c>
      <c r="E116" s="29"/>
      <c r="F116" s="101">
        <v>44965</v>
      </c>
      <c r="G116" s="28">
        <v>0</v>
      </c>
      <c r="H116" s="101">
        <f t="shared" si="9"/>
        <v>44964</v>
      </c>
      <c r="I116" s="70">
        <v>0</v>
      </c>
      <c r="J116"/>
      <c r="K116" s="49"/>
      <c r="L116" s="4"/>
      <c r="M116" s="4"/>
      <c r="N116" s="4"/>
      <c r="O116" s="4"/>
      <c r="P116" s="4"/>
      <c r="Q116" s="4"/>
      <c r="R116" s="4"/>
      <c r="S116" s="4"/>
      <c r="T116" s="4"/>
      <c r="U116" s="4"/>
      <c r="V116" s="4"/>
      <c r="W116" s="4"/>
      <c r="X116" s="4"/>
      <c r="Y116" s="4"/>
      <c r="Z116" s="4"/>
      <c r="AA116" s="4"/>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50"/>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row>
    <row r="117" spans="1:205" s="5" customFormat="1" ht="15.75" x14ac:dyDescent="0.25">
      <c r="A117" s="59" t="s">
        <v>158</v>
      </c>
      <c r="B117" s="23" t="s">
        <v>364</v>
      </c>
      <c r="C117" s="36" t="s">
        <v>142</v>
      </c>
      <c r="D117" s="30" t="s">
        <v>70</v>
      </c>
      <c r="E117" s="29"/>
      <c r="F117" s="101">
        <v>44965</v>
      </c>
      <c r="G117" s="28">
        <v>0</v>
      </c>
      <c r="H117" s="101">
        <f t="shared" si="9"/>
        <v>44964</v>
      </c>
      <c r="I117" s="70">
        <v>0</v>
      </c>
      <c r="J117"/>
      <c r="K117" s="49"/>
      <c r="L117" s="4"/>
      <c r="M117" s="4"/>
      <c r="N117" s="4"/>
      <c r="O117" s="4"/>
      <c r="P117" s="4"/>
      <c r="Q117" s="4"/>
      <c r="R117" s="4"/>
      <c r="S117" s="4"/>
      <c r="T117" s="4"/>
      <c r="U117" s="4"/>
      <c r="V117" s="4"/>
      <c r="W117" s="4"/>
      <c r="X117" s="4"/>
      <c r="Y117" s="4"/>
      <c r="Z117" s="4"/>
      <c r="AA117" s="4"/>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50"/>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row>
    <row r="118" spans="1:205" s="5" customFormat="1" ht="15.75" x14ac:dyDescent="0.25">
      <c r="A118" s="59" t="s">
        <v>159</v>
      </c>
      <c r="B118" s="23" t="s">
        <v>364</v>
      </c>
      <c r="C118" s="36" t="s">
        <v>142</v>
      </c>
      <c r="D118" s="30" t="s">
        <v>72</v>
      </c>
      <c r="E118" s="29"/>
      <c r="F118" s="101">
        <v>44965</v>
      </c>
      <c r="G118" s="28">
        <v>0</v>
      </c>
      <c r="H118" s="101">
        <f t="shared" si="9"/>
        <v>44964</v>
      </c>
      <c r="I118" s="70">
        <v>0</v>
      </c>
      <c r="J118"/>
      <c r="K118" s="49"/>
      <c r="L118" s="4"/>
      <c r="M118" s="4"/>
      <c r="N118" s="4"/>
      <c r="O118" s="4"/>
      <c r="P118" s="4"/>
      <c r="Q118" s="4"/>
      <c r="R118" s="4"/>
      <c r="S118" s="4"/>
      <c r="T118" s="4"/>
      <c r="U118" s="4"/>
      <c r="V118" s="4"/>
      <c r="W118" s="4"/>
      <c r="X118" s="4"/>
      <c r="Y118" s="4"/>
      <c r="Z118" s="4"/>
      <c r="AA118" s="4"/>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50"/>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row>
    <row r="119" spans="1:205" s="5" customFormat="1" ht="15.75" x14ac:dyDescent="0.25">
      <c r="A119" s="59" t="s">
        <v>160</v>
      </c>
      <c r="B119" s="23" t="s">
        <v>365</v>
      </c>
      <c r="C119" s="36" t="s">
        <v>161</v>
      </c>
      <c r="D119" s="30" t="s">
        <v>76</v>
      </c>
      <c r="E119" s="29"/>
      <c r="F119" s="101">
        <v>44964</v>
      </c>
      <c r="G119" s="28">
        <v>0</v>
      </c>
      <c r="H119" s="101">
        <f t="shared" si="9"/>
        <v>44963</v>
      </c>
      <c r="I119" s="70">
        <v>0</v>
      </c>
      <c r="J119"/>
      <c r="K119" s="49"/>
      <c r="L119" s="4"/>
      <c r="M119" s="4"/>
      <c r="N119" s="4"/>
      <c r="O119" s="4"/>
      <c r="P119" s="4"/>
      <c r="Q119" s="4"/>
      <c r="R119" s="4"/>
      <c r="S119" s="4"/>
      <c r="T119" s="4"/>
      <c r="U119" s="4"/>
      <c r="V119" s="4"/>
      <c r="W119" s="4"/>
      <c r="X119" s="4"/>
      <c r="Y119" s="4"/>
      <c r="Z119" s="4"/>
      <c r="AA119" s="4"/>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50"/>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row>
    <row r="120" spans="1:205" s="5" customFormat="1" ht="15.75" x14ac:dyDescent="0.25">
      <c r="A120" s="59" t="s">
        <v>162</v>
      </c>
      <c r="B120" s="23" t="s">
        <v>366</v>
      </c>
      <c r="C120" s="36" t="s">
        <v>160</v>
      </c>
      <c r="D120" s="30" t="s">
        <v>163</v>
      </c>
      <c r="E120" s="29" t="s">
        <v>395</v>
      </c>
      <c r="F120" s="101">
        <v>44961</v>
      </c>
      <c r="G120" s="28">
        <v>0</v>
      </c>
      <c r="H120" s="101">
        <f t="shared" si="9"/>
        <v>44960</v>
      </c>
      <c r="I120" s="70">
        <v>0</v>
      </c>
      <c r="J120"/>
      <c r="K120" s="49"/>
      <c r="L120" s="4"/>
      <c r="M120" s="4"/>
      <c r="N120" s="4"/>
      <c r="O120" s="4"/>
      <c r="P120" s="4"/>
      <c r="Q120" s="4"/>
      <c r="R120" s="4"/>
      <c r="S120" s="4"/>
      <c r="T120" s="4"/>
      <c r="U120" s="4"/>
      <c r="V120" s="4"/>
      <c r="W120" s="4"/>
      <c r="X120" s="4"/>
      <c r="Y120" s="4"/>
      <c r="Z120" s="4"/>
      <c r="AA120" s="4"/>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50"/>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row>
    <row r="121" spans="1:205" s="5" customFormat="1" ht="15.75" x14ac:dyDescent="0.25">
      <c r="A121" s="59" t="s">
        <v>164</v>
      </c>
      <c r="B121" s="23" t="s">
        <v>367</v>
      </c>
      <c r="C121" s="36" t="s">
        <v>162</v>
      </c>
      <c r="D121" s="30" t="s">
        <v>165</v>
      </c>
      <c r="E121" s="29"/>
      <c r="F121" s="101">
        <v>44960</v>
      </c>
      <c r="G121" s="28">
        <v>0</v>
      </c>
      <c r="H121" s="101">
        <f t="shared" si="9"/>
        <v>44959</v>
      </c>
      <c r="I121" s="70">
        <v>0</v>
      </c>
      <c r="J121"/>
      <c r="K121" s="49"/>
      <c r="L121" s="4"/>
      <c r="M121" s="4"/>
      <c r="N121" s="4"/>
      <c r="O121" s="4"/>
      <c r="P121" s="4"/>
      <c r="Q121" s="4"/>
      <c r="R121" s="4"/>
      <c r="S121" s="4"/>
      <c r="T121" s="4"/>
      <c r="U121" s="4"/>
      <c r="V121" s="4"/>
      <c r="W121" s="4"/>
      <c r="X121" s="4"/>
      <c r="Y121" s="4"/>
      <c r="Z121" s="4"/>
      <c r="AA121" s="4"/>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50"/>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row>
    <row r="122" spans="1:205" s="5" customFormat="1" ht="30" x14ac:dyDescent="0.25">
      <c r="A122" s="59" t="s">
        <v>166</v>
      </c>
      <c r="B122" s="23" t="s">
        <v>368</v>
      </c>
      <c r="C122" s="36" t="s">
        <v>164</v>
      </c>
      <c r="D122" s="30" t="s">
        <v>54</v>
      </c>
      <c r="E122" s="29"/>
      <c r="F122" s="101">
        <v>44959</v>
      </c>
      <c r="G122" s="28">
        <v>38</v>
      </c>
      <c r="H122" s="101">
        <f t="shared" si="9"/>
        <v>45012</v>
      </c>
      <c r="I122" s="70">
        <v>0</v>
      </c>
      <c r="J122"/>
      <c r="K122" s="49"/>
      <c r="L122" s="4"/>
      <c r="M122" s="4"/>
      <c r="N122" s="4"/>
      <c r="O122" s="4"/>
      <c r="P122" s="4"/>
      <c r="Q122" s="4"/>
      <c r="R122" s="4"/>
      <c r="S122" s="4"/>
      <c r="T122" s="4"/>
      <c r="U122" s="4"/>
      <c r="V122" s="4"/>
      <c r="W122" s="4"/>
      <c r="X122" s="4"/>
      <c r="Y122" s="4"/>
      <c r="Z122" s="4"/>
      <c r="AA122" s="4"/>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50"/>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row>
    <row r="123" spans="1:205" s="5" customFormat="1" ht="30" x14ac:dyDescent="0.25">
      <c r="A123" s="59" t="s">
        <v>167</v>
      </c>
      <c r="B123" s="23" t="s">
        <v>368</v>
      </c>
      <c r="C123" s="36" t="s">
        <v>164</v>
      </c>
      <c r="D123" s="30" t="s">
        <v>56</v>
      </c>
      <c r="E123" s="29"/>
      <c r="F123" s="101">
        <v>44959</v>
      </c>
      <c r="G123" s="28">
        <v>38</v>
      </c>
      <c r="H123" s="101">
        <f t="shared" si="9"/>
        <v>45012</v>
      </c>
      <c r="I123" s="70">
        <v>0</v>
      </c>
      <c r="J123"/>
      <c r="K123" s="49"/>
      <c r="L123" s="4"/>
      <c r="M123" s="4"/>
      <c r="N123" s="4"/>
      <c r="O123" s="4"/>
      <c r="P123" s="4"/>
      <c r="Q123" s="4"/>
      <c r="R123" s="4"/>
      <c r="S123" s="4"/>
      <c r="T123" s="4"/>
      <c r="U123" s="4"/>
      <c r="V123" s="4"/>
      <c r="W123" s="4"/>
      <c r="X123" s="4"/>
      <c r="Y123" s="4"/>
      <c r="Z123" s="4"/>
      <c r="AA123" s="4"/>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50"/>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row>
    <row r="124" spans="1:205" s="5" customFormat="1" ht="30" x14ac:dyDescent="0.25">
      <c r="A124" s="59" t="s">
        <v>168</v>
      </c>
      <c r="B124" s="23" t="s">
        <v>368</v>
      </c>
      <c r="C124" s="36" t="s">
        <v>164</v>
      </c>
      <c r="D124" s="30" t="s">
        <v>62</v>
      </c>
      <c r="E124" s="29"/>
      <c r="F124" s="101">
        <v>44959</v>
      </c>
      <c r="G124" s="28">
        <v>38</v>
      </c>
      <c r="H124" s="101">
        <f t="shared" si="9"/>
        <v>45012</v>
      </c>
      <c r="I124" s="70">
        <v>0</v>
      </c>
      <c r="J124"/>
      <c r="K124" s="49"/>
      <c r="L124" s="4"/>
      <c r="M124" s="4"/>
      <c r="N124" s="4"/>
      <c r="O124" s="4"/>
      <c r="P124" s="4"/>
      <c r="Q124" s="4"/>
      <c r="R124" s="4"/>
      <c r="S124" s="4"/>
      <c r="T124" s="4"/>
      <c r="U124" s="4"/>
      <c r="V124" s="4"/>
      <c r="W124" s="4"/>
      <c r="X124" s="4"/>
      <c r="Y124" s="4"/>
      <c r="Z124" s="4"/>
      <c r="AA124" s="4"/>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50"/>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row>
    <row r="125" spans="1:205" s="5" customFormat="1" ht="30" x14ac:dyDescent="0.25">
      <c r="A125" s="59" t="s">
        <v>169</v>
      </c>
      <c r="B125" s="23" t="s">
        <v>368</v>
      </c>
      <c r="C125" s="36" t="s">
        <v>164</v>
      </c>
      <c r="D125" s="30" t="s">
        <v>64</v>
      </c>
      <c r="E125" s="29"/>
      <c r="F125" s="101">
        <v>44959</v>
      </c>
      <c r="G125" s="28">
        <v>38</v>
      </c>
      <c r="H125" s="101">
        <f t="shared" si="9"/>
        <v>45012</v>
      </c>
      <c r="I125" s="70">
        <v>0</v>
      </c>
      <c r="J125"/>
      <c r="K125" s="49"/>
      <c r="L125" s="4"/>
      <c r="M125" s="4"/>
      <c r="N125" s="4"/>
      <c r="O125" s="4"/>
      <c r="P125" s="4"/>
      <c r="Q125" s="4"/>
      <c r="R125" s="4"/>
      <c r="S125" s="4"/>
      <c r="T125" s="4"/>
      <c r="U125" s="4"/>
      <c r="V125" s="4"/>
      <c r="W125" s="4"/>
      <c r="X125" s="4"/>
      <c r="Y125" s="4"/>
      <c r="Z125" s="4"/>
      <c r="AA125" s="4"/>
      <c r="AB125" s="7"/>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50"/>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row>
    <row r="126" spans="1:205" s="5" customFormat="1" ht="30" x14ac:dyDescent="0.25">
      <c r="A126" s="59" t="s">
        <v>170</v>
      </c>
      <c r="B126" s="23" t="s">
        <v>368</v>
      </c>
      <c r="C126" s="36" t="s">
        <v>164</v>
      </c>
      <c r="D126" s="30" t="s">
        <v>58</v>
      </c>
      <c r="E126" s="29"/>
      <c r="F126" s="101">
        <v>44959</v>
      </c>
      <c r="G126" s="28">
        <v>38</v>
      </c>
      <c r="H126" s="101">
        <f t="shared" si="9"/>
        <v>45012</v>
      </c>
      <c r="I126" s="70">
        <v>0</v>
      </c>
      <c r="J126"/>
      <c r="K126" s="49"/>
      <c r="L126" s="4"/>
      <c r="M126" s="4"/>
      <c r="N126" s="4"/>
      <c r="O126" s="4"/>
      <c r="P126" s="4"/>
      <c r="Q126" s="4"/>
      <c r="R126" s="4"/>
      <c r="S126" s="4"/>
      <c r="T126" s="4"/>
      <c r="U126" s="4"/>
      <c r="V126" s="4"/>
      <c r="W126" s="4"/>
      <c r="X126" s="4"/>
      <c r="Y126" s="4"/>
      <c r="Z126" s="4"/>
      <c r="AA126" s="4"/>
      <c r="AB126" s="7"/>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50"/>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row>
    <row r="127" spans="1:205" s="5" customFormat="1" ht="30" x14ac:dyDescent="0.25">
      <c r="A127" s="59" t="s">
        <v>171</v>
      </c>
      <c r="B127" s="23" t="s">
        <v>368</v>
      </c>
      <c r="C127" s="36" t="s">
        <v>164</v>
      </c>
      <c r="D127" s="30" t="s">
        <v>60</v>
      </c>
      <c r="E127" s="29"/>
      <c r="F127" s="101">
        <v>44959</v>
      </c>
      <c r="G127" s="28">
        <v>38</v>
      </c>
      <c r="H127" s="101">
        <f t="shared" ref="H127:H143" si="10">IF(F127="","",WORKDAY(IF(WEEKDAY(F127,1)=7,F127+2,IF(WEEKDAY(F127,1)=1,F127+1,F127)),G127-1,))</f>
        <v>45012</v>
      </c>
      <c r="I127" s="70">
        <v>0</v>
      </c>
      <c r="J127"/>
      <c r="K127" s="49"/>
      <c r="L127" s="4"/>
      <c r="M127" s="4"/>
      <c r="N127" s="4"/>
      <c r="O127" s="4"/>
      <c r="P127" s="4"/>
      <c r="Q127" s="4"/>
      <c r="R127" s="4"/>
      <c r="S127" s="4"/>
      <c r="T127" s="4"/>
      <c r="U127" s="4"/>
      <c r="V127" s="4"/>
      <c r="W127" s="4"/>
      <c r="X127" s="4"/>
      <c r="Y127" s="4"/>
      <c r="Z127" s="4"/>
      <c r="AA127" s="4"/>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50"/>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row>
    <row r="128" spans="1:205" s="5" customFormat="1" ht="30" x14ac:dyDescent="0.25">
      <c r="A128" s="59" t="s">
        <v>172</v>
      </c>
      <c r="B128" s="23" t="s">
        <v>368</v>
      </c>
      <c r="C128" s="36" t="s">
        <v>164</v>
      </c>
      <c r="D128" s="30" t="s">
        <v>66</v>
      </c>
      <c r="E128" s="29"/>
      <c r="F128" s="101">
        <v>44959</v>
      </c>
      <c r="G128" s="28">
        <v>38</v>
      </c>
      <c r="H128" s="101">
        <f t="shared" si="10"/>
        <v>45012</v>
      </c>
      <c r="I128" s="70">
        <v>0</v>
      </c>
      <c r="J128"/>
      <c r="K128" s="49"/>
      <c r="L128" s="4"/>
      <c r="M128" s="4"/>
      <c r="N128" s="4"/>
      <c r="O128" s="4"/>
      <c r="P128" s="4"/>
      <c r="Q128" s="4"/>
      <c r="R128" s="4"/>
      <c r="S128" s="4"/>
      <c r="T128" s="4"/>
      <c r="U128" s="4"/>
      <c r="V128" s="4"/>
      <c r="W128" s="4"/>
      <c r="X128" s="4"/>
      <c r="Y128" s="4"/>
      <c r="Z128" s="4"/>
      <c r="AA128" s="4"/>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50"/>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row>
    <row r="129" spans="1:205" s="5" customFormat="1" ht="30" x14ac:dyDescent="0.25">
      <c r="A129" s="59" t="s">
        <v>173</v>
      </c>
      <c r="B129" s="23" t="s">
        <v>368</v>
      </c>
      <c r="C129" s="36" t="s">
        <v>164</v>
      </c>
      <c r="D129" s="30" t="s">
        <v>68</v>
      </c>
      <c r="E129" s="29"/>
      <c r="F129" s="101">
        <v>44959</v>
      </c>
      <c r="G129" s="28">
        <v>38</v>
      </c>
      <c r="H129" s="101">
        <f t="shared" si="10"/>
        <v>45012</v>
      </c>
      <c r="I129" s="70">
        <v>0</v>
      </c>
      <c r="J129"/>
      <c r="K129" s="49"/>
      <c r="L129" s="4"/>
      <c r="M129" s="4"/>
      <c r="N129" s="4"/>
      <c r="O129" s="4"/>
      <c r="P129" s="4"/>
      <c r="Q129" s="4"/>
      <c r="R129" s="4"/>
      <c r="S129" s="4"/>
      <c r="T129" s="4"/>
      <c r="U129" s="4"/>
      <c r="V129" s="4"/>
      <c r="W129" s="4"/>
      <c r="X129" s="4"/>
      <c r="Y129" s="4"/>
      <c r="Z129" s="4"/>
      <c r="AA129" s="4"/>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50"/>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row>
    <row r="130" spans="1:205" s="5" customFormat="1" ht="30" x14ac:dyDescent="0.25">
      <c r="A130" s="59" t="s">
        <v>174</v>
      </c>
      <c r="B130" s="23" t="s">
        <v>368</v>
      </c>
      <c r="C130" s="36" t="s">
        <v>164</v>
      </c>
      <c r="D130" s="30" t="s">
        <v>70</v>
      </c>
      <c r="E130" s="29"/>
      <c r="F130" s="101">
        <v>44959</v>
      </c>
      <c r="G130" s="28">
        <v>38</v>
      </c>
      <c r="H130" s="101">
        <f t="shared" si="10"/>
        <v>45012</v>
      </c>
      <c r="I130" s="70">
        <v>0</v>
      </c>
      <c r="J130"/>
      <c r="K130" s="49"/>
      <c r="L130" s="4"/>
      <c r="M130" s="4"/>
      <c r="N130" s="4"/>
      <c r="O130" s="4"/>
      <c r="P130" s="4"/>
      <c r="Q130" s="4"/>
      <c r="R130" s="4"/>
      <c r="S130" s="4"/>
      <c r="T130" s="4"/>
      <c r="U130" s="4"/>
      <c r="V130" s="4"/>
      <c r="W130" s="4"/>
      <c r="X130" s="4"/>
      <c r="Y130" s="4"/>
      <c r="Z130" s="4"/>
      <c r="AA130" s="4"/>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50"/>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row>
    <row r="131" spans="1:205" s="5" customFormat="1" ht="30" x14ac:dyDescent="0.25">
      <c r="A131" s="59" t="s">
        <v>175</v>
      </c>
      <c r="B131" s="23" t="s">
        <v>368</v>
      </c>
      <c r="C131" s="36" t="s">
        <v>164</v>
      </c>
      <c r="D131" s="30" t="s">
        <v>72</v>
      </c>
      <c r="E131" s="29"/>
      <c r="F131" s="101">
        <v>44959</v>
      </c>
      <c r="G131" s="28">
        <v>38</v>
      </c>
      <c r="H131" s="101">
        <f t="shared" si="10"/>
        <v>45012</v>
      </c>
      <c r="I131" s="70">
        <v>0</v>
      </c>
      <c r="J131"/>
      <c r="K131" s="49"/>
      <c r="L131" s="4"/>
      <c r="M131" s="4"/>
      <c r="N131" s="4"/>
      <c r="O131" s="4"/>
      <c r="P131" s="4"/>
      <c r="Q131" s="4"/>
      <c r="R131" s="4"/>
      <c r="S131" s="4"/>
      <c r="T131" s="4"/>
      <c r="U131" s="4"/>
      <c r="V131" s="4"/>
      <c r="W131" s="4"/>
      <c r="X131" s="4"/>
      <c r="Y131" s="4"/>
      <c r="Z131" s="4"/>
      <c r="AA131" s="4"/>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50"/>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row>
    <row r="132" spans="1:205" s="5" customFormat="1" ht="30" x14ac:dyDescent="0.25">
      <c r="A132" s="59" t="s">
        <v>176</v>
      </c>
      <c r="B132" s="23" t="s">
        <v>368</v>
      </c>
      <c r="C132" s="36" t="s">
        <v>164</v>
      </c>
      <c r="D132" s="30" t="s">
        <v>74</v>
      </c>
      <c r="E132" s="29"/>
      <c r="F132" s="101">
        <v>44959</v>
      </c>
      <c r="G132" s="28">
        <v>38</v>
      </c>
      <c r="H132" s="101">
        <f t="shared" si="10"/>
        <v>45012</v>
      </c>
      <c r="I132" s="70">
        <v>0</v>
      </c>
      <c r="J132"/>
      <c r="K132" s="49"/>
      <c r="L132" s="4"/>
      <c r="M132" s="4"/>
      <c r="N132" s="4"/>
      <c r="O132" s="4"/>
      <c r="P132" s="4"/>
      <c r="Q132" s="4"/>
      <c r="R132" s="4"/>
      <c r="S132" s="4"/>
      <c r="T132" s="4"/>
      <c r="U132" s="4"/>
      <c r="V132" s="4"/>
      <c r="W132" s="4"/>
      <c r="X132" s="4"/>
      <c r="Y132" s="4"/>
      <c r="Z132" s="4"/>
      <c r="AA132" s="4"/>
      <c r="AB132" s="7"/>
      <c r="AC132" s="7"/>
      <c r="AD132" s="7"/>
      <c r="AE132" s="7"/>
      <c r="AF132" s="7"/>
      <c r="AG132" s="7"/>
      <c r="AH132" s="7"/>
      <c r="AI132" s="7"/>
      <c r="AJ132" s="7"/>
      <c r="AK132" s="7"/>
      <c r="AL132" s="7"/>
      <c r="AM132" s="7"/>
      <c r="AN132" s="7"/>
      <c r="AO132" s="7"/>
      <c r="AP132" s="7"/>
      <c r="AQ132" s="7"/>
      <c r="AR132" s="7"/>
      <c r="AS132" s="7"/>
      <c r="AT132" s="7"/>
      <c r="AU132" s="7"/>
      <c r="AV132" s="7"/>
      <c r="AW132" s="7"/>
      <c r="AX132" s="7"/>
      <c r="AY132" s="7"/>
      <c r="AZ132" s="7"/>
      <c r="BA132" s="7"/>
      <c r="BB132" s="7"/>
      <c r="BC132" s="7"/>
      <c r="BD132" s="7"/>
      <c r="BE132" s="7"/>
      <c r="BF132" s="7"/>
      <c r="BG132" s="7"/>
      <c r="BH132" s="7"/>
      <c r="BI132" s="7"/>
      <c r="BJ132" s="7"/>
      <c r="BK132" s="50"/>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row>
    <row r="133" spans="1:205" s="5" customFormat="1" ht="30" x14ac:dyDescent="0.25">
      <c r="A133" s="59" t="s">
        <v>177</v>
      </c>
      <c r="B133" s="23" t="s">
        <v>368</v>
      </c>
      <c r="C133" s="36" t="s">
        <v>164</v>
      </c>
      <c r="D133" s="30" t="s">
        <v>43</v>
      </c>
      <c r="E133" s="29"/>
      <c r="F133" s="101">
        <v>44959</v>
      </c>
      <c r="G133" s="28">
        <v>38</v>
      </c>
      <c r="H133" s="101">
        <f t="shared" si="10"/>
        <v>45012</v>
      </c>
      <c r="I133" s="70">
        <v>0</v>
      </c>
      <c r="J133"/>
      <c r="K133" s="49"/>
      <c r="L133" s="4"/>
      <c r="M133" s="4"/>
      <c r="N133" s="4"/>
      <c r="O133" s="4"/>
      <c r="P133" s="4"/>
      <c r="Q133" s="4"/>
      <c r="R133" s="4"/>
      <c r="S133" s="4"/>
      <c r="T133" s="4"/>
      <c r="U133" s="4"/>
      <c r="V133" s="4"/>
      <c r="W133" s="4"/>
      <c r="X133" s="4"/>
      <c r="Y133" s="4"/>
      <c r="Z133" s="4"/>
      <c r="AA133" s="4"/>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50"/>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row>
    <row r="134" spans="1:205" s="5" customFormat="1" ht="30" x14ac:dyDescent="0.25">
      <c r="A134" s="59" t="s">
        <v>178</v>
      </c>
      <c r="B134" s="23" t="s">
        <v>368</v>
      </c>
      <c r="C134" s="36" t="s">
        <v>164</v>
      </c>
      <c r="D134" s="30" t="s">
        <v>45</v>
      </c>
      <c r="E134" s="29"/>
      <c r="F134" s="101">
        <v>44959</v>
      </c>
      <c r="G134" s="28">
        <v>38</v>
      </c>
      <c r="H134" s="101">
        <f t="shared" si="10"/>
        <v>45012</v>
      </c>
      <c r="I134" s="70">
        <v>0</v>
      </c>
      <c r="J134"/>
      <c r="K134" s="49"/>
      <c r="L134" s="4"/>
      <c r="M134" s="4"/>
      <c r="N134" s="4"/>
      <c r="O134" s="4"/>
      <c r="P134" s="4"/>
      <c r="Q134" s="4"/>
      <c r="R134" s="4"/>
      <c r="S134" s="4"/>
      <c r="T134" s="4"/>
      <c r="U134" s="4"/>
      <c r="V134" s="4"/>
      <c r="W134" s="4"/>
      <c r="X134" s="4"/>
      <c r="Y134" s="4"/>
      <c r="Z134" s="4"/>
      <c r="AA134" s="4"/>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50"/>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row>
    <row r="135" spans="1:205" s="5" customFormat="1" ht="30" x14ac:dyDescent="0.25">
      <c r="A135" s="59" t="s">
        <v>179</v>
      </c>
      <c r="B135" s="23" t="s">
        <v>368</v>
      </c>
      <c r="C135" s="36" t="s">
        <v>164</v>
      </c>
      <c r="D135" s="30" t="s">
        <v>47</v>
      </c>
      <c r="E135" s="29"/>
      <c r="F135" s="101">
        <v>44959</v>
      </c>
      <c r="G135" s="28">
        <v>38</v>
      </c>
      <c r="H135" s="101">
        <f t="shared" si="10"/>
        <v>45012</v>
      </c>
      <c r="I135" s="70">
        <v>0</v>
      </c>
      <c r="J135"/>
      <c r="K135" s="49"/>
      <c r="L135" s="4"/>
      <c r="M135" s="4"/>
      <c r="N135" s="4"/>
      <c r="O135" s="4"/>
      <c r="P135" s="4"/>
      <c r="Q135" s="4"/>
      <c r="R135" s="4"/>
      <c r="S135" s="4"/>
      <c r="T135" s="4"/>
      <c r="U135" s="4"/>
      <c r="V135" s="4"/>
      <c r="W135" s="4"/>
      <c r="X135" s="4"/>
      <c r="Y135" s="4"/>
      <c r="Z135" s="4"/>
      <c r="AA135" s="4"/>
      <c r="AB135" s="7"/>
      <c r="AC135" s="7"/>
      <c r="AD135" s="7"/>
      <c r="AE135" s="7"/>
      <c r="AF135" s="7"/>
      <c r="AG135" s="7"/>
      <c r="AH135" s="7"/>
      <c r="AI135" s="7"/>
      <c r="AJ135" s="7"/>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50"/>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row>
    <row r="136" spans="1:205" s="5" customFormat="1" ht="30" x14ac:dyDescent="0.25">
      <c r="A136" s="59" t="s">
        <v>180</v>
      </c>
      <c r="B136" s="23" t="s">
        <v>368</v>
      </c>
      <c r="C136" s="36" t="s">
        <v>164</v>
      </c>
      <c r="D136" s="30" t="s">
        <v>49</v>
      </c>
      <c r="E136" s="29"/>
      <c r="F136" s="101">
        <v>44959</v>
      </c>
      <c r="G136" s="28">
        <v>38</v>
      </c>
      <c r="H136" s="101">
        <f t="shared" si="10"/>
        <v>45012</v>
      </c>
      <c r="I136" s="70">
        <v>0</v>
      </c>
      <c r="J136"/>
      <c r="K136" s="49"/>
      <c r="L136" s="4"/>
      <c r="M136" s="4"/>
      <c r="N136" s="4"/>
      <c r="O136" s="4"/>
      <c r="P136" s="4"/>
      <c r="Q136" s="4"/>
      <c r="R136" s="4"/>
      <c r="S136" s="4"/>
      <c r="T136" s="4"/>
      <c r="U136" s="4"/>
      <c r="V136" s="4"/>
      <c r="W136" s="4"/>
      <c r="X136" s="4"/>
      <c r="Y136" s="4"/>
      <c r="Z136" s="4"/>
      <c r="AA136" s="4"/>
      <c r="AB136" s="7"/>
      <c r="AC136" s="7"/>
      <c r="AD136" s="7"/>
      <c r="AE136" s="7"/>
      <c r="AF136" s="7"/>
      <c r="AG136" s="7"/>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50"/>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row>
    <row r="137" spans="1:205" s="5" customFormat="1" ht="30" x14ac:dyDescent="0.25">
      <c r="A137" s="59" t="s">
        <v>181</v>
      </c>
      <c r="B137" s="23" t="s">
        <v>368</v>
      </c>
      <c r="C137" s="36" t="s">
        <v>164</v>
      </c>
      <c r="D137" s="30" t="s">
        <v>41</v>
      </c>
      <c r="E137" s="29"/>
      <c r="F137" s="101">
        <v>44959</v>
      </c>
      <c r="G137" s="28">
        <v>38</v>
      </c>
      <c r="H137" s="101">
        <f t="shared" si="10"/>
        <v>45012</v>
      </c>
      <c r="I137" s="70">
        <v>0</v>
      </c>
      <c r="J137"/>
      <c r="K137" s="49"/>
      <c r="L137" s="4"/>
      <c r="M137" s="4"/>
      <c r="N137" s="4"/>
      <c r="O137" s="4"/>
      <c r="P137" s="4"/>
      <c r="Q137" s="4"/>
      <c r="R137" s="4"/>
      <c r="S137" s="4"/>
      <c r="T137" s="4"/>
      <c r="U137" s="4"/>
      <c r="V137" s="4"/>
      <c r="W137" s="4"/>
      <c r="X137" s="4"/>
      <c r="Y137" s="4"/>
      <c r="Z137" s="4"/>
      <c r="AA137" s="4"/>
      <c r="AB137" s="7"/>
      <c r="AC137" s="7"/>
      <c r="AD137" s="7"/>
      <c r="AE137" s="7"/>
      <c r="AF137" s="7"/>
      <c r="AG137" s="7"/>
      <c r="AH137" s="7"/>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50"/>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row>
    <row r="138" spans="1:205" s="5" customFormat="1" ht="15.75" x14ac:dyDescent="0.25">
      <c r="A138" s="59" t="s">
        <v>182</v>
      </c>
      <c r="B138" s="23" t="s">
        <v>369</v>
      </c>
      <c r="C138" s="36" t="s">
        <v>164</v>
      </c>
      <c r="D138" s="30" t="s">
        <v>70</v>
      </c>
      <c r="E138" s="29"/>
      <c r="F138" s="101">
        <v>44959</v>
      </c>
      <c r="G138" s="28">
        <v>38</v>
      </c>
      <c r="H138" s="101">
        <f t="shared" si="10"/>
        <v>45012</v>
      </c>
      <c r="I138" s="70">
        <v>0</v>
      </c>
      <c r="J138"/>
      <c r="K138" s="49"/>
      <c r="L138" s="4"/>
      <c r="M138" s="4"/>
      <c r="N138" s="4"/>
      <c r="O138" s="4"/>
      <c r="P138" s="4"/>
      <c r="Q138" s="4"/>
      <c r="R138" s="4"/>
      <c r="S138" s="4"/>
      <c r="T138" s="4"/>
      <c r="U138" s="4"/>
      <c r="V138" s="4"/>
      <c r="W138" s="4"/>
      <c r="X138" s="4"/>
      <c r="Y138" s="4"/>
      <c r="Z138" s="4"/>
      <c r="AA138" s="4"/>
      <c r="AB138" s="7"/>
      <c r="AC138" s="7"/>
      <c r="AD138" s="7"/>
      <c r="AE138" s="7"/>
      <c r="AF138" s="7"/>
      <c r="AG138" s="7"/>
      <c r="AH138" s="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50"/>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row>
    <row r="139" spans="1:205" s="5" customFormat="1" ht="15.75" x14ac:dyDescent="0.25">
      <c r="A139" s="59" t="s">
        <v>183</v>
      </c>
      <c r="B139" s="23" t="s">
        <v>369</v>
      </c>
      <c r="C139" s="36" t="s">
        <v>164</v>
      </c>
      <c r="D139" s="30" t="s">
        <v>72</v>
      </c>
      <c r="E139" s="29"/>
      <c r="F139" s="101">
        <v>44959</v>
      </c>
      <c r="G139" s="28">
        <v>38</v>
      </c>
      <c r="H139" s="101">
        <f t="shared" si="10"/>
        <v>45012</v>
      </c>
      <c r="I139" s="70">
        <v>0</v>
      </c>
      <c r="J139"/>
      <c r="K139" s="49"/>
      <c r="L139" s="4"/>
      <c r="M139" s="4"/>
      <c r="N139" s="4"/>
      <c r="O139" s="4"/>
      <c r="P139" s="4"/>
      <c r="Q139" s="4"/>
      <c r="R139" s="4"/>
      <c r="S139" s="4"/>
      <c r="T139" s="4"/>
      <c r="U139" s="4"/>
      <c r="V139" s="4"/>
      <c r="W139" s="4"/>
      <c r="X139" s="4"/>
      <c r="Y139" s="4"/>
      <c r="Z139" s="4"/>
      <c r="AA139" s="4"/>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50"/>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row>
    <row r="140" spans="1:205" s="5" customFormat="1" ht="15.75" x14ac:dyDescent="0.25">
      <c r="A140" s="59" t="s">
        <v>184</v>
      </c>
      <c r="B140" s="23" t="s">
        <v>370</v>
      </c>
      <c r="C140" s="36" t="s">
        <v>164</v>
      </c>
      <c r="D140" s="30" t="s">
        <v>76</v>
      </c>
      <c r="E140" s="29"/>
      <c r="F140" s="101">
        <v>44959</v>
      </c>
      <c r="G140" s="28">
        <v>38</v>
      </c>
      <c r="H140" s="101">
        <f t="shared" si="10"/>
        <v>45012</v>
      </c>
      <c r="I140" s="70">
        <v>0</v>
      </c>
      <c r="J140"/>
      <c r="K140" s="49"/>
      <c r="L140" s="4"/>
      <c r="M140" s="4"/>
      <c r="N140" s="4"/>
      <c r="O140" s="4"/>
      <c r="P140" s="4"/>
      <c r="Q140" s="4"/>
      <c r="R140" s="4"/>
      <c r="S140" s="4"/>
      <c r="T140" s="4"/>
      <c r="U140" s="4"/>
      <c r="V140" s="4"/>
      <c r="W140" s="4"/>
      <c r="X140" s="4"/>
      <c r="Y140" s="4"/>
      <c r="Z140" s="4"/>
      <c r="AA140" s="4"/>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50"/>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row>
    <row r="141" spans="1:205" s="5" customFormat="1" ht="15.75" x14ac:dyDescent="0.25">
      <c r="A141" s="59" t="s">
        <v>185</v>
      </c>
      <c r="B141" s="23" t="s">
        <v>371</v>
      </c>
      <c r="C141" s="36" t="s">
        <v>186</v>
      </c>
      <c r="D141" s="30" t="s">
        <v>165</v>
      </c>
      <c r="E141" s="29"/>
      <c r="F141" s="101">
        <v>45010</v>
      </c>
      <c r="G141" s="28">
        <v>4</v>
      </c>
      <c r="H141" s="101">
        <f t="shared" si="10"/>
        <v>45015</v>
      </c>
      <c r="I141" s="70">
        <v>0</v>
      </c>
      <c r="J141"/>
      <c r="K141" s="49"/>
      <c r="L141" s="4"/>
      <c r="M141" s="4"/>
      <c r="N141" s="4"/>
      <c r="O141" s="4"/>
      <c r="P141" s="4"/>
      <c r="Q141" s="4"/>
      <c r="R141" s="4"/>
      <c r="S141" s="4"/>
      <c r="T141" s="4"/>
      <c r="U141" s="4"/>
      <c r="V141" s="4"/>
      <c r="W141" s="4"/>
      <c r="X141" s="4"/>
      <c r="Y141" s="4"/>
      <c r="Z141" s="4"/>
      <c r="AA141" s="4"/>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50"/>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row>
    <row r="142" spans="1:205" s="5" customFormat="1" ht="15.75" x14ac:dyDescent="0.25">
      <c r="A142" s="59" t="s">
        <v>187</v>
      </c>
      <c r="B142" s="23" t="s">
        <v>372</v>
      </c>
      <c r="C142" s="36" t="s">
        <v>188</v>
      </c>
      <c r="D142" s="30" t="s">
        <v>165</v>
      </c>
      <c r="E142" s="29"/>
      <c r="F142" s="101">
        <v>45015</v>
      </c>
      <c r="G142" s="28">
        <v>4</v>
      </c>
      <c r="H142" s="101">
        <f t="shared" si="10"/>
        <v>45020</v>
      </c>
      <c r="I142" s="70">
        <v>0</v>
      </c>
      <c r="J142"/>
      <c r="K142" s="49"/>
      <c r="L142" s="4"/>
      <c r="M142" s="4"/>
      <c r="N142" s="4"/>
      <c r="O142" s="4"/>
      <c r="P142" s="4"/>
      <c r="Q142" s="4"/>
      <c r="R142" s="4"/>
      <c r="S142" s="4"/>
      <c r="T142" s="4"/>
      <c r="U142" s="4"/>
      <c r="V142" s="4"/>
      <c r="W142" s="4"/>
      <c r="X142" s="4"/>
      <c r="Y142" s="4"/>
      <c r="Z142" s="4"/>
      <c r="AA142" s="4"/>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50"/>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row>
    <row r="143" spans="1:205" s="5" customFormat="1" ht="15.75" x14ac:dyDescent="0.25">
      <c r="A143" s="59" t="s">
        <v>189</v>
      </c>
      <c r="B143" s="23" t="s">
        <v>373</v>
      </c>
      <c r="C143" s="36" t="s">
        <v>190</v>
      </c>
      <c r="D143" s="30" t="s">
        <v>36</v>
      </c>
      <c r="E143" s="29" t="s">
        <v>390</v>
      </c>
      <c r="F143" s="101">
        <v>44933</v>
      </c>
      <c r="G143" s="28">
        <v>0</v>
      </c>
      <c r="H143" s="101">
        <f t="shared" si="10"/>
        <v>44932</v>
      </c>
      <c r="I143" s="70">
        <v>0</v>
      </c>
      <c r="J143"/>
      <c r="K143" s="49"/>
      <c r="L143" s="4"/>
      <c r="M143" s="4"/>
      <c r="N143" s="4"/>
      <c r="O143" s="4"/>
      <c r="P143" s="4"/>
      <c r="Q143" s="4"/>
      <c r="R143" s="4"/>
      <c r="S143" s="4"/>
      <c r="T143" s="4"/>
      <c r="U143" s="4"/>
      <c r="V143" s="4"/>
      <c r="W143" s="4"/>
      <c r="X143" s="4"/>
      <c r="Y143" s="4"/>
      <c r="Z143" s="4"/>
      <c r="AA143" s="4"/>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50"/>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row>
    <row r="144" spans="1:205" ht="15.75" x14ac:dyDescent="0.25">
      <c r="A144" s="58">
        <v>5</v>
      </c>
      <c r="B144" s="40" t="s">
        <v>374</v>
      </c>
      <c r="C144" s="41" t="s">
        <v>30</v>
      </c>
      <c r="D144" s="42"/>
      <c r="E144" s="43"/>
      <c r="F144" s="106">
        <f>MIN(F145:F158)</f>
        <v>45070</v>
      </c>
      <c r="G144" s="108">
        <f>NETWORKDAYS(F144,H144)</f>
        <v>10</v>
      </c>
      <c r="H144" s="106">
        <f>MAX(H145:H158)</f>
        <v>45083</v>
      </c>
      <c r="I144" s="69">
        <f>SUMIF(A145:A158,A144&amp;"*",I145:I158)/(COUNTIF(A144:A158,A144&amp;".*"))</f>
        <v>0</v>
      </c>
      <c r="K144" s="49"/>
      <c r="L144" s="4"/>
      <c r="M144" s="4"/>
      <c r="N144" s="4"/>
      <c r="O144" s="4"/>
      <c r="P144" s="4"/>
      <c r="Q144" s="4"/>
      <c r="R144" s="4"/>
      <c r="S144" s="4"/>
      <c r="T144" s="4"/>
      <c r="U144" s="4"/>
      <c r="V144" s="4"/>
      <c r="W144" s="4"/>
      <c r="X144" s="4"/>
      <c r="Y144" s="4"/>
      <c r="Z144" s="4"/>
      <c r="AA144" s="4"/>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50"/>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row>
    <row r="145" spans="1:205" s="5" customFormat="1" ht="15.75" x14ac:dyDescent="0.25">
      <c r="A145" s="59" t="s">
        <v>23</v>
      </c>
      <c r="B145" s="23" t="s">
        <v>375</v>
      </c>
      <c r="C145" s="36">
        <v>4</v>
      </c>
      <c r="D145" s="30" t="s">
        <v>43</v>
      </c>
      <c r="E145" s="29"/>
      <c r="F145" s="100">
        <v>45070</v>
      </c>
      <c r="G145" s="28">
        <v>10</v>
      </c>
      <c r="H145" s="101">
        <f>IF(F145="","",WORKDAY(IF(WEEKDAY(F145,1)=7,F145+2,IF(WEEKDAY(F145,1)=1,F145+1,F145)),G145-1,))</f>
        <v>45083</v>
      </c>
      <c r="I145" s="70">
        <v>0</v>
      </c>
      <c r="J145"/>
      <c r="K145" s="49"/>
      <c r="L145" s="4"/>
      <c r="M145" s="4"/>
      <c r="N145" s="4"/>
      <c r="O145" s="4"/>
      <c r="P145" s="4"/>
      <c r="Q145" s="4"/>
      <c r="R145" s="4"/>
      <c r="S145" s="4"/>
      <c r="T145" s="4"/>
      <c r="U145" s="4"/>
      <c r="V145" s="4"/>
      <c r="W145" s="4"/>
      <c r="X145" s="4"/>
      <c r="Y145" s="4"/>
      <c r="Z145" s="4"/>
      <c r="AA145" s="4"/>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50"/>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row>
    <row r="146" spans="1:205" s="5" customFormat="1" ht="15.75" x14ac:dyDescent="0.25">
      <c r="A146" s="59" t="s">
        <v>24</v>
      </c>
      <c r="B146" s="23" t="s">
        <v>376</v>
      </c>
      <c r="C146" s="36">
        <v>4</v>
      </c>
      <c r="D146" s="30" t="s">
        <v>45</v>
      </c>
      <c r="E146" s="29"/>
      <c r="F146" s="100">
        <v>45070</v>
      </c>
      <c r="G146" s="28">
        <v>10</v>
      </c>
      <c r="H146" s="101">
        <f t="shared" ref="H146:H157" si="11">IF(F146="","",WORKDAY(IF(WEEKDAY(F146,1)=7,F146+2,IF(WEEKDAY(F146,1)=1,F146+1,F146)),G146-1,))</f>
        <v>45083</v>
      </c>
      <c r="I146" s="70">
        <v>0</v>
      </c>
      <c r="J146"/>
      <c r="K146" s="49"/>
      <c r="L146" s="4"/>
      <c r="M146" s="4"/>
      <c r="N146" s="4"/>
      <c r="O146" s="4"/>
      <c r="P146" s="4"/>
      <c r="Q146" s="4"/>
      <c r="R146" s="4"/>
      <c r="S146" s="4"/>
      <c r="T146" s="4"/>
      <c r="U146" s="4"/>
      <c r="V146" s="4"/>
      <c r="W146" s="4"/>
      <c r="X146" s="4"/>
      <c r="Y146" s="4"/>
      <c r="Z146" s="4"/>
      <c r="AA146" s="4"/>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50"/>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row>
    <row r="147" spans="1:205" s="5" customFormat="1" ht="15.75" x14ac:dyDescent="0.25">
      <c r="A147" s="59" t="s">
        <v>25</v>
      </c>
      <c r="B147" s="23" t="s">
        <v>377</v>
      </c>
      <c r="C147" s="36">
        <v>4</v>
      </c>
      <c r="D147" s="30" t="s">
        <v>47</v>
      </c>
      <c r="E147" s="29"/>
      <c r="F147" s="100">
        <v>45070</v>
      </c>
      <c r="G147" s="28">
        <v>10</v>
      </c>
      <c r="H147" s="101">
        <f t="shared" si="11"/>
        <v>45083</v>
      </c>
      <c r="I147" s="70">
        <v>0</v>
      </c>
      <c r="J147"/>
      <c r="K147" s="49"/>
      <c r="L147" s="4"/>
      <c r="M147" s="4"/>
      <c r="N147" s="4"/>
      <c r="O147" s="4"/>
      <c r="P147" s="4"/>
      <c r="Q147" s="4"/>
      <c r="R147" s="4"/>
      <c r="S147" s="4"/>
      <c r="T147" s="4"/>
      <c r="U147" s="4"/>
      <c r="V147" s="4"/>
      <c r="W147" s="4"/>
      <c r="X147" s="4"/>
      <c r="Y147" s="4"/>
      <c r="Z147" s="4"/>
      <c r="AA147" s="4"/>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50"/>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row>
    <row r="148" spans="1:205" s="5" customFormat="1" ht="15.75" x14ac:dyDescent="0.25">
      <c r="A148" s="59" t="s">
        <v>26</v>
      </c>
      <c r="B148" s="23" t="s">
        <v>378</v>
      </c>
      <c r="C148" s="36">
        <v>4</v>
      </c>
      <c r="D148" s="30" t="s">
        <v>49</v>
      </c>
      <c r="E148" s="29"/>
      <c r="F148" s="100">
        <v>45070</v>
      </c>
      <c r="G148" s="28">
        <v>10</v>
      </c>
      <c r="H148" s="101">
        <f t="shared" si="11"/>
        <v>45083</v>
      </c>
      <c r="I148" s="70">
        <v>0</v>
      </c>
      <c r="J148"/>
      <c r="K148" s="49"/>
      <c r="L148" s="4"/>
      <c r="M148" s="4"/>
      <c r="N148" s="4"/>
      <c r="O148" s="4"/>
      <c r="P148" s="4"/>
      <c r="Q148" s="4"/>
      <c r="R148" s="4"/>
      <c r="S148" s="4"/>
      <c r="T148" s="4"/>
      <c r="U148" s="4"/>
      <c r="V148" s="4"/>
      <c r="W148" s="4"/>
      <c r="X148" s="4"/>
      <c r="Y148" s="4"/>
      <c r="Z148" s="4"/>
      <c r="AA148" s="4"/>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50"/>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row>
    <row r="149" spans="1:205" s="5" customFormat="1" ht="15.75" x14ac:dyDescent="0.25">
      <c r="A149" s="59" t="s">
        <v>27</v>
      </c>
      <c r="B149" s="23" t="s">
        <v>379</v>
      </c>
      <c r="C149" s="36">
        <v>4</v>
      </c>
      <c r="D149" s="30" t="s">
        <v>41</v>
      </c>
      <c r="E149" s="29"/>
      <c r="F149" s="100">
        <v>45070</v>
      </c>
      <c r="G149" s="28">
        <v>10</v>
      </c>
      <c r="H149" s="101">
        <f t="shared" si="11"/>
        <v>45083</v>
      </c>
      <c r="I149" s="70">
        <v>0</v>
      </c>
      <c r="J149"/>
      <c r="K149" s="49"/>
      <c r="L149" s="4"/>
      <c r="M149" s="4"/>
      <c r="N149" s="4"/>
      <c r="O149" s="4"/>
      <c r="P149" s="4"/>
      <c r="Q149" s="4"/>
      <c r="R149" s="4"/>
      <c r="S149" s="4"/>
      <c r="T149" s="4"/>
      <c r="U149" s="4"/>
      <c r="V149" s="4"/>
      <c r="W149" s="4"/>
      <c r="X149" s="4"/>
      <c r="Y149" s="4"/>
      <c r="Z149" s="4"/>
      <c r="AA149" s="4"/>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50"/>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row>
    <row r="150" spans="1:205" s="5" customFormat="1" ht="15.75" x14ac:dyDescent="0.25">
      <c r="A150" s="59" t="s">
        <v>191</v>
      </c>
      <c r="B150" s="23" t="s">
        <v>380</v>
      </c>
      <c r="C150" s="36">
        <v>4</v>
      </c>
      <c r="D150" s="30" t="s">
        <v>43</v>
      </c>
      <c r="E150" s="29" t="s">
        <v>396</v>
      </c>
      <c r="F150" s="100">
        <v>45070</v>
      </c>
      <c r="G150" s="28">
        <v>10</v>
      </c>
      <c r="H150" s="101">
        <f t="shared" si="11"/>
        <v>45083</v>
      </c>
      <c r="I150" s="70">
        <v>0</v>
      </c>
      <c r="J150"/>
      <c r="K150" s="49"/>
      <c r="L150" s="4"/>
      <c r="M150" s="4"/>
      <c r="N150" s="4"/>
      <c r="O150" s="4"/>
      <c r="P150" s="4"/>
      <c r="Q150" s="4"/>
      <c r="R150" s="4"/>
      <c r="S150" s="4"/>
      <c r="T150" s="4"/>
      <c r="U150" s="4"/>
      <c r="V150" s="4"/>
      <c r="W150" s="4"/>
      <c r="X150" s="4"/>
      <c r="Y150" s="4"/>
      <c r="Z150" s="4"/>
      <c r="AA150" s="4"/>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50"/>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row>
    <row r="151" spans="1:205" s="5" customFormat="1" ht="15.75" x14ac:dyDescent="0.25">
      <c r="A151" s="59" t="s">
        <v>192</v>
      </c>
      <c r="B151" s="23" t="s">
        <v>381</v>
      </c>
      <c r="C151" s="36">
        <v>4</v>
      </c>
      <c r="D151" s="30" t="s">
        <v>45</v>
      </c>
      <c r="E151" s="29" t="s">
        <v>396</v>
      </c>
      <c r="F151" s="100">
        <v>45070</v>
      </c>
      <c r="G151" s="28">
        <v>10</v>
      </c>
      <c r="H151" s="101">
        <f t="shared" si="11"/>
        <v>45083</v>
      </c>
      <c r="I151" s="70">
        <v>0</v>
      </c>
      <c r="J151"/>
      <c r="K151" s="49"/>
      <c r="L151" s="4"/>
      <c r="M151" s="4"/>
      <c r="N151" s="4"/>
      <c r="O151" s="4"/>
      <c r="P151" s="4"/>
      <c r="Q151" s="4"/>
      <c r="R151" s="4"/>
      <c r="S151" s="4"/>
      <c r="T151" s="4"/>
      <c r="U151" s="4"/>
      <c r="V151" s="4"/>
      <c r="W151" s="4"/>
      <c r="X151" s="4"/>
      <c r="Y151" s="4"/>
      <c r="Z151" s="4"/>
      <c r="AA151" s="4"/>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50"/>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row>
    <row r="152" spans="1:205" s="5" customFormat="1" ht="15.75" x14ac:dyDescent="0.25">
      <c r="A152" s="59" t="s">
        <v>193</v>
      </c>
      <c r="B152" s="23" t="s">
        <v>382</v>
      </c>
      <c r="C152" s="36">
        <v>4</v>
      </c>
      <c r="D152" s="30" t="s">
        <v>47</v>
      </c>
      <c r="E152" s="29" t="s">
        <v>396</v>
      </c>
      <c r="F152" s="100">
        <v>45070</v>
      </c>
      <c r="G152" s="28">
        <v>10</v>
      </c>
      <c r="H152" s="101">
        <f t="shared" si="11"/>
        <v>45083</v>
      </c>
      <c r="I152" s="70">
        <v>0</v>
      </c>
      <c r="J152"/>
      <c r="K152" s="49"/>
      <c r="L152" s="4"/>
      <c r="M152" s="4"/>
      <c r="N152" s="4"/>
      <c r="O152" s="4"/>
      <c r="P152" s="4"/>
      <c r="Q152" s="4"/>
      <c r="R152" s="4"/>
      <c r="S152" s="4"/>
      <c r="T152" s="4"/>
      <c r="U152" s="4"/>
      <c r="V152" s="4"/>
      <c r="W152" s="4"/>
      <c r="X152" s="4"/>
      <c r="Y152" s="4"/>
      <c r="Z152" s="4"/>
      <c r="AA152" s="4"/>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50"/>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row>
    <row r="153" spans="1:205" s="5" customFormat="1" ht="15.75" x14ac:dyDescent="0.25">
      <c r="A153" s="59" t="s">
        <v>194</v>
      </c>
      <c r="B153" s="23" t="s">
        <v>383</v>
      </c>
      <c r="C153" s="36">
        <v>4</v>
      </c>
      <c r="D153" s="30" t="s">
        <v>49</v>
      </c>
      <c r="E153" s="29" t="s">
        <v>396</v>
      </c>
      <c r="F153" s="100">
        <v>45070</v>
      </c>
      <c r="G153" s="28">
        <v>10</v>
      </c>
      <c r="H153" s="101">
        <f t="shared" si="11"/>
        <v>45083</v>
      </c>
      <c r="I153" s="70">
        <v>0</v>
      </c>
      <c r="J153"/>
      <c r="K153" s="49"/>
      <c r="L153" s="4"/>
      <c r="M153" s="4"/>
      <c r="N153" s="4"/>
      <c r="O153" s="4"/>
      <c r="P153" s="4"/>
      <c r="Q153" s="4"/>
      <c r="R153" s="4"/>
      <c r="S153" s="4"/>
      <c r="T153" s="4"/>
      <c r="U153" s="4"/>
      <c r="V153" s="4"/>
      <c r="W153" s="4"/>
      <c r="X153" s="4"/>
      <c r="Y153" s="4"/>
      <c r="Z153" s="4"/>
      <c r="AA153" s="4"/>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50"/>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row>
    <row r="154" spans="1:205" s="5" customFormat="1" ht="15.75" x14ac:dyDescent="0.25">
      <c r="A154" s="59" t="s">
        <v>195</v>
      </c>
      <c r="B154" s="23" t="s">
        <v>384</v>
      </c>
      <c r="C154" s="36">
        <v>4</v>
      </c>
      <c r="D154" s="30" t="s">
        <v>41</v>
      </c>
      <c r="E154" s="29" t="s">
        <v>396</v>
      </c>
      <c r="F154" s="100">
        <v>45070</v>
      </c>
      <c r="G154" s="28">
        <v>10</v>
      </c>
      <c r="H154" s="101">
        <f t="shared" si="11"/>
        <v>45083</v>
      </c>
      <c r="I154" s="70">
        <v>0</v>
      </c>
      <c r="J154"/>
      <c r="K154" s="49"/>
      <c r="L154" s="4"/>
      <c r="M154" s="4"/>
      <c r="N154" s="4"/>
      <c r="O154" s="4"/>
      <c r="P154" s="4"/>
      <c r="Q154" s="4"/>
      <c r="R154" s="4"/>
      <c r="S154" s="4"/>
      <c r="T154" s="4"/>
      <c r="U154" s="4"/>
      <c r="V154" s="4"/>
      <c r="W154" s="4"/>
      <c r="X154" s="4"/>
      <c r="Y154" s="4"/>
      <c r="Z154" s="4"/>
      <c r="AA154" s="4"/>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50"/>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row>
    <row r="155" spans="1:205" ht="15.75" x14ac:dyDescent="0.25">
      <c r="A155" s="59" t="s">
        <v>196</v>
      </c>
      <c r="B155" s="23" t="s">
        <v>385</v>
      </c>
      <c r="C155" s="36">
        <v>4</v>
      </c>
      <c r="D155" s="30" t="s">
        <v>36</v>
      </c>
      <c r="E155" s="29"/>
      <c r="F155" s="100">
        <v>45070</v>
      </c>
      <c r="G155" s="28">
        <v>10</v>
      </c>
      <c r="H155" s="101">
        <f t="shared" si="11"/>
        <v>45083</v>
      </c>
      <c r="I155" s="70">
        <v>0</v>
      </c>
      <c r="K155" s="49"/>
      <c r="L155" s="4"/>
      <c r="M155" s="4"/>
      <c r="N155" s="4"/>
      <c r="O155" s="4"/>
      <c r="P155" s="4"/>
      <c r="Q155" s="4"/>
      <c r="R155" s="4"/>
      <c r="S155" s="4"/>
      <c r="T155" s="4"/>
      <c r="U155" s="4"/>
      <c r="V155" s="4"/>
      <c r="W155" s="4"/>
      <c r="X155" s="4"/>
      <c r="Y155" s="4"/>
      <c r="Z155" s="4"/>
      <c r="AA155" s="4"/>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50"/>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row>
    <row r="156" spans="1:205" ht="15.75" x14ac:dyDescent="0.25">
      <c r="A156" s="59" t="s">
        <v>197</v>
      </c>
      <c r="B156" s="23" t="s">
        <v>386</v>
      </c>
      <c r="C156" s="36">
        <v>4</v>
      </c>
      <c r="D156" s="30" t="s">
        <v>36</v>
      </c>
      <c r="E156" s="29"/>
      <c r="F156" s="100">
        <v>45070</v>
      </c>
      <c r="G156" s="28">
        <v>10</v>
      </c>
      <c r="H156" s="101">
        <f t="shared" si="11"/>
        <v>45083</v>
      </c>
      <c r="I156" s="70">
        <v>0</v>
      </c>
      <c r="K156" s="49"/>
      <c r="L156" s="4"/>
      <c r="M156" s="4"/>
      <c r="N156" s="4"/>
      <c r="O156" s="4"/>
      <c r="P156" s="4"/>
      <c r="Q156" s="4"/>
      <c r="R156" s="4"/>
      <c r="S156" s="4"/>
      <c r="T156" s="4"/>
      <c r="U156" s="4"/>
      <c r="V156" s="4"/>
      <c r="W156" s="4"/>
      <c r="X156" s="4"/>
      <c r="Y156" s="4"/>
      <c r="Z156" s="4"/>
      <c r="AA156" s="4"/>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7"/>
      <c r="BA156" s="7"/>
      <c r="BB156" s="7"/>
      <c r="BC156" s="7"/>
      <c r="BD156" s="7"/>
      <c r="BE156" s="7"/>
      <c r="BF156" s="7"/>
      <c r="BG156" s="7"/>
      <c r="BH156" s="7"/>
      <c r="BI156" s="7"/>
      <c r="BJ156" s="7"/>
      <c r="BK156" s="50"/>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row>
    <row r="157" spans="1:205" ht="15.75" x14ac:dyDescent="0.25">
      <c r="A157" s="59" t="s">
        <v>198</v>
      </c>
      <c r="B157" s="23" t="s">
        <v>387</v>
      </c>
      <c r="C157" s="36">
        <v>4</v>
      </c>
      <c r="D157" s="30" t="s">
        <v>51</v>
      </c>
      <c r="E157" s="29" t="s">
        <v>397</v>
      </c>
      <c r="F157" s="100">
        <v>45070</v>
      </c>
      <c r="G157" s="28">
        <v>8</v>
      </c>
      <c r="H157" s="101">
        <f t="shared" si="11"/>
        <v>45079</v>
      </c>
      <c r="I157" s="70">
        <v>0</v>
      </c>
      <c r="K157" s="49"/>
      <c r="L157" s="4"/>
      <c r="M157" s="4"/>
      <c r="N157" s="4"/>
      <c r="O157" s="4"/>
      <c r="P157" s="4"/>
      <c r="Q157" s="4"/>
      <c r="R157" s="4"/>
      <c r="S157" s="4"/>
      <c r="T157" s="4"/>
      <c r="U157" s="4"/>
      <c r="V157" s="4"/>
      <c r="W157" s="4"/>
      <c r="X157" s="4"/>
      <c r="Y157" s="4"/>
      <c r="Z157" s="4"/>
      <c r="AA157" s="4"/>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50"/>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row>
    <row r="158" spans="1:205" ht="16.5" thickBot="1" x14ac:dyDescent="0.3">
      <c r="A158" s="59" t="s">
        <v>199</v>
      </c>
      <c r="B158" s="60" t="s">
        <v>388</v>
      </c>
      <c r="C158" s="61" t="s">
        <v>200</v>
      </c>
      <c r="D158" s="62" t="s">
        <v>165</v>
      </c>
      <c r="E158" s="63"/>
      <c r="F158" s="100">
        <v>45083</v>
      </c>
      <c r="G158" s="68">
        <v>0</v>
      </c>
      <c r="H158" s="101">
        <f>IF(F158="","",WORKDAY(IF(WEEKDAY(F158,1)=7,F158+2,IF(WEEKDAY(F158,1)=1,F158+1,F158)),G158-1,))</f>
        <v>45082</v>
      </c>
      <c r="I158" s="71">
        <v>0</v>
      </c>
      <c r="K158" s="51"/>
      <c r="L158" s="52"/>
      <c r="M158" s="52"/>
      <c r="N158" s="52"/>
      <c r="O158" s="52"/>
      <c r="P158" s="52"/>
      <c r="Q158" s="52"/>
      <c r="R158" s="52"/>
      <c r="S158" s="52"/>
      <c r="T158" s="52"/>
      <c r="U158" s="52"/>
      <c r="V158" s="52"/>
      <c r="W158" s="52"/>
      <c r="X158" s="52"/>
      <c r="Y158" s="52"/>
      <c r="Z158" s="52"/>
      <c r="AA158" s="52"/>
      <c r="AB158" s="53"/>
      <c r="AC158" s="53"/>
      <c r="AD158" s="53"/>
      <c r="AE158" s="53"/>
      <c r="AF158" s="53"/>
      <c r="AG158" s="53"/>
      <c r="AH158" s="53"/>
      <c r="AI158" s="53"/>
      <c r="AJ158" s="53"/>
      <c r="AK158" s="53"/>
      <c r="AL158" s="53"/>
      <c r="AM158" s="53"/>
      <c r="AN158" s="53"/>
      <c r="AO158" s="53"/>
      <c r="AP158" s="53"/>
      <c r="AQ158" s="53"/>
      <c r="AR158" s="53"/>
      <c r="AS158" s="53"/>
      <c r="AT158" s="53"/>
      <c r="AU158" s="53"/>
      <c r="AV158" s="53"/>
      <c r="AW158" s="53"/>
      <c r="AX158" s="53"/>
      <c r="AY158" s="53"/>
      <c r="AZ158" s="53"/>
      <c r="BA158" s="53"/>
      <c r="BB158" s="53"/>
      <c r="BC158" s="53"/>
      <c r="BD158" s="53"/>
      <c r="BE158" s="53"/>
      <c r="BF158" s="53"/>
      <c r="BG158" s="53"/>
      <c r="BH158" s="53"/>
      <c r="BI158" s="53"/>
      <c r="BJ158" s="53"/>
      <c r="BK158" s="54"/>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row>
    <row r="159" spans="1:205" ht="15.75" thickBot="1" x14ac:dyDescent="0.3">
      <c r="G159" s="150" t="s">
        <v>403</v>
      </c>
      <c r="H159" s="151"/>
      <c r="I159" s="72">
        <f ca="1">AVERAGE(I19,I30,I41,I61,I144)</f>
        <v>0.19400000000000001</v>
      </c>
      <c r="K159" s="55"/>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row>
    <row r="160" spans="1:205" x14ac:dyDescent="0.25">
      <c r="H160" s="8"/>
      <c r="I160" s="56"/>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row>
    <row r="161" spans="8:63" x14ac:dyDescent="0.25">
      <c r="H161" s="8"/>
      <c r="I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row>
    <row r="162" spans="8:63" x14ac:dyDescent="0.25">
      <c r="H162" s="8"/>
      <c r="I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row>
    <row r="163" spans="8:63" x14ac:dyDescent="0.25">
      <c r="H163" s="8"/>
      <c r="I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row>
    <row r="164" spans="8:63" x14ac:dyDescent="0.25">
      <c r="H164" s="8"/>
      <c r="I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row>
    <row r="165" spans="8:63" x14ac:dyDescent="0.25">
      <c r="H165" s="8"/>
      <c r="I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row>
    <row r="166" spans="8:63" x14ac:dyDescent="0.25">
      <c r="H166" s="8"/>
      <c r="I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row>
    <row r="167" spans="8:63" x14ac:dyDescent="0.25">
      <c r="H167" s="8"/>
      <c r="I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row>
    <row r="168" spans="8:63" x14ac:dyDescent="0.25">
      <c r="H168" s="8"/>
      <c r="I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row>
    <row r="169" spans="8:63" x14ac:dyDescent="0.25">
      <c r="H169" s="8"/>
      <c r="I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row>
    <row r="170" spans="8:63" x14ac:dyDescent="0.25">
      <c r="H170" s="8"/>
      <c r="I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row>
    <row r="171" spans="8:63" x14ac:dyDescent="0.25">
      <c r="H171" s="8"/>
      <c r="I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row>
    <row r="172" spans="8:63" x14ac:dyDescent="0.25">
      <c r="H172" s="8"/>
      <c r="I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row>
    <row r="173" spans="8:63" x14ac:dyDescent="0.25">
      <c r="H173" s="8"/>
      <c r="I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row>
    <row r="174" spans="8:63" x14ac:dyDescent="0.25">
      <c r="H174" s="8"/>
      <c r="I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row>
    <row r="175" spans="8:63" x14ac:dyDescent="0.25">
      <c r="H175" s="8"/>
      <c r="I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row>
    <row r="176" spans="8:63" x14ac:dyDescent="0.25">
      <c r="H176" s="8"/>
      <c r="I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row>
    <row r="177" spans="8:63" x14ac:dyDescent="0.25">
      <c r="H177" s="8"/>
      <c r="I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row>
    <row r="178" spans="8:63" x14ac:dyDescent="0.25">
      <c r="H178" s="8"/>
      <c r="I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row>
    <row r="179" spans="8:63" x14ac:dyDescent="0.25">
      <c r="H179" s="8"/>
      <c r="I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row>
    <row r="180" spans="8:63" x14ac:dyDescent="0.25">
      <c r="H180" s="8"/>
      <c r="I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row>
    <row r="181" spans="8:63" x14ac:dyDescent="0.25">
      <c r="H181" s="8"/>
      <c r="I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row>
    <row r="182" spans="8:63" x14ac:dyDescent="0.25">
      <c r="H182" s="8"/>
      <c r="I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row>
    <row r="183" spans="8:63" x14ac:dyDescent="0.25">
      <c r="H183" s="8"/>
      <c r="I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row>
    <row r="184" spans="8:63" x14ac:dyDescent="0.25">
      <c r="H184" s="8"/>
      <c r="I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row>
    <row r="185" spans="8:63" x14ac:dyDescent="0.25">
      <c r="H185" s="8"/>
      <c r="I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row>
    <row r="186" spans="8:63" x14ac:dyDescent="0.25">
      <c r="H186" s="8"/>
      <c r="I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row>
    <row r="187" spans="8:63" x14ac:dyDescent="0.25">
      <c r="H187" s="8"/>
      <c r="I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row>
    <row r="188" spans="8:63" x14ac:dyDescent="0.25">
      <c r="H188" s="8"/>
      <c r="I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row>
    <row r="189" spans="8:63" x14ac:dyDescent="0.25">
      <c r="H189" s="8"/>
      <c r="I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row>
    <row r="190" spans="8:63" x14ac:dyDescent="0.25">
      <c r="H190" s="8"/>
      <c r="I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row>
    <row r="191" spans="8:63" x14ac:dyDescent="0.25">
      <c r="H191" s="8"/>
      <c r="I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row>
    <row r="192" spans="8:63" x14ac:dyDescent="0.25">
      <c r="H192" s="8"/>
      <c r="I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row>
    <row r="193" spans="8:63" x14ac:dyDescent="0.25">
      <c r="H193" s="8"/>
      <c r="I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row>
    <row r="194" spans="8:63" x14ac:dyDescent="0.25">
      <c r="H194" s="8"/>
      <c r="I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row>
    <row r="195" spans="8:63" x14ac:dyDescent="0.25">
      <c r="H195" s="8"/>
      <c r="I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row>
    <row r="196" spans="8:63" x14ac:dyDescent="0.25">
      <c r="H196" s="8"/>
      <c r="I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row>
    <row r="197" spans="8:63" x14ac:dyDescent="0.25">
      <c r="H197" s="8"/>
      <c r="I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row>
    <row r="198" spans="8:63" x14ac:dyDescent="0.25">
      <c r="H198" s="8"/>
      <c r="I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row>
    <row r="199" spans="8:63" x14ac:dyDescent="0.25">
      <c r="H199" s="8"/>
      <c r="I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row>
    <row r="200" spans="8:63" x14ac:dyDescent="0.25">
      <c r="H200" s="8"/>
      <c r="I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row>
    <row r="201" spans="8:63" x14ac:dyDescent="0.25">
      <c r="H201" s="8"/>
      <c r="I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row>
    <row r="202" spans="8:63" x14ac:dyDescent="0.25">
      <c r="H202" s="8"/>
      <c r="I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row>
  </sheetData>
  <mergeCells count="93">
    <mergeCell ref="K13:O14"/>
    <mergeCell ref="P13:S14"/>
    <mergeCell ref="T13:W14"/>
    <mergeCell ref="X13:AA14"/>
    <mergeCell ref="AB13:AF14"/>
    <mergeCell ref="AG13:AJ14"/>
    <mergeCell ref="AK13:AN14"/>
    <mergeCell ref="AO13:AS14"/>
    <mergeCell ref="AT13:AW14"/>
    <mergeCell ref="AX13:BB14"/>
    <mergeCell ref="BC13:BF14"/>
    <mergeCell ref="BG13:BJ14"/>
    <mergeCell ref="BK13:BK14"/>
    <mergeCell ref="BI15:BI16"/>
    <mergeCell ref="BJ15:BJ16"/>
    <mergeCell ref="BK15:BK16"/>
    <mergeCell ref="BD15:BD16"/>
    <mergeCell ref="BE15:BE16"/>
    <mergeCell ref="BF15:BF16"/>
    <mergeCell ref="BG15:BG16"/>
    <mergeCell ref="BH15:BH16"/>
    <mergeCell ref="AY15:AY16"/>
    <mergeCell ref="AZ15:AZ16"/>
    <mergeCell ref="BA15:BA16"/>
    <mergeCell ref="BB15:BB16"/>
    <mergeCell ref="BC15:BC16"/>
    <mergeCell ref="AT15:AT16"/>
    <mergeCell ref="AU15:AU16"/>
    <mergeCell ref="AV15:AV16"/>
    <mergeCell ref="AW15:AW16"/>
    <mergeCell ref="AX15:AX16"/>
    <mergeCell ref="AO15:AO16"/>
    <mergeCell ref="AP15:AP16"/>
    <mergeCell ref="AQ15:AQ16"/>
    <mergeCell ref="AR15:AR16"/>
    <mergeCell ref="AS15:AS16"/>
    <mergeCell ref="AJ15:AJ16"/>
    <mergeCell ref="AK15:AK16"/>
    <mergeCell ref="AL15:AL16"/>
    <mergeCell ref="AM15:AM16"/>
    <mergeCell ref="AN15:AN16"/>
    <mergeCell ref="AE15:AE16"/>
    <mergeCell ref="AF15:AF16"/>
    <mergeCell ref="AG15:AG16"/>
    <mergeCell ref="AH15:AH16"/>
    <mergeCell ref="AI15:AI16"/>
    <mergeCell ref="Z15:Z16"/>
    <mergeCell ref="AA15:AA16"/>
    <mergeCell ref="AB15:AB16"/>
    <mergeCell ref="AC15:AC16"/>
    <mergeCell ref="AD15:AD16"/>
    <mergeCell ref="U15:U16"/>
    <mergeCell ref="V15:V16"/>
    <mergeCell ref="W15:W16"/>
    <mergeCell ref="X15:X16"/>
    <mergeCell ref="Y15:Y16"/>
    <mergeCell ref="P15:P16"/>
    <mergeCell ref="Q15:Q16"/>
    <mergeCell ref="R15:R16"/>
    <mergeCell ref="S15:S16"/>
    <mergeCell ref="T15:T16"/>
    <mergeCell ref="K15:K16"/>
    <mergeCell ref="L15:L16"/>
    <mergeCell ref="M15:M16"/>
    <mergeCell ref="N15:N16"/>
    <mergeCell ref="O15:O16"/>
    <mergeCell ref="A15:A16"/>
    <mergeCell ref="B15:B16"/>
    <mergeCell ref="C15:C16"/>
    <mergeCell ref="D15:D16"/>
    <mergeCell ref="E15:E16"/>
    <mergeCell ref="H2:I2"/>
    <mergeCell ref="C6:D6"/>
    <mergeCell ref="F6:G6"/>
    <mergeCell ref="H6:I6"/>
    <mergeCell ref="C8:D8"/>
    <mergeCell ref="F8:G8"/>
    <mergeCell ref="H8:I8"/>
    <mergeCell ref="G159:H159"/>
    <mergeCell ref="C10:D10"/>
    <mergeCell ref="F10:G10"/>
    <mergeCell ref="H10:I10"/>
    <mergeCell ref="C12:D12"/>
    <mergeCell ref="F15:F16"/>
    <mergeCell ref="G15:G16"/>
    <mergeCell ref="H15:H16"/>
    <mergeCell ref="I15:I16"/>
    <mergeCell ref="K6:S6"/>
    <mergeCell ref="K8:S8"/>
    <mergeCell ref="K10:S10"/>
    <mergeCell ref="T6:W6"/>
    <mergeCell ref="T8:W8"/>
    <mergeCell ref="T10:W10"/>
  </mergeCells>
  <phoneticPr fontId="5" type="noConversion"/>
  <conditionalFormatting sqref="I19:I159">
    <cfRule type="cellIs" dxfId="21" priority="172" operator="equal">
      <formula>1</formula>
    </cfRule>
    <cfRule type="cellIs" dxfId="20" priority="173" operator="between">
      <formula>0.5</formula>
      <formula>0.99</formula>
    </cfRule>
    <cfRule type="cellIs" dxfId="19" priority="174" operator="lessThan">
      <formula>50</formula>
    </cfRule>
    <cfRule type="dataBar" priority="175">
      <dataBar>
        <cfvo type="min"/>
        <cfvo type="max"/>
        <color theme="8" tint="0.39997558519241921"/>
      </dataBar>
      <extLst>
        <ext xmlns:x14="http://schemas.microsoft.com/office/spreadsheetml/2009/9/main" uri="{B025F937-C7B1-47D3-B67F-A62EFF666E3E}">
          <x14:id>{7B973BF1-7ADA-49A5-A70B-53D0B1B30BD5}</x14:id>
        </ext>
      </extLst>
    </cfRule>
  </conditionalFormatting>
  <conditionalFormatting sqref="K17:BK159">
    <cfRule type="expression" dxfId="18" priority="3">
      <formula>OR(AND(K$17=TODAY(),$L$12=1),AND(OR($L$12=2,$L$12=3),K$17&lt;=TODAY(),K$18&gt;=TODAY()))</formula>
    </cfRule>
  </conditionalFormatting>
  <conditionalFormatting sqref="K20:BK158">
    <cfRule type="expression" dxfId="17" priority="9">
      <formula>AND(IF($L$12&gt;1,IF($I20&gt;0,TRUE,FALSE),TRUE),$F20&lt;=K$18,ROUNDDOWN(($H20-$F20+1)*$I20,0)+$F20-1&gt;=K$17)</formula>
    </cfRule>
    <cfRule type="expression" dxfId="16" priority="10">
      <formula>AND(NOT(ISBLANK($F20)),$F20&lt;=K$18,$H20&gt;=K$17)</formula>
    </cfRule>
  </conditionalFormatting>
  <conditionalFormatting sqref="K19:BK19 K30:BK30 K41:BK41 K61:BK61 K144:BK144">
    <cfRule type="expression" dxfId="15" priority="7" stopIfTrue="1">
      <formula>AND(IF($L$12&gt;1,IF($I19&gt;0,TRUE,FALSE),TRUE),$F19&lt;=K$18,ROUNDDOWN(($H19-$F19+1)*$I19,0)+$F19-1&gt;=K$17)</formula>
    </cfRule>
    <cfRule type="expression" dxfId="14" priority="8" stopIfTrue="1">
      <formula>AND(NOT(ISBLANK($F19)),$F19&lt;=K$18,$H19&gt;=K$17)</formula>
    </cfRule>
  </conditionalFormatting>
  <conditionalFormatting sqref="K18:BK18">
    <cfRule type="expression" dxfId="13" priority="4">
      <formula>AND(IF($L$12&gt;1,IF($I18&gt;0,TRUE,FALSE),TRUE),$F18&lt;=K$18,ROUNDDOWN(($H18-$F18+1)*$I18,0)+$F18-1&gt;=K$17)</formula>
    </cfRule>
    <cfRule type="expression" dxfId="12" priority="6">
      <formula>AND(NOT(ISBLANK($F18)),$F18&lt;=K$18,$H18&gt;=K$17)</formula>
    </cfRule>
  </conditionalFormatting>
  <conditionalFormatting sqref="T10">
    <cfRule type="cellIs" dxfId="11" priority="1" operator="greaterThan">
      <formula>$T$8</formula>
    </cfRule>
  </conditionalFormatting>
  <dataValidations count="1">
    <dataValidation type="list" allowBlank="1" showInputMessage="1" showErrorMessage="1" sqref="D145:D158 D31:D40 D42:D60 D62:D143 D20:D29" xr:uid="{00000000-0002-0000-0200-000000000000}">
      <formula1>INDIRECT("Noms")</formula1>
    </dataValidation>
  </dataValidations>
  <pageMargins left="0.7" right="0.7" top="0.75" bottom="0.75" header="0.3" footer="0.3"/>
  <pageSetup paperSize="9" orientation="landscape" r:id="rId1"/>
  <ignoredErrors>
    <ignoredError sqref="H4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4" r:id="rId4" name="scrollBAR">
              <controlPr defaultSize="0" autoPict="0" macro="[0]!macroScroll">
                <anchor moveWithCells="1">
                  <from>
                    <xdr:col>9</xdr:col>
                    <xdr:colOff>47625</xdr:colOff>
                    <xdr:row>10</xdr:row>
                    <xdr:rowOff>114300</xdr:rowOff>
                  </from>
                  <to>
                    <xdr:col>62</xdr:col>
                    <xdr:colOff>257175</xdr:colOff>
                    <xdr:row>12</xdr:row>
                    <xdr:rowOff>0</xdr:rowOff>
                  </to>
                </anchor>
              </controlPr>
            </control>
          </mc:Choice>
        </mc:AlternateContent>
        <mc:AlternateContent xmlns:mc="http://schemas.openxmlformats.org/markup-compatibility/2006">
          <mc:Choice Requires="x14">
            <control shapeId="3075" r:id="rId5" name="Group Box 3">
              <controlPr defaultSize="0" autoFill="0" autoPict="0">
                <anchor moveWithCells="1">
                  <from>
                    <xdr:col>32</xdr:col>
                    <xdr:colOff>190500</xdr:colOff>
                    <xdr:row>4</xdr:row>
                    <xdr:rowOff>276225</xdr:rowOff>
                  </from>
                  <to>
                    <xdr:col>44</xdr:col>
                    <xdr:colOff>76200</xdr:colOff>
                    <xdr:row>9</xdr:row>
                    <xdr:rowOff>133350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33</xdr:col>
                    <xdr:colOff>123825</xdr:colOff>
                    <xdr:row>5</xdr:row>
                    <xdr:rowOff>161925</xdr:rowOff>
                  </from>
                  <to>
                    <xdr:col>36</xdr:col>
                    <xdr:colOff>47625</xdr:colOff>
                    <xdr:row>7</xdr:row>
                    <xdr:rowOff>19050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33</xdr:col>
                    <xdr:colOff>123825</xdr:colOff>
                    <xdr:row>6</xdr:row>
                    <xdr:rowOff>180975</xdr:rowOff>
                  </from>
                  <to>
                    <xdr:col>36</xdr:col>
                    <xdr:colOff>47625</xdr:colOff>
                    <xdr:row>8</xdr:row>
                    <xdr:rowOff>38100</xdr:rowOff>
                  </to>
                </anchor>
              </controlPr>
            </control>
          </mc:Choice>
        </mc:AlternateContent>
        <mc:AlternateContent xmlns:mc="http://schemas.openxmlformats.org/markup-compatibility/2006">
          <mc:Choice Requires="x14">
            <control shapeId="3079" r:id="rId8" name="Option Button 7">
              <controlPr defaultSize="0" autoFill="0" autoLine="0" autoPict="0">
                <anchor moveWithCells="1">
                  <from>
                    <xdr:col>33</xdr:col>
                    <xdr:colOff>123825</xdr:colOff>
                    <xdr:row>8</xdr:row>
                    <xdr:rowOff>9525</xdr:rowOff>
                  </from>
                  <to>
                    <xdr:col>36</xdr:col>
                    <xdr:colOff>47625</xdr:colOff>
                    <xdr:row>9</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B973BF1-7ADA-49A5-A70B-53D0B1B30BD5}">
            <x14:dataBar minLength="0" maxLength="100" border="1">
              <x14:cfvo type="autoMin"/>
              <x14:cfvo type="autoMax"/>
              <x14:borderColor rgb="FF000000"/>
              <x14:negativeFillColor rgb="FFFF0000"/>
              <x14:axisColor rgb="FF000000"/>
            </x14:dataBar>
          </x14:cfRule>
          <xm:sqref>I19:I159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D5"/>
  <sheetViews>
    <sheetView showGridLines="0" workbookViewId="0">
      <selection activeCell="D13" sqref="D13"/>
    </sheetView>
  </sheetViews>
  <sheetFormatPr defaultColWidth="8.85546875" defaultRowHeight="15" x14ac:dyDescent="0.25"/>
  <cols>
    <col min="3" max="3" width="29.7109375" customWidth="1"/>
    <col min="4" max="4" width="15.5703125" customWidth="1"/>
  </cols>
  <sheetData>
    <row r="4" spans="3:4" x14ac:dyDescent="0.25">
      <c r="C4" s="93" t="s">
        <v>298</v>
      </c>
      <c r="D4" s="94" t="s">
        <v>201</v>
      </c>
    </row>
    <row r="5" spans="3:4" x14ac:dyDescent="0.25">
      <c r="C5" s="93" t="s">
        <v>297</v>
      </c>
      <c r="D5" s="94">
        <v>17</v>
      </c>
    </row>
  </sheetData>
  <sheetProtection selectLockedCells="1"/>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User guide</vt:lpstr>
      <vt:lpstr>Resources</vt:lpstr>
      <vt:lpstr>Workload plan</vt:lpstr>
      <vt:lpstr>Settings</vt:lpstr>
      <vt:lpstr>Resources!Noms</vt:lpstr>
      <vt:lpstr>Settings!Noms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Printed>2020-09-04T14:24:05Z</cp:lastPrinted>
  <dcterms:created xsi:type="dcterms:W3CDTF">2020-09-04T08:29:58Z</dcterms:created>
  <dcterms:modified xsi:type="dcterms:W3CDTF">2022-12-20T18:31:56Z</dcterms:modified>
</cp:coreProperties>
</file>