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1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31476b8b1caf179/Documents/CHEFFERIE DE PROJET/EXCEL/calendrier pour plan de charge avec recherche de correspondance/"/>
    </mc:Choice>
  </mc:AlternateContent>
  <xr:revisionPtr revIDLastSave="1819" documentId="8_{CF896FA9-EC9D-46BC-8AFB-8566961995B6}" xr6:coauthVersionLast="46" xr6:coauthVersionMax="47" xr10:uidLastSave="{F803177B-B550-4593-90B6-245CDA9C2041}"/>
  <bookViews>
    <workbookView xWindow="-120" yWindow="-120" windowWidth="29040" windowHeight="15840" firstSheet="1" activeTab="11" xr2:uid="{5A4D7191-926A-411E-A573-70CB2061290A}"/>
  </bookViews>
  <sheets>
    <sheet name="Plan de charge - Récap" sheetId="1" r:id="rId1"/>
    <sheet name="Jours fériés" sheetId="2" r:id="rId2"/>
    <sheet name="NOV 20" sheetId="6" r:id="rId3"/>
    <sheet name="DEC 20" sheetId="7" r:id="rId4"/>
    <sheet name="JAN 21" sheetId="3" r:id="rId5"/>
    <sheet name="FEV 21 " sheetId="8" r:id="rId6"/>
    <sheet name="MAR 21" sheetId="9" r:id="rId7"/>
    <sheet name="AVR 21" sheetId="5" r:id="rId8"/>
    <sheet name="MAI 21" sheetId="11" r:id="rId9"/>
    <sheet name="Juin 21" sheetId="13" r:id="rId10"/>
    <sheet name="Juillet 21 " sheetId="14" r:id="rId11"/>
    <sheet name="Aout 21" sheetId="15" r:id="rId12"/>
    <sheet name="Septembre 21" sheetId="16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16" l="1"/>
  <c r="A5" i="16" s="1"/>
  <c r="A4" i="15"/>
  <c r="A5" i="15" s="1"/>
  <c r="A6" i="16" l="1"/>
  <c r="A8" i="16"/>
  <c r="A6" i="15"/>
  <c r="A8" i="15"/>
  <c r="A14" i="13"/>
  <c r="A10" i="13"/>
  <c r="A11" i="13"/>
  <c r="A8" i="13"/>
  <c r="A11" i="16" l="1"/>
  <c r="A9" i="16"/>
  <c r="A12" i="16" s="1"/>
  <c r="A14" i="16" s="1"/>
  <c r="A15" i="16" s="1"/>
  <c r="A11" i="15"/>
  <c r="A9" i="15"/>
  <c r="A12" i="15" s="1"/>
  <c r="A14" i="15" s="1"/>
  <c r="A15" i="15" s="1"/>
  <c r="A4" i="14"/>
  <c r="A5" i="14" s="1"/>
  <c r="A4" i="13"/>
  <c r="A4" i="11"/>
  <c r="A5" i="11" s="1"/>
  <c r="A6" i="11" s="1"/>
  <c r="A4" i="9"/>
  <c r="A4" i="7"/>
  <c r="A4" i="3"/>
  <c r="A4" i="8"/>
  <c r="A4" i="5"/>
  <c r="A4" i="6"/>
  <c r="A16" i="16" l="1"/>
  <c r="A18" i="16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18" i="15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16" i="15"/>
  <c r="A5" i="13"/>
  <c r="A8" i="14"/>
  <c r="A6" i="14"/>
  <c r="A6" i="13"/>
  <c r="A8" i="11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5" i="8"/>
  <c r="A7" i="8" s="1"/>
  <c r="A8" i="8" s="1"/>
  <c r="A10" i="8" s="1"/>
  <c r="A12" i="8" s="1"/>
  <c r="A13" i="8" s="1"/>
  <c r="A14" i="8" s="1"/>
  <c r="A15" i="8" s="1"/>
  <c r="A16" i="8" s="1"/>
  <c r="A18" i="8" s="1"/>
  <c r="A19" i="8" s="1"/>
  <c r="A20" i="8" s="1"/>
  <c r="A21" i="8" s="1"/>
  <c r="A22" i="8" s="1"/>
  <c r="A24" i="8" s="1"/>
  <c r="A25" i="8" s="1"/>
  <c r="A27" i="8" s="1"/>
  <c r="A9" i="14" l="1"/>
  <c r="A12" i="14" s="1"/>
  <c r="A14" i="14" s="1"/>
  <c r="A15" i="14" s="1"/>
  <c r="A11" i="14"/>
  <c r="A12" i="13"/>
  <c r="A15" i="13" s="1"/>
  <c r="A16" i="13" s="1"/>
  <c r="A11" i="11"/>
  <c r="A9" i="11"/>
  <c r="A28" i="8"/>
  <c r="A29" i="8" s="1"/>
  <c r="A30" i="8" s="1"/>
  <c r="A31" i="8" s="1"/>
  <c r="A33" i="8" s="1"/>
  <c r="A34" i="8" s="1"/>
  <c r="A35" i="8" s="1"/>
  <c r="A36" i="8" s="1"/>
  <c r="A37" i="8" s="1"/>
  <c r="A38" i="8" s="1"/>
  <c r="A39" i="8" s="1"/>
  <c r="A16" i="14" l="1"/>
  <c r="A18" i="14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19" i="13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17" i="13"/>
  <c r="A12" i="11"/>
  <c r="A14" i="11" s="1"/>
  <c r="C14" i="2"/>
  <c r="C15" i="2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15" i="11" l="1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18" i="11" l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16" i="11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8" i="11" l="1"/>
  <c r="A39" i="11" s="1"/>
  <c r="A32" i="5"/>
  <c r="A33" i="5" s="1"/>
  <c r="A5" i="3"/>
  <c r="A6" i="3" s="1"/>
  <c r="A7" i="3" s="1"/>
  <c r="A8" i="3" s="1"/>
  <c r="A9" i="3" s="1"/>
  <c r="A10" i="3" s="1"/>
  <c r="A11" i="3" s="1"/>
  <c r="A12" i="3" s="1"/>
  <c r="A35" i="5" l="1"/>
  <c r="A13" i="3"/>
  <c r="A15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9" i="3" s="1"/>
  <c r="A30" i="3" s="1"/>
  <c r="A31" i="3" s="1"/>
  <c r="A14" i="3"/>
  <c r="C13" i="2"/>
  <c r="C12" i="2"/>
  <c r="C11" i="2"/>
  <c r="C10" i="2"/>
  <c r="C6" i="2"/>
  <c r="C5" i="2"/>
  <c r="C3" i="2"/>
  <c r="C4" i="2" s="1"/>
  <c r="C2" i="2"/>
  <c r="A32" i="3" l="1"/>
  <c r="A34" i="3" s="1"/>
  <c r="A35" i="3" s="1"/>
  <c r="A37" i="3" s="1"/>
  <c r="A38" i="3" s="1"/>
  <c r="A39" i="3" s="1"/>
  <c r="C7" i="2"/>
  <c r="C8" i="2"/>
  <c r="C9" i="2"/>
</calcChain>
</file>

<file path=xl/sharedStrings.xml><?xml version="1.0" encoding="utf-8"?>
<sst xmlns="http://schemas.openxmlformats.org/spreadsheetml/2006/main" count="1055" uniqueCount="241">
  <si>
    <t>Mois</t>
  </si>
  <si>
    <t>Année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</si>
  <si>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</si>
  <si>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</si>
  <si>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</si>
  <si>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</si>
  <si>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</si>
  <si>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</si>
  <si>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</si>
  <si>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</si>
  <si>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</si>
  <si>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</si>
  <si>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</si>
  <si>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</si>
  <si>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Carl LAURIER</t>
  </si>
  <si>
    <t>Sylvain CAILLEAU</t>
  </si>
  <si>
    <t>Lamine BENFRADJ</t>
  </si>
  <si>
    <t>Florin Sansom</t>
  </si>
  <si>
    <t>Mathieu RALAMBOSON</t>
  </si>
  <si>
    <t>Benoit GALLOU</t>
  </si>
  <si>
    <t>Dorian DAUPHIN</t>
  </si>
  <si>
    <t>Baptiste PARENT</t>
  </si>
  <si>
    <t>Chef de projet</t>
  </si>
  <si>
    <t>Architecte / Dev backend Snr</t>
  </si>
  <si>
    <t>Dev Backend Snr</t>
  </si>
  <si>
    <t>Dev Backend Jnr</t>
  </si>
  <si>
    <t>Dev Frontend Jnr</t>
  </si>
  <si>
    <t>Dev Frontend</t>
  </si>
  <si>
    <t>Technicien Informatique</t>
  </si>
  <si>
    <t>=DATE($C$4;1;1)</t>
  </si>
  <si>
    <t>1er Janvier</t>
  </si>
  <si>
    <t>Pâques</t>
  </si>
  <si>
    <t>=DATE(année;3;29,56+0,979*MOD(204-11*MOD(année;19);30)-JOURSEM(DATE(année;3;28,56+0,979*MOD(204-11*MOD(année;19);30))))</t>
  </si>
  <si>
    <t>Lundi de Pâques</t>
  </si>
  <si>
    <t>1er Mai</t>
  </si>
  <si>
    <t>=DATE(année;5;1)</t>
  </si>
  <si>
    <t>=Pâques+1</t>
  </si>
  <si>
    <t>Victoire 8 mai</t>
  </si>
  <si>
    <t>=DATE(année;5;8)</t>
  </si>
  <si>
    <t>Ascension</t>
  </si>
  <si>
    <t>=Pâques+39</t>
  </si>
  <si>
    <t>=Pâques+49</t>
  </si>
  <si>
    <t>=Pâques+50</t>
  </si>
  <si>
    <t>Pentecôte</t>
  </si>
  <si>
    <t>Lundi de Pentecôte</t>
  </si>
  <si>
    <t>=DATE(année;7;14)</t>
  </si>
  <si>
    <t>14 juillet</t>
  </si>
  <si>
    <t xml:space="preserve">Assomption </t>
  </si>
  <si>
    <t xml:space="preserve">Toussaint </t>
  </si>
  <si>
    <t>11 novembre</t>
  </si>
  <si>
    <t>=DATE(année;8;15)</t>
  </si>
  <si>
    <t>=DATE(année;11;1)</t>
  </si>
  <si>
    <t>=DATE(année;11;11)</t>
  </si>
  <si>
    <t>=DATE(année;12;25)</t>
  </si>
  <si>
    <t>TOTAL</t>
  </si>
  <si>
    <t>COLLINS</t>
  </si>
  <si>
    <t>Aquedi - chantier à définir</t>
  </si>
  <si>
    <t>Noël 2021</t>
  </si>
  <si>
    <t>Noël 2020</t>
  </si>
  <si>
    <t>Suppression des références FrontEnd à Tableau + Corrections Aquedi V1 - Métadonnées</t>
  </si>
  <si>
    <t>Phase d'intégration DSAR (validation cartographie)</t>
  </si>
  <si>
    <t xml:space="preserve">Aquedi V1 - Test des pictogrammes + </t>
  </si>
  <si>
    <t xml:space="preserve">Aquedi v1  - Possibilité de changer facilement de dossier depuis l'écran des graphs </t>
  </si>
  <si>
    <t xml:space="preserve">Etude de faisabilité des rapports de SEG </t>
  </si>
  <si>
    <t>MAJ référentiel Sandre</t>
  </si>
  <si>
    <t>Tâche FrontEnd - Pop up "Configuration du graphique"</t>
  </si>
  <si>
    <t>Module des dossiers de variable partagés - Petites corrections graphiques</t>
  </si>
  <si>
    <t>Dossiers partagés -BUG A CORRIGER</t>
  </si>
  <si>
    <t>Collins</t>
  </si>
  <si>
    <t>Phase d'intégration DSAR (création des métadonnées)</t>
  </si>
  <si>
    <t>Congé</t>
  </si>
  <si>
    <t>Aquedi V1 - Correction sur le module des graphes +  P2P</t>
  </si>
  <si>
    <t>Module des métadonnées - Hack CSS</t>
  </si>
  <si>
    <t>Projet Collins</t>
  </si>
  <si>
    <t>Projet P2P</t>
  </si>
  <si>
    <t>Aquedi V1 - Correction FrontEnd sur les dossiers partagés</t>
  </si>
  <si>
    <t>Aquedi V1 – Suivi des imports SANDRE</t>
  </si>
  <si>
    <t>Congé RTT</t>
  </si>
  <si>
    <t>Phase d'intégration DSAR (création des métadonnées + recette bilans)</t>
  </si>
  <si>
    <t>Phase d'intégration DSAR (recette bilans)</t>
  </si>
  <si>
    <t>Aquedi V1 - Refonte du journal d'événements</t>
  </si>
  <si>
    <t>Aquedi V1 – Suivi des imports SANDRE + Aquedi V1 - Correction des métadonnées</t>
  </si>
  <si>
    <t>Aquedi V1 - Correction graphiques sur la pop up "Configuration du graphique"</t>
  </si>
  <si>
    <t>Aquedi V1 - Correction FrontEnd sur les dossiers partagés + Retouches graphiques sur le module des métadonnées</t>
  </si>
  <si>
    <t>Aquedi V1 - Chantier "Création d'un dossier de variables à partir d'un bilan"</t>
  </si>
  <si>
    <t xml:space="preserve">Aquedi V1 -Module des dossiers partagés  +  </t>
  </si>
  <si>
    <t>Chefferie de projet</t>
  </si>
  <si>
    <t>Aquedi V1 -Support de production</t>
  </si>
  <si>
    <t>Aquedi V1 - Script liquibase pour redéfinir le libellé des droits</t>
  </si>
  <si>
    <t xml:space="preserve">Aquedi V1 - Petite étude sur les droits + suppression référence à Tableau côté Backend </t>
  </si>
  <si>
    <t>Aquedi V1 - Tâches liées au module d'édition/validation des données</t>
  </si>
  <si>
    <t>Congé maladie</t>
  </si>
  <si>
    <t>Aquedi V1 - Ecran édition/validation - Retouches graphiques  + Reproduction formulaire SEC</t>
  </si>
  <si>
    <t>Aquedi V1 - Contrôle des données de SEG +  Reproduction formulaire SEC</t>
  </si>
  <si>
    <t>Aquedi - Accompagnement de l'usine SEC quant à la création de formulaires</t>
  </si>
  <si>
    <t>Aquedi - Finalisation du formulaire "Validation journalière des débits usine"  +</t>
  </si>
  <si>
    <t>Aquedi V1 - Reproduction formulaire SEC + Rédaction du manuel d'utilisateur et de la doc de formation Administrateur</t>
  </si>
  <si>
    <t>Aquedi - Tests version 1.8</t>
  </si>
  <si>
    <t>INEO</t>
  </si>
  <si>
    <t>Aquedi V1.8 - Tests de copie de référentiel pour SEM + gestion incident SEM</t>
  </si>
  <si>
    <t xml:space="preserve">Aquedi V1.8 - Basculement de BDD de l'usine SEM + </t>
  </si>
  <si>
    <t>Aquedi V1.8 - Correction de bugs + maintenance du serveur Nexus</t>
  </si>
  <si>
    <t>Aquedi V1.8 - diverses corrections graphiques</t>
  </si>
  <si>
    <t>Aquedi V1.8 -   gestion des tests + Optimisation de l'écran des graphes</t>
  </si>
  <si>
    <t>Aquedi V1.8 - Intégration des fichiers XLSM</t>
  </si>
  <si>
    <t>Aquedi V1.8 - Recette</t>
  </si>
  <si>
    <t>Aquedi V1.8 - Basculement de BDD de l'usine SEM + études bilans SAV pour chiffrage évolutions</t>
  </si>
  <si>
    <t>Aquedi V1.8.1 - Refonte du journal d'événements</t>
  </si>
  <si>
    <t xml:space="preserve">Aquedi V1.8 - Revue de code avec Sylvain  +  Chantier "Liste initiale de codes variables à la création d'un dossier" </t>
  </si>
  <si>
    <t>Phase d'intégration SEC (recette bilans)</t>
  </si>
  <si>
    <t>Aquedi V1.8 - Revue de code avec Mathieu  + corrections de bugs</t>
  </si>
  <si>
    <t xml:space="preserve">Aquedi V1 -Métadonnées sans pictos + Ecran édition/validation des données - Séparateur de milliers </t>
  </si>
  <si>
    <t>Ecran édition/validation des données - Séparateur de milliers  +</t>
  </si>
  <si>
    <t>Aquedi V1.8 - Chantier "Liste initiale de codes variables à la création d'un dossier" +</t>
  </si>
  <si>
    <t xml:space="preserve">Aquedi V1.8 - Affichage de la liste de variables d’un bilan </t>
  </si>
  <si>
    <t>Aquedi V1.8 - Correction de bugs</t>
  </si>
  <si>
    <t>Aquedi V1.8 - Corrections FrontEnd</t>
  </si>
  <si>
    <t>Ecole</t>
  </si>
  <si>
    <t>Aquedi V1.8.1 - Refonte du journal d'événements +</t>
  </si>
  <si>
    <t>Aquedi V1.8 - Corrections BackEnd + Aquedi V1.8.1 - Refonte du journal d'événements</t>
  </si>
  <si>
    <t>Aquedi V1.8 - Corrections BackEnd + Aquedi V1.8.1 - Evolution : Ajouts  d’analyses LIMS sur un échantillon</t>
  </si>
  <si>
    <t>Aquedi - Phase d'intégration SEC et SEG (recette bilans) + Aquedi V1.8.1 - Evolution : Ajouts  d’analyses LIMS sur un échantillon</t>
  </si>
  <si>
    <t>Aquedi V1.8.1 - Evolution : Ajouts  d’analyses LIMS sur un échantillon</t>
  </si>
  <si>
    <t>Aquedi 1.8 - Supervision code Mathieu + résolution bugs</t>
  </si>
  <si>
    <t>Aquedi 1.8 - Corrections de bugs</t>
  </si>
  <si>
    <t>Aquedi V1.8.1 - Support de prod pour SEG  + transmission infos à Florin sur les chantiers en cours</t>
  </si>
  <si>
    <t>Formation Majed</t>
  </si>
  <si>
    <t>Aquedi V1.3 - Support SEG</t>
  </si>
  <si>
    <t>Formation Majed + Aquedi V1.3 - Support SEG</t>
  </si>
  <si>
    <t>Projet Collins / P2P</t>
  </si>
  <si>
    <t xml:space="preserve">Projet Collins </t>
  </si>
  <si>
    <t>Formation Majed &amp; Samira</t>
  </si>
  <si>
    <t>Formation Majed + commerciaux</t>
  </si>
  <si>
    <t>Aquedi V1.8 - Correction graphiques</t>
  </si>
  <si>
    <t xml:space="preserve">Prépararation Réunion EDF </t>
  </si>
  <si>
    <t>Aquedi V 1.8 - Journée de tests sur l'usine SEM - Déplacement chez le client</t>
  </si>
  <si>
    <t>Aquedi V1.8 - préparation journée de tests chez le client</t>
  </si>
  <si>
    <t>Aquedi V1.8 - préparation journée de tests chez le client  + réunion EDF</t>
  </si>
  <si>
    <t xml:space="preserve">Aquedi V1.8.1 - Refonte du journal d'événements </t>
  </si>
  <si>
    <t>Aquedi 1.9 - GB01-03 - L'application doit permettre de générer un bilan au format pdf</t>
  </si>
  <si>
    <t>Aquedi V1.8 - Correction graphiques IE11</t>
  </si>
  <si>
    <t xml:space="preserve">Aquedi V1.8.2- Refonte du journal d'événements </t>
  </si>
  <si>
    <t>Aquedi 1.8.1 - GB01-03 - L'application doit permettre de générer un bilan au format pdf</t>
  </si>
  <si>
    <t>Majed Chaouch</t>
  </si>
  <si>
    <t>Aquedi V1.8.1 - Correction Frontend</t>
  </si>
  <si>
    <t>Aquedi V1.8.1 - Correction Backend et Frontend</t>
  </si>
  <si>
    <t>Aquedi V1.8.1 - Correction Backend</t>
  </si>
  <si>
    <t>Aquedi - Correction des unités de mesure de l'usine SEG en production</t>
  </si>
  <si>
    <t>RTT</t>
  </si>
  <si>
    <t>Aquedi V1.8.1 -Gestion des fichiers XLSM</t>
  </si>
  <si>
    <t xml:space="preserve">Aquedi 1.8.1 - Correction Bug "validation des configs d'alarme"  + </t>
  </si>
  <si>
    <t>Aquedi - Préparation environnements 1.9 et 1.8.2 + sandbox pour client</t>
  </si>
  <si>
    <t>Phase d'intégration SAV - Alimentation environnement Sandbox</t>
  </si>
  <si>
    <t xml:space="preserve"> </t>
  </si>
  <si>
    <t>?? + exports personnalisées des bilans SANDRE</t>
  </si>
  <si>
    <t>Aquedi 1.8.1 - Corrections CSS  + ??</t>
  </si>
  <si>
    <t>Aquedi 1.8.3 -Tâche FrontEnd : début de refonte du fil d'ariane</t>
  </si>
  <si>
    <t>Aquedi 1.8.2 - Evolutions</t>
  </si>
  <si>
    <t>Alpha Bah</t>
  </si>
  <si>
    <t xml:space="preserve">Développeur </t>
  </si>
  <si>
    <t>Phase d'intégration de la DSAR + préparation mise en préproduction de la version 1.8.1</t>
  </si>
  <si>
    <t>????</t>
  </si>
  <si>
    <t>Phase d'intégration de la DSAR</t>
  </si>
  <si>
    <t>Aquedi 1.8.2 - Merge de la refonte du journal des événements + transmission des tests à Randa</t>
  </si>
  <si>
    <t>Exports personnalisées des bilans SANDRE</t>
  </si>
  <si>
    <t>bug back sur Edition et validation depuis les supports  ?? +  Refonte du fil d'ariane</t>
  </si>
  <si>
    <t xml:space="preserve"> Refonte du fil d'ariane</t>
  </si>
  <si>
    <t>Phase d'intégration SAV - supervision formulaire</t>
  </si>
  <si>
    <t>Phase d'intégration SAV - Validation formulaire modélisé par Randa</t>
  </si>
  <si>
    <t>Aquedi 1.8.2 - corrections bugs lié au fil d'ariane</t>
  </si>
  <si>
    <t xml:space="preserve">Aquedi 1.8.1 et 1.8.2 - corrections bugs </t>
  </si>
  <si>
    <t>P2P</t>
  </si>
  <si>
    <t xml:space="preserve">EDF - Préparation exemples de graphes </t>
  </si>
  <si>
    <t>Chômage partiel</t>
  </si>
  <si>
    <t>Aquedi - Formation administrateur pour SEC et SEG</t>
  </si>
  <si>
    <t xml:space="preserve">rédiger un topo sur l’histoire des évenements remontés dans les fichiers Sandre  + analyse des fichiers météo de la DSAR </t>
  </si>
  <si>
    <t xml:space="preserve">Aquedi - Phase d'intégration de la DSAR - Cartographie des variables + Aquedi - module de suivi de génération des rapports </t>
  </si>
  <si>
    <t xml:space="preserve">Etape métadonnées - modifications BackEnd et Front End  + </t>
  </si>
  <si>
    <t>Module AJOUTS AUTOMATIQUES D’ANALYSES SUR UN ECHANTILLON  - Tâche de design web (sur la 1.8.2) + EDF - Etudes des graphes</t>
  </si>
  <si>
    <t xml:space="preserve">EDF - Etudes des graphes  + </t>
  </si>
  <si>
    <t>Aquedi - journée de tests de la 1.8.1 avec SEM +</t>
  </si>
  <si>
    <t>Aquedi 1.8.1   - préparation environnement Sandbox pour la DSAR  et SAV  + Phase d'intégration de SEC - Correction des erreurs liées au fichier Sandre</t>
  </si>
  <si>
    <t>Aquedi - préparation environnement Sandbox pour la DSAR  et SAV  +</t>
  </si>
  <si>
    <t>Aquedi 1.8.1 - Préparation Démo pour GHG Model platform</t>
  </si>
  <si>
    <t>Aquedi TEGG - Pointage des paramètres et des unités de mesure</t>
  </si>
  <si>
    <t>Aquedi 1.8.3- Corrections bugs FrontEnd</t>
  </si>
  <si>
    <t>Support</t>
  </si>
  <si>
    <t>Aquedi 1.8.2 - Journée de tests avec SEG et SEM</t>
  </si>
  <si>
    <t>Aquedi 1.8.2 - Préparation Journée de tests avec SEG et SEM</t>
  </si>
  <si>
    <t>Aquedi 1.8.2 - Préparation Journée de tests  avec SEG et SEM</t>
  </si>
  <si>
    <t>Phase d'intégration de SEC et SEG - Imports des données sur l'environnement de préproduction du SIAAP</t>
  </si>
  <si>
    <t xml:space="preserve">Aquedi 1.8.3 - Suivi des générations de rapports </t>
  </si>
  <si>
    <t>Phase d'intégration de la DSAR - Cartographie des variables relatives à l'usine SEV</t>
  </si>
  <si>
    <t>Phase d'intégration de la DSAR - Import des données de SEV</t>
  </si>
  <si>
    <t>Aquedi - Formation interne "Modélisation des bilans"</t>
  </si>
  <si>
    <t xml:space="preserve">Aquedi 1.8.3 - Problème de merge git </t>
  </si>
  <si>
    <t>Aquedi 1.8.3 - Modification de l'écran CRUD des variables</t>
  </si>
  <si>
    <t xml:space="preserve">Backend - Ajouts manuels d'analyses - Ajout d'un point de mesure logique </t>
  </si>
  <si>
    <t>Aquedi 1.8.3 - Tests Serveur SMTP</t>
  </si>
  <si>
    <t>Aquedi - Gestion Incident  MAV/SEM</t>
  </si>
  <si>
    <t>Aquedi - Mail de synthèse sur les problèmes d'imports de MAV/SEM</t>
  </si>
  <si>
    <t>Aquedi 1.8.3 - Modélisation des bilans suite à la feature "Génération des rapports date à date"</t>
  </si>
  <si>
    <t xml:space="preserve">Congé </t>
  </si>
  <si>
    <t>Aquedi EDF/TEGG - Rédaction CR de la réunion sur les graphes</t>
  </si>
  <si>
    <t xml:space="preserve">Aquedi EDF/TEGG - Mail de synthèse sur le dictionnaire de données et le format pivot </t>
  </si>
  <si>
    <t xml:space="preserve">Aquedi EDF/TEGG - Définition dictionnaire de données et format pivot </t>
  </si>
  <si>
    <t>Aquedi - Réunion phase d'intégration  SAV</t>
  </si>
  <si>
    <t>Aquedi - Préparation réunion phase d'intégration  SAV</t>
  </si>
  <si>
    <t>Chômage technique</t>
  </si>
  <si>
    <t>Aquedi 1.8.3 -  FrontEnd - Ajouts manuels d'analyses - Ajout d'un point de mesure logique</t>
  </si>
  <si>
    <t>Aquedi EDF/TEGG - Préparation réunion sur les graphes</t>
  </si>
  <si>
    <t xml:space="preserve">Aquedi 1.8.3 - Export automatisé des bilans sandre </t>
  </si>
  <si>
    <t>Aquedi 1.8.3 - -	Génération de rapport selon le niveau de validation des données</t>
  </si>
  <si>
    <t>Aquedi - Test accès à l'environnement BastaTests</t>
  </si>
  <si>
    <t>Aquedi 1.8.3 - Modifications Frontend sur la page de recherche des variables par les métadonnées</t>
  </si>
  <si>
    <t xml:space="preserve">Aquedi 1.8.3 - Module des alarmes - Modifications de certains message d'erreurs </t>
  </si>
  <si>
    <t>Aquedi 1.8.3 patchée - Correction FrontEnd bug "Génération des bilans selon le niveau de contrôle des données"</t>
  </si>
  <si>
    <t>Aquedi 1.8.3 patchée - Correction BackEnd bug "Génération des bilans selon le niveau de contrôle des données"</t>
  </si>
  <si>
    <t>Aquedi 1.8.3  - Préparation session de tests avec les usines</t>
  </si>
  <si>
    <t>Aquedi 1.8.3  - Modélisation des bilans de SEG - Ajout du date à date</t>
  </si>
  <si>
    <t>Chiffrage maquette REGIEBOX</t>
  </si>
  <si>
    <t>Aquedi 1.8.4  - Correction bug formulaire des points de mesure</t>
  </si>
  <si>
    <t>Aquedi EDF - Dictionnaire des données</t>
  </si>
  <si>
    <t>Aquedi 1.8.4 - Export excel des données de supervision</t>
  </si>
  <si>
    <t>Aquedi 1.8.4 - Bug fil d'ariane des bilans Sandre</t>
  </si>
  <si>
    <t>Aquedi 1.8.4  - Update graphique de la modale "Validation de masse"</t>
  </si>
  <si>
    <t xml:space="preserve">Aquedi 1.8.3 - Mise en production </t>
  </si>
  <si>
    <t>Aquedi 1.8.4 - Injection des donnés de SEG sur nos environnements de tests</t>
  </si>
  <si>
    <t>Synvance</t>
  </si>
  <si>
    <t>Aquedi 1.8.4  - Bug recherche de métadonnée / problème d'implémentation d'Hibernate</t>
  </si>
  <si>
    <t>Aquedi 1.8.4  - Bug sur le fil d'ariane des bilans sandre</t>
  </si>
  <si>
    <t>Regiebox</t>
  </si>
  <si>
    <t>Samira Boudrioua</t>
  </si>
  <si>
    <t>Incident 1581 - Recherche des données des variables siccitées</t>
  </si>
  <si>
    <t>Blocage import LIMS sur SEC / Problème de conversions d'unités de mesure</t>
  </si>
  <si>
    <t>Incident 1536 - Erreur d’affichage dans les écrans de listing de rapports</t>
  </si>
  <si>
    <t>Incident 1605 - La reproduction de la valeur précédente ne fonctionne pas - Tests avec Randa</t>
  </si>
  <si>
    <t>Incident 1536 - Erreur d’affichage dans les écrans de listing de rapports + Incident 1603 - Problème d'envoi de mails liés aux  exports automatiques - Tests avec Randa</t>
  </si>
  <si>
    <t>Incident 1603 - Problème d'envoi de mails liés aux  exports automatiques</t>
  </si>
  <si>
    <t>Phase d'intégration SAV</t>
  </si>
  <si>
    <t>Incident 1581 - Variables siccitées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</si>
</sst>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1FFFF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auto="1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auto="1"/>
      </right>
      <top style="thin">
        <color theme="2"/>
      </top>
      <bottom/>
      <diagonal/>
    </border>
    <border>
      <left style="thin">
        <color theme="2"/>
      </left>
      <right style="thin">
        <color auto="1"/>
      </right>
      <top/>
      <bottom style="thin">
        <color theme="2"/>
      </bottom>
      <diagonal/>
    </border>
    <border>
      <left style="thin">
        <color theme="2"/>
      </left>
      <right/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/>
  </cellStyleXfs>
  <cellXfs count="14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0" xfId="0" applyNumberFormat="1"/>
    <xf numFmtId="49" fontId="0" fillId="0" borderId="2" xfId="0" applyNumberFormat="1" applyBorder="1"/>
    <xf numFmtId="14" fontId="0" fillId="0" borderId="2" xfId="0" applyNumberFormat="1" applyBorder="1"/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0" fillId="0" borderId="1" xfId="0" applyFont="1" applyBorder="1" applyAlignment="1">
      <alignment horizontal="center" vertical="center" wrapText="1"/>
    </xf>
    <xf numFmtId="164" fontId="0" fillId="0" borderId="0" xfId="0" applyNumberFormat="1" applyFont="1"/>
    <xf numFmtId="0" fontId="0" fillId="0" borderId="0" xfId="0" applyFont="1" applyAlignment="1">
      <alignment horizontal="center" vertical="center"/>
    </xf>
    <xf numFmtId="0" fontId="0" fillId="2" borderId="3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3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3" fillId="0" borderId="0" xfId="0" applyFont="1"/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0" xfId="0" applyBorder="1"/>
    <xf numFmtId="0" fontId="4" fillId="0" borderId="0" xfId="0" applyFont="1"/>
    <xf numFmtId="0" fontId="0" fillId="2" borderId="3" xfId="0" applyFill="1" applyBorder="1" applyAlignment="1">
      <alignment vertical="center" wrapText="1"/>
    </xf>
    <xf numFmtId="0" fontId="0" fillId="2" borderId="0" xfId="0" applyFill="1" applyBorder="1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2" xfId="0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164" fontId="0" fillId="0" borderId="0" xfId="0" applyNumberFormat="1" applyBorder="1" applyAlignment="1">
      <alignment horizontal="right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Border="1" applyAlignment="1">
      <alignment horizontal="right"/>
    </xf>
    <xf numFmtId="0" fontId="4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6" xfId="0" applyFill="1" applyBorder="1" applyAlignment="1">
      <alignment vertical="center" wrapText="1"/>
    </xf>
    <xf numFmtId="164" fontId="0" fillId="0" borderId="0" xfId="0" applyNumberFormat="1" applyAlignment="1"/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164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 vertical="center"/>
    </xf>
    <xf numFmtId="164" fontId="0" fillId="0" borderId="0" xfId="0" applyNumberFormat="1" applyBorder="1" applyAlignment="1">
      <alignment horizontal="right"/>
    </xf>
    <xf numFmtId="0" fontId="0" fillId="0" borderId="0" xfId="0" applyAlignment="1">
      <alignment horizontal="center" vertical="center"/>
    </xf>
    <xf numFmtId="164" fontId="0" fillId="0" borderId="0" xfId="0" applyNumberFormat="1" applyBorder="1" applyAlignment="1">
      <alignment horizontal="right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vertical="center" wrapText="1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 vertical="center"/>
    </xf>
    <xf numFmtId="164" fontId="0" fillId="0" borderId="5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164" fontId="0" fillId="0" borderId="5" xfId="0" applyNumberFormat="1" applyBorder="1" applyAlignment="1">
      <alignment horizontal="right" vertical="center"/>
    </xf>
    <xf numFmtId="0" fontId="0" fillId="2" borderId="9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5" xfId="0" applyNumberFormat="1" applyBorder="1" applyAlignment="1">
      <alignment horizontal="right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0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5" xfId="0" applyNumberFormat="1" applyBorder="1"/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9" xfId="0" applyBorder="1" applyAlignment="1">
      <alignment horizontal="center" vertical="center" wrapText="1"/>
    </xf>
  </cellXfs>
  <cellStyles count="1">
    <cellStyle name="Normal" xfId="0" builtinId="0"/>
  </cellStyles>
  <dxfs count="287"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0" tint="-4.9989318521683403E-2"/>
        </patternFill>
      </fill>
    </dxf>
    <dxf>
      <fill>
        <patternFill patternType="lightUp">
          <bgColor theme="0" tint="-4.9989318521683403E-2"/>
        </patternFill>
      </fill>
    </dxf>
    <dxf>
      <fill>
        <patternFill patternType="lightUp">
          <bgColor theme="0" tint="-4.9989318521683403E-2"/>
        </patternFill>
      </fill>
    </dxf>
    <dxf>
      <fill>
        <patternFill patternType="lightUp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</dxfs>
  <tableStyles count="0" defaultTableStyle="TableStyleMedium2" defaultPivotStyle="PivotStyleLight16"/>
  <colors>
    <mruColors>
      <color rgb="FFE1FFFF"/>
      <color rgb="FFDCFFFF"/>
      <color rgb="FFE6FF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2" noThreeD="1" sel="0" val="0"/>
</file>

<file path=xl/ctrlProps/ctrlProp2.xml><?xml version="1.0" encoding="utf-8"?>
<formControlPr xmlns="http://schemas.microsoft.com/office/spreadsheetml/2009/9/main" objectType="Drop" dropStyle="combo" dx="22" fmlaLink="'NOV 20'!$M$1" fmlaRange="'Jours fériés'!$M$4:$M$15" noThreeD="1" sel="11" val="4"/>
</file>

<file path=xl/ctrlProps/ctrlProp3.xml><?xml version="1.0" encoding="utf-8"?>
<formControlPr xmlns="http://schemas.microsoft.com/office/spreadsheetml/2009/9/main" objectType="Drop" dropStyle="combo" dx="22" fmlaLink="'NOV 20'!$N$1" fmlaRange="'NOV 20'!$N$3:$N$4" noThreeD="1" sel="1" val="0"/>
</file>

<file path=xl/ctrlProps/ctrlProp4.xml><?xml version="1.0" encoding="utf-8"?>
<formControlPr xmlns="http://schemas.microsoft.com/office/spreadsheetml/2009/9/main" objectType="Drop" dropStyle="combo" dx="22" fmlaLink="'Jours fériés'!$P$5" fmlaRange="'Jours fériés'!$M$4:$M$15" noThreeD="1" sel="0" val="4"/>
</file>

<file path=xl/ctrlProps/ctrlProp5.xml><?xml version="1.0" encoding="utf-8"?>
<formControlPr xmlns="http://schemas.microsoft.com/office/spreadsheetml/2009/9/main" objectType="Drop" dropStyle="combo" dx="22" fmlaLink="'Jours fériés'!$Q$5" fmlaRange="'Jours fériés'!$N$4:$N$5" noThreeD="1" sel="0" val="0"/>
</file>

<file path=xl/ctrlProps/ctrlProp6.xml><?xml version="1.0" encoding="utf-8"?>
<formControlPr xmlns="http://schemas.microsoft.com/office/spreadsheetml/2009/9/main" objectType="Drop" dropStyle="combo" dx="22" fmlaLink="'Jours fériés'!$Q$5" fmlaRange="'Jours fériés'!$M$4:$M$15" noThreeD="1" sel="0" val="0"/>
</file>

<file path=xl/ctrlProps/ctrlProp7.xml><?xml version="1.0" encoding="utf-8"?>
<formControlPr xmlns="http://schemas.microsoft.com/office/spreadsheetml/2009/9/main" objectType="Drop" dropStyle="combo" dx="22" fmlaLink="'Jours fériés'!$R$5" fmlaRange="'Jours fériés'!$N$4:$N$5" noThreeD="1" sel="0" val="0"/>
</file>

<file path=xl/ctrlProps/ctrlProp8.xml><?xml version="1.0" encoding="utf-8"?>
<formControlPr xmlns="http://schemas.microsoft.com/office/spreadsheetml/2009/9/main" objectType="Drop" dropStyle="combo" dx="22" fmlaLink="'Jours fériés'!$P$7" fmlaRange="'Jours fériés'!$M$4:$M$15" noThreeD="1" sel="0" val="0"/>
</file>

<file path=xl/ctrlProps/ctrlProp9.xml><?xml version="1.0" encoding="utf-8"?>
<formControlPr xmlns="http://schemas.microsoft.com/office/spreadsheetml/2009/9/main" objectType="Drop" dropStyle="combo" dx="22" fmlaLink="'Jours fériés'!$S$5" fmlaRange="'Jours fériés'!$N$4:$N$5" noThreeD="1" sel="0" val="0"/>
</file>

<file path=xl/ctrlProps/ctrlProp10.xml><?xml version="1.0" encoding="utf-8"?>
<formControlPr xmlns="http://schemas.microsoft.com/office/spreadsheetml/2009/9/main" objectType="Drop" dropStyle="combo" dx="22" fmlaLink="N1" fmlaRange="'Jours fériés'!$M$4:$M$15" noThreeD="1" sel="2" val="0"/>
</file>

<file path=xl/ctrlProps/ctrlProp11.xml><?xml version="1.0" encoding="utf-8"?>
<formControlPr xmlns="http://schemas.microsoft.com/office/spreadsheetml/2009/9/main" objectType="Drop" dropStyle="combo" dx="22" fmlaLink="O1" fmlaRange="'Jours fériés'!$N$4:$N$5" noThreeD="1" sel="2" val="0"/>
</file>

<file path=xl/ctrlProps/ctrlProp12.xml><?xml version="1.0" encoding="utf-8"?>
<formControlPr xmlns="http://schemas.microsoft.com/office/spreadsheetml/2009/9/main" objectType="Drop" dropStyle="combo" dx="22" fmlaLink="N1" fmlaRange="'Jours fériés'!$M$4:$M$15" noThreeD="1" sel="4" val="0"/>
</file>

<file path=xl/ctrlProps/ctrlProp13.xml><?xml version="1.0" encoding="utf-8"?>
<formControlPr xmlns="http://schemas.microsoft.com/office/spreadsheetml/2009/9/main" objectType="Drop" dropStyle="combo" dx="22" fmlaLink="'Jours fériés'!$Q$4" fmlaRange="'Jours fériés'!$N$4:$N$5" noThreeD="1" sel="2" val="0"/>
</file>

<file path=xl/ctrlProps/ctrlProp14.xml><?xml version="1.0" encoding="utf-8"?>
<formControlPr xmlns="http://schemas.microsoft.com/office/spreadsheetml/2009/9/main" objectType="Drop" dropStyle="combo" dx="22" fmlaLink="N1" fmlaRange="'Jours fériés'!$M$4:$M$15" noThreeD="1" sel="5" val="3"/>
</file>

<file path=xl/ctrlProps/ctrlProp15.xml><?xml version="1.0" encoding="utf-8"?>
<formControlPr xmlns="http://schemas.microsoft.com/office/spreadsheetml/2009/9/main" objectType="Drop" dropStyle="combo" dx="22" fmlaLink="'Jours fériés'!$Q$4" fmlaRange="'Jours fériés'!$N$4:$N$5" noThreeD="1" sel="2" val="0"/>
</file>

<file path=xl/ctrlProps/ctrlProp16.xml><?xml version="1.0" encoding="utf-8"?>
<formControlPr xmlns="http://schemas.microsoft.com/office/spreadsheetml/2009/9/main" objectType="Drop" dropStyle="combo" dx="22" fmlaLink="O1" fmlaRange="'Jours fériés'!$M$4:$M$15" noThreeD="1" sel="6" val="4"/>
</file>

<file path=xl/ctrlProps/ctrlProp17.xml><?xml version="1.0" encoding="utf-8"?>
<formControlPr xmlns="http://schemas.microsoft.com/office/spreadsheetml/2009/9/main" objectType="Drop" dropStyle="combo" dx="22" fmlaLink="'Jours fériés'!$Q$4" fmlaRange="'Jours fériés'!$N$4:$N$5" noThreeD="1" sel="2" val="0"/>
</file>

<file path=xl/ctrlProps/ctrlProp18.xml><?xml version="1.0" encoding="utf-8"?>
<formControlPr xmlns="http://schemas.microsoft.com/office/spreadsheetml/2009/9/main" objectType="Drop" dropStyle="combo" dx="22" fmlaLink="N1" fmlaRange="'Jours fériés'!$M$4:$M$15" noThreeD="1" sel="7" val="4"/>
</file>

<file path=xl/ctrlProps/ctrlProp19.xml><?xml version="1.0" encoding="utf-8"?>
<formControlPr xmlns="http://schemas.microsoft.com/office/spreadsheetml/2009/9/main" objectType="Drop" dropStyle="combo" dx="22" fmlaLink="'Jours fériés'!$Q$4" fmlaRange="'Jours fériés'!$N$4:$N$5" noThreeD="1" sel="2" val="0"/>
</file>

<file path=xl/ctrlProps/ctrlProp20.xml><?xml version="1.0" encoding="utf-8"?>
<formControlPr xmlns="http://schemas.microsoft.com/office/spreadsheetml/2009/9/main" objectType="Drop" dropStyle="combo" dx="22" fmlaLink="M1" fmlaRange="'Jours fériés'!$M$4:$M$15" noThreeD="1" sel="8" val="4"/>
</file>

<file path=xl/ctrlProps/ctrlProp21.xml><?xml version="1.0" encoding="utf-8"?>
<formControlPr xmlns="http://schemas.microsoft.com/office/spreadsheetml/2009/9/main" objectType="Drop" dropStyle="combo" dx="22" fmlaLink="'Jours fériés'!$Q$4" fmlaRange="'Jours fériés'!$N$4:$N$5" noThreeD="1" sel="2" val="0"/>
</file>

<file path=xl/ctrlProps/ctrlProp22.xml><?xml version="1.0" encoding="utf-8"?>
<formControlPr xmlns="http://schemas.microsoft.com/office/spreadsheetml/2009/9/main" objectType="Drop" dropStyle="combo" dx="22" fmlaLink="N1" fmlaRange="'Jours fériés'!$M$4:$M$15" noThreeD="1" sel="8" val="4"/>
</file>

<file path=xl/ctrlProps/ctrlProp23.xml><?xml version="1.0" encoding="utf-8"?>
<formControlPr xmlns="http://schemas.microsoft.com/office/spreadsheetml/2009/9/main" objectType="Drop" dropStyle="combo" dx="22" fmlaLink="'Jours fériés'!$Q$4" fmlaRange="'Jours fériés'!$N$4:$N$5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161925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104775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1</xdr:col>
          <xdr:colOff>0</xdr:colOff>
          <xdr:row>1</xdr:row>
          <xdr:rowOff>238125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104775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1</xdr:col>
          <xdr:colOff>0</xdr:colOff>
          <xdr:row>1</xdr:row>
          <xdr:rowOff>238125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104775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1</xdr:col>
          <xdr:colOff>0</xdr:colOff>
          <xdr:row>1</xdr:row>
          <xdr:rowOff>238125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104775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1</xdr:col>
          <xdr:colOff>0</xdr:colOff>
          <xdr:row>1</xdr:row>
          <xdr:rowOff>238125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104775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1</xdr:col>
          <xdr:colOff>0</xdr:colOff>
          <xdr:row>1</xdr:row>
          <xdr:rowOff>238125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76200</xdr:rowOff>
        </xdr:from>
        <xdr:to>
          <xdr:col>1</xdr:col>
          <xdr:colOff>9525</xdr:colOff>
          <xdr:row>0</xdr:row>
          <xdr:rowOff>285750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47625</xdr:rowOff>
        </xdr:from>
        <xdr:to>
          <xdr:col>1</xdr:col>
          <xdr:colOff>0</xdr:colOff>
          <xdr:row>1</xdr:row>
          <xdr:rowOff>323850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76200</xdr:rowOff>
        </xdr:from>
        <xdr:to>
          <xdr:col>1</xdr:col>
          <xdr:colOff>9525</xdr:colOff>
          <xdr:row>0</xdr:row>
          <xdr:rowOff>285750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47625</xdr:rowOff>
        </xdr:from>
        <xdr:to>
          <xdr:col>1</xdr:col>
          <xdr:colOff>0</xdr:colOff>
          <xdr:row>1</xdr:row>
          <xdr:rowOff>323850</xdr:rowOff>
        </xdr:to>
        <xdr:sp macro="" textlink="">
          <xdr:nvSpPr>
            <xdr:cNvPr id="15362" name="Drop Dow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76200</xdr:rowOff>
        </xdr:from>
        <xdr:to>
          <xdr:col>1</xdr:col>
          <xdr:colOff>9525</xdr:colOff>
          <xdr:row>0</xdr:row>
          <xdr:rowOff>285750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47625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18434" name="Drop Dow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76200</xdr:rowOff>
        </xdr:from>
        <xdr:to>
          <xdr:col>1</xdr:col>
          <xdr:colOff>9525</xdr:colOff>
          <xdr:row>0</xdr:row>
          <xdr:rowOff>285750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47625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20482" name="Drop Dow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76200</xdr:rowOff>
        </xdr:from>
        <xdr:to>
          <xdr:col>1</xdr:col>
          <xdr:colOff>9525</xdr:colOff>
          <xdr:row>0</xdr:row>
          <xdr:rowOff>285750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47625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21506" name="Drop Dow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76200</xdr:rowOff>
        </xdr:from>
        <xdr:to>
          <xdr:col>1</xdr:col>
          <xdr:colOff>9525</xdr:colOff>
          <xdr:row>0</xdr:row>
          <xdr:rowOff>285750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C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47625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C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cols>
    <col min="1" max="1" width="18.140625" customWidth="1"/>
    <col min="2" max="2" width="19.28515625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F8B54-05C9-4021-9B61-E34F7368D72B}">
  <sheetPr codeName="Feuil2"/>
  <dimension ref="B1:Q20"/>
  <sheetViews>
    <sheetView topLeftCell="B1" workbookViewId="0">
      <selection activeCell="P4" sqref="P4:S15"/>
    </sheetView>
  </sheetViews>
  <sheetFormatPr baseColWidth="10" defaultRowHeight="15" x14ac:dyDescent="0.25"/>
  <cols>
    <col min="2" max="2" width="25.85546875" customWidth="1"/>
    <col min="3" max="3" width="17.85546875" customWidth="1"/>
    <col min="4" max="4" width="52.140625" style="4" customWidth="1"/>
  </cols>
  <sheetData>
    <row r="1" spans="2:17" ht="15.75" thickBot="1" x14ac:dyDescent="0.3"/>
    <row r="2" spans="2:17" ht="15.75" thickBot="1" x14ac:dyDescent="0.3">
      <c r="B2" s="5" t="s">
        <v>30</v>
      </c>
      <c r="C2" s="6">
        <f>DATE($N$5,1,1)</f>
        <v>44197</v>
      </c>
      <c r="D2" s="5" t="s">
        <v>29</v>
      </c>
    </row>
    <row r="3" spans="2:17" ht="15.75" thickBot="1" x14ac:dyDescent="0.3">
      <c r="B3" s="5" t="s">
        <v>31</v>
      </c>
      <c r="C3" s="6">
        <f>DATE($N$5,3,29.56+0.979*MOD(204-11*MOD($N$5,19),30)-WEEKDAY(DATE($N$5,3,28.56+0.979*MOD(204-11*MOD($N$5,19),30))))</f>
        <v>44290</v>
      </c>
      <c r="D3" s="5" t="s">
        <v>32</v>
      </c>
      <c r="M3" t="s">
        <v>0</v>
      </c>
      <c r="N3" t="s">
        <v>1</v>
      </c>
    </row>
    <row r="4" spans="2:17" ht="15.75" thickBot="1" x14ac:dyDescent="0.3">
      <c r="B4" s="5" t="s">
        <v>33</v>
      </c>
      <c r="C4" s="6">
        <f>$C$3+1</f>
        <v>44291</v>
      </c>
      <c r="D4" s="5" t="s">
        <v>36</v>
      </c>
      <c r="M4" t="s">
        <v>2</v>
      </c>
      <c r="N4">
        <v>2020</v>
      </c>
      <c r="Q4">
        <v>2</v>
      </c>
    </row>
    <row r="5" spans="2:17" ht="15.75" thickBot="1" x14ac:dyDescent="0.3">
      <c r="B5" s="5" t="s">
        <v>34</v>
      </c>
      <c r="C5" s="6">
        <f>DATE($N$5,5,1)</f>
        <v>44317</v>
      </c>
      <c r="D5" s="5" t="s">
        <v>35</v>
      </c>
      <c r="M5" t="s">
        <v>3</v>
      </c>
      <c r="N5">
        <v>2021</v>
      </c>
    </row>
    <row r="6" spans="2:17" ht="15.75" thickBot="1" x14ac:dyDescent="0.3">
      <c r="B6" s="5" t="s">
        <v>37</v>
      </c>
      <c r="C6" s="6">
        <f>DATE($N$5,5,8)</f>
        <v>44324</v>
      </c>
      <c r="D6" s="5" t="s">
        <v>38</v>
      </c>
      <c r="M6" t="s">
        <v>4</v>
      </c>
    </row>
    <row r="7" spans="2:17" ht="15.75" thickBot="1" x14ac:dyDescent="0.3">
      <c r="B7" s="5" t="s">
        <v>39</v>
      </c>
      <c r="C7" s="6">
        <f>$C$3+39</f>
        <v>44329</v>
      </c>
      <c r="D7" s="5" t="s">
        <v>40</v>
      </c>
      <c r="M7" t="s">
        <v>5</v>
      </c>
    </row>
    <row r="8" spans="2:17" ht="15.75" thickBot="1" x14ac:dyDescent="0.3">
      <c r="B8" s="5" t="s">
        <v>43</v>
      </c>
      <c r="C8" s="6">
        <f>$C$3+49</f>
        <v>44339</v>
      </c>
      <c r="D8" s="5" t="s">
        <v>41</v>
      </c>
      <c r="M8" t="s">
        <v>6</v>
      </c>
    </row>
    <row r="9" spans="2:17" ht="15.75" thickBot="1" x14ac:dyDescent="0.3">
      <c r="B9" s="5" t="s">
        <v>44</v>
      </c>
      <c r="C9" s="6">
        <f>$C$3+50</f>
        <v>44340</v>
      </c>
      <c r="D9" s="5" t="s">
        <v>42</v>
      </c>
      <c r="M9" t="s">
        <v>7</v>
      </c>
    </row>
    <row r="10" spans="2:17" ht="15.75" thickBot="1" x14ac:dyDescent="0.3">
      <c r="B10" s="5" t="s">
        <v>46</v>
      </c>
      <c r="C10" s="6">
        <f>DATE($N$5,7,14)</f>
        <v>44391</v>
      </c>
      <c r="D10" s="5" t="s">
        <v>45</v>
      </c>
      <c r="M10" t="s">
        <v>8</v>
      </c>
    </row>
    <row r="11" spans="2:17" ht="15.75" thickBot="1" x14ac:dyDescent="0.3">
      <c r="B11" s="5" t="s">
        <v>47</v>
      </c>
      <c r="C11" s="6">
        <f>DATE($N$5,8,15)</f>
        <v>44423</v>
      </c>
      <c r="D11" s="5" t="s">
        <v>50</v>
      </c>
      <c r="M11" t="s">
        <v>9</v>
      </c>
    </row>
    <row r="12" spans="2:17" ht="15.75" thickBot="1" x14ac:dyDescent="0.3">
      <c r="B12" s="5" t="s">
        <v>48</v>
      </c>
      <c r="C12" s="6">
        <f>DATE($N$5,11,1)</f>
        <v>44501</v>
      </c>
      <c r="D12" s="5" t="s">
        <v>51</v>
      </c>
      <c r="M12" t="s">
        <v>10</v>
      </c>
    </row>
    <row r="13" spans="2:17" ht="15.75" thickBot="1" x14ac:dyDescent="0.3">
      <c r="B13" s="5" t="s">
        <v>49</v>
      </c>
      <c r="C13" s="6">
        <f>DATE($N$5,11,11)</f>
        <v>44511</v>
      </c>
      <c r="D13" s="5" t="s">
        <v>52</v>
      </c>
      <c r="M13" t="s">
        <v>11</v>
      </c>
    </row>
    <row r="14" spans="2:17" ht="15.75" thickBot="1" x14ac:dyDescent="0.3">
      <c r="B14" s="5" t="s">
        <v>58</v>
      </c>
      <c r="C14" s="6">
        <f>DATE($N$4,12,25)</f>
        <v>44190</v>
      </c>
      <c r="D14" s="5" t="s">
        <v>53</v>
      </c>
      <c r="M14" t="s">
        <v>12</v>
      </c>
    </row>
    <row r="15" spans="2:17" ht="15.75" thickBot="1" x14ac:dyDescent="0.3">
      <c r="B15" s="5" t="s">
        <v>57</v>
      </c>
      <c r="C15" s="6">
        <f>DATE($N$5,12,25)</f>
        <v>44555</v>
      </c>
      <c r="D15" s="5" t="s">
        <v>53</v>
      </c>
      <c r="M15" t="s">
        <v>13</v>
      </c>
    </row>
    <row r="16" spans="2:17" x14ac:dyDescent="0.25">
      <c r="B16" s="4"/>
    </row>
    <row r="17" spans="2:2" x14ac:dyDescent="0.25">
      <c r="B17" s="4"/>
    </row>
    <row r="18" spans="2:2" x14ac:dyDescent="0.25">
      <c r="B18" s="4"/>
    </row>
    <row r="19" spans="2:2" x14ac:dyDescent="0.25">
      <c r="B19" s="4"/>
    </row>
    <row r="20" spans="2:2" x14ac:dyDescent="0.25">
      <c r="B20" s="4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9DBFD-6427-40BF-8852-892800D7B03F}">
  <sheetPr codeName="Feuil5"/>
  <dimension ref="A1:N34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29" style="13" customWidth="1"/>
    <col min="2" max="7" width="29.85546875" style="13" customWidth="1"/>
    <col min="8" max="8" width="29.85546875" style="16" customWidth="1"/>
    <col min="9" max="9" width="29.85546875" style="13" customWidth="1"/>
    <col min="10" max="29" width="11.42578125" style="13"/>
    <col min="30" max="34" width="0" style="13" hidden="1" customWidth="1"/>
    <col min="35" max="16384" width="11.42578125" style="13"/>
  </cols>
  <sheetData>
    <row r="1" spans="1:14" ht="31.5" customHeight="1" x14ac:dyDescent="0.25">
      <c r="A1" s="11"/>
      <c r="B1" s="12" t="s">
        <v>14</v>
      </c>
      <c r="C1" s="12" t="s">
        <v>15</v>
      </c>
      <c r="D1" s="12" t="s">
        <v>16</v>
      </c>
      <c r="E1" s="12" t="s">
        <v>17</v>
      </c>
      <c r="F1" s="12" t="s">
        <v>18</v>
      </c>
      <c r="G1" s="12" t="s">
        <v>19</v>
      </c>
      <c r="H1" s="12" t="s">
        <v>20</v>
      </c>
      <c r="I1" s="12" t="s">
        <v>21</v>
      </c>
      <c r="M1" s="13">
        <v>11</v>
      </c>
      <c r="N1" s="13">
        <v>1</v>
      </c>
    </row>
    <row r="2" spans="1:14" ht="25.5" customHeight="1" x14ac:dyDescent="0.25">
      <c r="A2" s="11"/>
      <c r="B2" s="12" t="s">
        <v>22</v>
      </c>
      <c r="C2" s="12" t="s">
        <v>23</v>
      </c>
      <c r="D2" s="12" t="s">
        <v>24</v>
      </c>
      <c r="E2" s="12" t="s">
        <v>24</v>
      </c>
      <c r="F2" s="12" t="s">
        <v>25</v>
      </c>
      <c r="G2" s="12" t="s">
        <v>26</v>
      </c>
      <c r="H2" s="12" t="s">
        <v>27</v>
      </c>
      <c r="I2" s="12" t="s">
        <v>28</v>
      </c>
      <c r="M2" s="55" t="s">
        <v>0</v>
      </c>
      <c r="N2" s="55" t="s">
        <v>1</v>
      </c>
    </row>
    <row r="3" spans="1:14" x14ac:dyDescent="0.25">
      <c r="A3" s="13" t="s">
        <v>54</v>
      </c>
      <c r="B3" s="14"/>
      <c r="C3" s="14"/>
      <c r="D3" s="14"/>
      <c r="E3" s="14">
        <v>1</v>
      </c>
      <c r="F3" s="14"/>
      <c r="G3" s="14">
        <v>1</v>
      </c>
      <c r="H3" s="14"/>
      <c r="I3" s="14"/>
      <c r="M3" s="55" t="s">
        <v>2</v>
      </c>
      <c r="N3" s="55">
        <v>2020</v>
      </c>
    </row>
    <row r="4" spans="1:14" x14ac:dyDescent="0.25">
      <c r="A4" s="15">
        <f>DATE(N1+2019,M1,1)</f>
        <v>44136</v>
      </c>
      <c r="M4" s="55" t="s">
        <v>3</v>
      </c>
      <c r="N4" s="55">
        <v>2021</v>
      </c>
    </row>
    <row r="5" spans="1:14" x14ac:dyDescent="0.25">
      <c r="A5" s="15">
        <f>A4+1</f>
        <v>44137</v>
      </c>
      <c r="M5" s="55" t="s">
        <v>4</v>
      </c>
      <c r="N5" s="55"/>
    </row>
    <row r="6" spans="1:14" x14ac:dyDescent="0.25">
      <c r="A6" s="15">
        <f t="shared" ref="A6:A34" si="0">A5+1</f>
        <v>44138</v>
      </c>
      <c r="M6" s="55" t="s">
        <v>5</v>
      </c>
      <c r="N6" s="55"/>
    </row>
    <row r="7" spans="1:14" x14ac:dyDescent="0.25">
      <c r="A7" s="15">
        <f t="shared" si="0"/>
        <v>44139</v>
      </c>
      <c r="M7" s="55" t="s">
        <v>6</v>
      </c>
      <c r="N7" s="55"/>
    </row>
    <row r="8" spans="1:14" x14ac:dyDescent="0.25">
      <c r="A8" s="15">
        <f t="shared" si="0"/>
        <v>44140</v>
      </c>
      <c r="M8" s="55" t="s">
        <v>7</v>
      </c>
      <c r="N8" s="55"/>
    </row>
    <row r="9" spans="1:14" x14ac:dyDescent="0.25">
      <c r="A9" s="15">
        <f t="shared" si="0"/>
        <v>44141</v>
      </c>
      <c r="M9" s="55" t="s">
        <v>8</v>
      </c>
      <c r="N9" s="55"/>
    </row>
    <row r="10" spans="1:14" x14ac:dyDescent="0.25">
      <c r="A10" s="15">
        <f t="shared" si="0"/>
        <v>44142</v>
      </c>
      <c r="M10" s="55" t="s">
        <v>9</v>
      </c>
      <c r="N10" s="55"/>
    </row>
    <row r="11" spans="1:14" x14ac:dyDescent="0.25">
      <c r="A11" s="15">
        <f t="shared" si="0"/>
        <v>44143</v>
      </c>
      <c r="M11" s="55" t="s">
        <v>10</v>
      </c>
      <c r="N11" s="55"/>
    </row>
    <row r="12" spans="1:14" x14ac:dyDescent="0.25">
      <c r="A12" s="15">
        <f t="shared" si="0"/>
        <v>44144</v>
      </c>
      <c r="M12" s="55" t="s">
        <v>11</v>
      </c>
      <c r="N12" s="55"/>
    </row>
    <row r="13" spans="1:14" x14ac:dyDescent="0.25">
      <c r="A13" s="15">
        <f t="shared" si="0"/>
        <v>44145</v>
      </c>
      <c r="M13" s="55" t="s">
        <v>12</v>
      </c>
      <c r="N13" s="55"/>
    </row>
    <row r="14" spans="1:14" x14ac:dyDescent="0.25">
      <c r="A14" s="15">
        <f t="shared" si="0"/>
        <v>44146</v>
      </c>
      <c r="M14" s="55" t="s">
        <v>13</v>
      </c>
      <c r="N14" s="55"/>
    </row>
    <row r="15" spans="1:14" x14ac:dyDescent="0.25">
      <c r="A15" s="15">
        <f t="shared" si="0"/>
        <v>44147</v>
      </c>
    </row>
    <row r="16" spans="1:14" x14ac:dyDescent="0.25">
      <c r="A16" s="15">
        <f t="shared" si="0"/>
        <v>44148</v>
      </c>
    </row>
    <row r="17" spans="1:9" x14ac:dyDescent="0.25">
      <c r="A17" s="15">
        <f t="shared" si="0"/>
        <v>44149</v>
      </c>
    </row>
    <row r="18" spans="1:9" x14ac:dyDescent="0.25">
      <c r="A18" s="15">
        <f t="shared" si="0"/>
        <v>44150</v>
      </c>
    </row>
    <row r="19" spans="1:9" x14ac:dyDescent="0.25">
      <c r="A19" s="15">
        <f t="shared" si="0"/>
        <v>44151</v>
      </c>
    </row>
    <row r="20" spans="1:9" x14ac:dyDescent="0.25">
      <c r="A20" s="15">
        <f t="shared" si="0"/>
        <v>44152</v>
      </c>
    </row>
    <row r="21" spans="1:9" x14ac:dyDescent="0.25">
      <c r="A21" s="15">
        <f t="shared" si="0"/>
        <v>44153</v>
      </c>
    </row>
    <row r="22" spans="1:9" x14ac:dyDescent="0.25">
      <c r="A22" s="15">
        <f t="shared" si="0"/>
        <v>44154</v>
      </c>
    </row>
    <row r="23" spans="1:9" x14ac:dyDescent="0.25">
      <c r="A23" s="15">
        <f t="shared" si="0"/>
        <v>44155</v>
      </c>
    </row>
    <row r="24" spans="1:9" x14ac:dyDescent="0.25">
      <c r="A24" s="15">
        <f t="shared" si="0"/>
        <v>44156</v>
      </c>
    </row>
    <row r="25" spans="1:9" x14ac:dyDescent="0.25">
      <c r="A25" s="15">
        <f t="shared" si="0"/>
        <v>44157</v>
      </c>
    </row>
    <row r="26" spans="1:9" x14ac:dyDescent="0.25">
      <c r="A26" s="15">
        <f t="shared" si="0"/>
        <v>44158</v>
      </c>
    </row>
    <row r="27" spans="1:9" x14ac:dyDescent="0.25">
      <c r="A27" s="15">
        <f t="shared" si="0"/>
        <v>44159</v>
      </c>
      <c r="H27" s="16" t="s">
        <v>55</v>
      </c>
    </row>
    <row r="28" spans="1:9" ht="60" x14ac:dyDescent="0.25">
      <c r="A28" s="15">
        <f t="shared" si="0"/>
        <v>44160</v>
      </c>
      <c r="E28" s="17" t="s">
        <v>60</v>
      </c>
      <c r="G28" s="17" t="s">
        <v>59</v>
      </c>
      <c r="H28" s="18" t="s">
        <v>55</v>
      </c>
    </row>
    <row r="29" spans="1:9" ht="30" x14ac:dyDescent="0.25">
      <c r="A29" s="15">
        <f t="shared" si="0"/>
        <v>44161</v>
      </c>
      <c r="G29" s="17" t="s">
        <v>61</v>
      </c>
      <c r="H29" s="16" t="s">
        <v>55</v>
      </c>
    </row>
    <row r="30" spans="1:9" ht="30" x14ac:dyDescent="0.25">
      <c r="A30" s="15">
        <f t="shared" si="0"/>
        <v>44162</v>
      </c>
      <c r="C30" s="17" t="s">
        <v>64</v>
      </c>
      <c r="H30" s="18" t="s">
        <v>55</v>
      </c>
      <c r="I30" s="17" t="s">
        <v>63</v>
      </c>
    </row>
    <row r="31" spans="1:9" x14ac:dyDescent="0.25">
      <c r="A31" s="15">
        <f t="shared" si="0"/>
        <v>44163</v>
      </c>
    </row>
    <row r="32" spans="1:9" x14ac:dyDescent="0.25">
      <c r="A32" s="15">
        <f>A31+1</f>
        <v>44164</v>
      </c>
    </row>
    <row r="33" spans="1:8" ht="45" x14ac:dyDescent="0.25">
      <c r="A33" s="15">
        <f t="shared" si="0"/>
        <v>44165</v>
      </c>
      <c r="C33" s="17" t="s">
        <v>64</v>
      </c>
      <c r="G33" s="17" t="s">
        <v>62</v>
      </c>
      <c r="H33" s="10" t="s">
        <v>56</v>
      </c>
    </row>
    <row r="34" spans="1:8" ht="17.25" hidden="1" customHeight="1" x14ac:dyDescent="0.25">
      <c r="A34" s="15">
        <f t="shared" si="0"/>
        <v>44166</v>
      </c>
    </row>
  </sheetData>
  <conditionalFormatting sqref="A4:XFD6 A8:XFD26 A7:G7 I7:XFD7 A34:XFD34 H33:XFD33 A31:XFD32 F33 A27:G30 I27:XFD30 A33:D33">
    <cfRule type="expression" dxfId="286" priority="10">
      <formula>WEEKDAY($A4,2)&gt;5</formula>
    </cfRule>
  </conditionalFormatting>
  <conditionalFormatting sqref="G33">
    <cfRule type="expression" dxfId="285" priority="2">
      <formula>WEEKDAY($A33,2)&gt;5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0</xdr:row>
                    <xdr:rowOff>104775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1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970DA20A-A040-4F22-B632-4FC732032798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A4:XFD6 A8:XFD26 A7:G7 I7:XFD7 A34:XFD34 H33:XFD33 A31:XFD32 F33 A27:G30 I27:XFD30 A33:D33</xm:sqref>
        </x14:conditionalFormatting>
        <x14:conditionalFormatting xmlns:xm="http://schemas.microsoft.com/office/excel/2006/main">
          <x14:cfRule type="expression" priority="1" id="{14303FB2-2AF2-468D-82A6-F29DCE352E87}">
            <xm:f>COUNTIFS('Jours fériés'!$C$2:$C$14,$A33)&gt;0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G33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D416-688B-49E7-8BF3-A12FCE1F254D}">
  <sheetPr codeName="Feuil6"/>
  <dimension ref="A1:N34"/>
  <sheetViews>
    <sheetView zoomScale="86" zoomScaleNormal="86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5" sqref="A5"/>
    </sheetView>
  </sheetViews>
  <sheetFormatPr baseColWidth="10" defaultRowHeight="15" x14ac:dyDescent="0.25"/>
  <cols>
    <col min="1" max="1" width="29" customWidth="1"/>
    <col min="2" max="7" width="29.85546875" customWidth="1"/>
    <col min="8" max="8" width="29.85546875" style="8" customWidth="1"/>
    <col min="9" max="9" width="29.85546875" customWidth="1"/>
    <col min="13" max="14" width="11.42578125" style="13"/>
    <col min="30" max="34" width="0" hidden="1" customWidth="1"/>
  </cols>
  <sheetData>
    <row r="1" spans="1:14" ht="31.5" customHeight="1" x14ac:dyDescent="0.25">
      <c r="A1" s="7"/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M1" s="13">
        <v>11</v>
      </c>
      <c r="N1" s="13">
        <v>1</v>
      </c>
    </row>
    <row r="2" spans="1:14" ht="25.5" customHeight="1" x14ac:dyDescent="0.25">
      <c r="A2" s="7"/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28</v>
      </c>
      <c r="M2" s="55" t="s">
        <v>0</v>
      </c>
      <c r="N2" s="55" t="s">
        <v>1</v>
      </c>
    </row>
    <row r="3" spans="1:14" x14ac:dyDescent="0.25">
      <c r="A3" t="s">
        <v>54</v>
      </c>
      <c r="B3" s="3"/>
      <c r="C3" s="3"/>
      <c r="D3" s="3"/>
      <c r="E3" s="3"/>
      <c r="F3" s="3"/>
      <c r="G3" s="3"/>
      <c r="H3" s="3"/>
      <c r="I3" s="3"/>
      <c r="M3" s="55" t="s">
        <v>2</v>
      </c>
      <c r="N3" s="55">
        <v>2020</v>
      </c>
    </row>
    <row r="4" spans="1:14" x14ac:dyDescent="0.25">
      <c r="A4" s="1">
        <f>DATE(N1+2019,M1,1)</f>
        <v>44136</v>
      </c>
      <c r="B4" s="21" t="s">
        <v>86</v>
      </c>
      <c r="M4" s="55" t="s">
        <v>3</v>
      </c>
      <c r="N4" s="55">
        <v>2021</v>
      </c>
    </row>
    <row r="5" spans="1:14" x14ac:dyDescent="0.25">
      <c r="A5" s="1">
        <f>A4+1</f>
        <v>44137</v>
      </c>
      <c r="B5" s="21" t="s">
        <v>86</v>
      </c>
      <c r="C5" s="17" t="s">
        <v>64</v>
      </c>
      <c r="M5" s="55" t="s">
        <v>4</v>
      </c>
      <c r="N5" s="55"/>
    </row>
    <row r="6" spans="1:14" ht="45" x14ac:dyDescent="0.25">
      <c r="A6" s="1">
        <f t="shared" ref="A6:A34" si="0">A5+1</f>
        <v>44138</v>
      </c>
      <c r="B6" s="21" t="s">
        <v>86</v>
      </c>
      <c r="C6" s="17" t="s">
        <v>64</v>
      </c>
      <c r="F6" s="17" t="s">
        <v>65</v>
      </c>
      <c r="G6" s="17" t="s">
        <v>66</v>
      </c>
      <c r="M6" s="55" t="s">
        <v>5</v>
      </c>
      <c r="N6" s="55"/>
    </row>
    <row r="7" spans="1:14" ht="30" x14ac:dyDescent="0.25">
      <c r="A7" s="1">
        <f t="shared" si="0"/>
        <v>44139</v>
      </c>
      <c r="B7" s="21" t="s">
        <v>86</v>
      </c>
      <c r="D7" s="17" t="s">
        <v>67</v>
      </c>
      <c r="M7" s="55" t="s">
        <v>6</v>
      </c>
      <c r="N7" s="55"/>
    </row>
    <row r="8" spans="1:14" x14ac:dyDescent="0.25">
      <c r="A8" s="1">
        <f t="shared" si="0"/>
        <v>44140</v>
      </c>
      <c r="M8" s="55" t="s">
        <v>7</v>
      </c>
      <c r="N8" s="55"/>
    </row>
    <row r="9" spans="1:14" x14ac:dyDescent="0.25">
      <c r="A9" s="1">
        <f t="shared" si="0"/>
        <v>44141</v>
      </c>
      <c r="M9" s="55" t="s">
        <v>8</v>
      </c>
      <c r="N9" s="55"/>
    </row>
    <row r="10" spans="1:14" x14ac:dyDescent="0.25">
      <c r="A10" s="1">
        <f t="shared" si="0"/>
        <v>44142</v>
      </c>
      <c r="B10" s="21" t="s">
        <v>86</v>
      </c>
      <c r="M10" s="55" t="s">
        <v>9</v>
      </c>
      <c r="N10" s="55"/>
    </row>
    <row r="11" spans="1:14" x14ac:dyDescent="0.25">
      <c r="A11" s="1">
        <f t="shared" si="0"/>
        <v>44143</v>
      </c>
      <c r="B11" s="21" t="s">
        <v>86</v>
      </c>
      <c r="M11" s="55" t="s">
        <v>10</v>
      </c>
      <c r="N11" s="55"/>
    </row>
    <row r="12" spans="1:14" x14ac:dyDescent="0.25">
      <c r="A12" s="1">
        <f t="shared" si="0"/>
        <v>44144</v>
      </c>
      <c r="B12" s="21" t="s">
        <v>86</v>
      </c>
      <c r="M12" s="55" t="s">
        <v>11</v>
      </c>
      <c r="N12" s="55"/>
    </row>
    <row r="13" spans="1:14" x14ac:dyDescent="0.25">
      <c r="A13" s="1">
        <f t="shared" si="0"/>
        <v>44145</v>
      </c>
      <c r="B13" s="21" t="s">
        <v>86</v>
      </c>
      <c r="M13" s="55" t="s">
        <v>12</v>
      </c>
      <c r="N13" s="55"/>
    </row>
    <row r="14" spans="1:14" ht="30" x14ac:dyDescent="0.25">
      <c r="A14" s="1">
        <f t="shared" si="0"/>
        <v>44146</v>
      </c>
      <c r="B14" s="21" t="s">
        <v>86</v>
      </c>
      <c r="E14" s="17" t="s">
        <v>69</v>
      </c>
      <c r="H14" s="17" t="s">
        <v>68</v>
      </c>
      <c r="M14" s="55" t="s">
        <v>13</v>
      </c>
      <c r="N14" s="55"/>
    </row>
    <row r="15" spans="1:14" x14ac:dyDescent="0.25">
      <c r="A15" s="1">
        <f t="shared" si="0"/>
        <v>44147</v>
      </c>
    </row>
    <row r="16" spans="1:14" x14ac:dyDescent="0.25">
      <c r="A16" s="1">
        <f t="shared" si="0"/>
        <v>44148</v>
      </c>
    </row>
    <row r="17" spans="1:9" ht="45" x14ac:dyDescent="0.25">
      <c r="A17" s="22">
        <f t="shared" si="0"/>
        <v>44149</v>
      </c>
      <c r="B17" s="21" t="s">
        <v>86</v>
      </c>
      <c r="D17" s="17" t="s">
        <v>71</v>
      </c>
      <c r="E17" s="17" t="s">
        <v>78</v>
      </c>
      <c r="G17" s="17" t="s">
        <v>112</v>
      </c>
      <c r="H17" s="17" t="s">
        <v>72</v>
      </c>
    </row>
    <row r="18" spans="1:9" ht="30" x14ac:dyDescent="0.25">
      <c r="A18" s="22">
        <f t="shared" si="0"/>
        <v>44150</v>
      </c>
      <c r="B18" s="21" t="s">
        <v>86</v>
      </c>
      <c r="C18" s="17" t="s">
        <v>76</v>
      </c>
      <c r="D18" s="19" t="s">
        <v>74</v>
      </c>
      <c r="E18" s="17" t="s">
        <v>79</v>
      </c>
      <c r="G18" s="8" t="s">
        <v>77</v>
      </c>
      <c r="H18" s="19" t="s">
        <v>73</v>
      </c>
    </row>
    <row r="19" spans="1:9" ht="45" x14ac:dyDescent="0.25">
      <c r="A19" s="22">
        <f t="shared" si="0"/>
        <v>44151</v>
      </c>
      <c r="B19" s="21" t="s">
        <v>86</v>
      </c>
      <c r="C19" s="17" t="s">
        <v>81</v>
      </c>
      <c r="D19" s="19" t="s">
        <v>74</v>
      </c>
      <c r="E19" s="17" t="s">
        <v>80</v>
      </c>
      <c r="G19" s="17" t="s">
        <v>75</v>
      </c>
      <c r="H19" s="8" t="s">
        <v>77</v>
      </c>
    </row>
    <row r="20" spans="1:9" ht="30" x14ac:dyDescent="0.25">
      <c r="A20" s="22">
        <f t="shared" si="0"/>
        <v>44152</v>
      </c>
      <c r="B20" s="21" t="s">
        <v>86</v>
      </c>
      <c r="D20" s="19" t="s">
        <v>74</v>
      </c>
      <c r="E20" s="8" t="s">
        <v>70</v>
      </c>
      <c r="G20" s="17" t="s">
        <v>75</v>
      </c>
      <c r="H20" s="19" t="s">
        <v>73</v>
      </c>
    </row>
    <row r="21" spans="1:9" ht="30" x14ac:dyDescent="0.25">
      <c r="A21" s="22">
        <f t="shared" si="0"/>
        <v>44153</v>
      </c>
      <c r="B21" s="21" t="s">
        <v>86</v>
      </c>
      <c r="C21" s="21" t="s">
        <v>109</v>
      </c>
      <c r="D21" s="19" t="s">
        <v>74</v>
      </c>
      <c r="E21" s="8" t="s">
        <v>70</v>
      </c>
      <c r="G21" s="8" t="s">
        <v>70</v>
      </c>
      <c r="H21" s="8" t="s">
        <v>77</v>
      </c>
    </row>
    <row r="22" spans="1:9" x14ac:dyDescent="0.25">
      <c r="A22" s="1">
        <f t="shared" si="0"/>
        <v>44154</v>
      </c>
    </row>
    <row r="23" spans="1:9" x14ac:dyDescent="0.25">
      <c r="A23" s="1">
        <f t="shared" si="0"/>
        <v>44155</v>
      </c>
    </row>
    <row r="24" spans="1:9" ht="45" x14ac:dyDescent="0.25">
      <c r="A24" s="22">
        <f t="shared" si="0"/>
        <v>44156</v>
      </c>
      <c r="B24" s="21" t="s">
        <v>86</v>
      </c>
      <c r="C24" s="8" t="s">
        <v>70</v>
      </c>
      <c r="D24" s="19" t="s">
        <v>74</v>
      </c>
      <c r="E24" s="21" t="s">
        <v>80</v>
      </c>
      <c r="F24" s="20" t="s">
        <v>84</v>
      </c>
      <c r="G24" s="17" t="s">
        <v>84</v>
      </c>
      <c r="H24" s="19" t="s">
        <v>73</v>
      </c>
    </row>
    <row r="25" spans="1:9" ht="60" x14ac:dyDescent="0.25">
      <c r="A25" s="22">
        <f t="shared" si="0"/>
        <v>44157</v>
      </c>
      <c r="B25" s="21" t="s">
        <v>86</v>
      </c>
      <c r="C25" s="8" t="s">
        <v>70</v>
      </c>
      <c r="D25" s="19" t="s">
        <v>74</v>
      </c>
      <c r="E25" s="21" t="s">
        <v>80</v>
      </c>
      <c r="F25" s="20" t="s">
        <v>85</v>
      </c>
      <c r="G25" s="17" t="s">
        <v>83</v>
      </c>
      <c r="H25" s="19" t="s">
        <v>73</v>
      </c>
    </row>
    <row r="26" spans="1:9" ht="45" x14ac:dyDescent="0.25">
      <c r="A26" s="22">
        <f t="shared" si="0"/>
        <v>44158</v>
      </c>
      <c r="B26" s="21" t="s">
        <v>86</v>
      </c>
      <c r="C26" s="8" t="s">
        <v>70</v>
      </c>
      <c r="D26" s="19" t="s">
        <v>74</v>
      </c>
      <c r="E26" s="21" t="s">
        <v>80</v>
      </c>
      <c r="F26" s="20" t="s">
        <v>84</v>
      </c>
      <c r="G26" s="8" t="s">
        <v>70</v>
      </c>
      <c r="H26" s="19" t="s">
        <v>73</v>
      </c>
    </row>
    <row r="27" spans="1:9" ht="45" x14ac:dyDescent="0.25">
      <c r="A27" s="22">
        <f t="shared" si="0"/>
        <v>44159</v>
      </c>
      <c r="B27" s="21" t="s">
        <v>86</v>
      </c>
      <c r="C27" s="8" t="s">
        <v>70</v>
      </c>
      <c r="D27" s="19" t="s">
        <v>74</v>
      </c>
      <c r="E27" s="8" t="s">
        <v>70</v>
      </c>
      <c r="F27" s="20" t="s">
        <v>82</v>
      </c>
      <c r="G27" s="8" t="s">
        <v>70</v>
      </c>
      <c r="H27" s="19" t="s">
        <v>73</v>
      </c>
      <c r="I27" s="20" t="s">
        <v>87</v>
      </c>
    </row>
    <row r="28" spans="1:9" x14ac:dyDescent="0.25">
      <c r="A28" s="1">
        <f t="shared" si="0"/>
        <v>44160</v>
      </c>
      <c r="H28"/>
    </row>
    <row r="29" spans="1:9" x14ac:dyDescent="0.25">
      <c r="A29" s="1">
        <f t="shared" si="0"/>
        <v>44161</v>
      </c>
    </row>
    <row r="30" spans="1:9" x14ac:dyDescent="0.25">
      <c r="A30" s="1">
        <f t="shared" si="0"/>
        <v>44162</v>
      </c>
      <c r="H30" s="9"/>
    </row>
    <row r="31" spans="1:9" ht="45" x14ac:dyDescent="0.25">
      <c r="A31" s="1">
        <f t="shared" si="0"/>
        <v>44163</v>
      </c>
      <c r="B31" s="9" t="s">
        <v>70</v>
      </c>
      <c r="C31" s="9" t="s">
        <v>70</v>
      </c>
      <c r="D31" s="19" t="s">
        <v>74</v>
      </c>
      <c r="E31" s="8" t="s">
        <v>70</v>
      </c>
      <c r="F31" s="21" t="s">
        <v>88</v>
      </c>
      <c r="G31" s="9" t="s">
        <v>70</v>
      </c>
      <c r="H31" s="8" t="s">
        <v>73</v>
      </c>
      <c r="I31" s="9" t="s">
        <v>70</v>
      </c>
    </row>
    <row r="32" spans="1:9" x14ac:dyDescent="0.25">
      <c r="A32" s="1">
        <f>A31+1</f>
        <v>44164</v>
      </c>
      <c r="B32" s="9" t="s">
        <v>70</v>
      </c>
      <c r="C32" s="9" t="s">
        <v>70</v>
      </c>
      <c r="D32" s="19" t="s">
        <v>74</v>
      </c>
      <c r="E32" s="8" t="s">
        <v>70</v>
      </c>
      <c r="G32" s="9" t="s">
        <v>70</v>
      </c>
      <c r="H32" s="8" t="s">
        <v>73</v>
      </c>
      <c r="I32" s="9" t="s">
        <v>70</v>
      </c>
    </row>
    <row r="33" spans="1:9" ht="60" x14ac:dyDescent="0.25">
      <c r="A33" s="1">
        <f t="shared" si="0"/>
        <v>44165</v>
      </c>
      <c r="B33" s="9" t="s">
        <v>70</v>
      </c>
      <c r="C33" s="9" t="s">
        <v>70</v>
      </c>
      <c r="D33" s="19" t="s">
        <v>74</v>
      </c>
      <c r="E33" s="8" t="s">
        <v>70</v>
      </c>
      <c r="G33" s="20" t="s">
        <v>111</v>
      </c>
      <c r="H33" s="8" t="s">
        <v>73</v>
      </c>
      <c r="I33" s="9" t="s">
        <v>70</v>
      </c>
    </row>
    <row r="34" spans="1:9" ht="19.5" customHeight="1" x14ac:dyDescent="0.25">
      <c r="A34" s="1">
        <f t="shared" si="0"/>
        <v>44166</v>
      </c>
      <c r="B34" s="9" t="s">
        <v>70</v>
      </c>
      <c r="C34" s="9" t="s">
        <v>70</v>
      </c>
      <c r="D34" s="19" t="s">
        <v>74</v>
      </c>
      <c r="E34" s="8" t="s">
        <v>70</v>
      </c>
      <c r="G34" s="9"/>
      <c r="H34" s="8" t="s">
        <v>73</v>
      </c>
      <c r="I34" s="9" t="s">
        <v>70</v>
      </c>
    </row>
  </sheetData>
  <conditionalFormatting sqref="A8:L9 I7:L7 A28:G30 A4:A7 D5:L5 D6:E6 H6:L6 E7:G7 A15:L16 I14:L14 E14:G14 A22:L23 I17:L21 A17:A21 A31:C34 E17:F18 F24:F26 C4:L4 C7 A10:A14 C10:L13 C14 C17 C20 A24:A27 I24:L30 E27:G27 F32:L34 F19:F21 F26:G26 G31:L31 O4:XFD34">
    <cfRule type="expression" dxfId="282" priority="58">
      <formula>WEEKDAY($A4,2)&gt;5</formula>
    </cfRule>
  </conditionalFormatting>
  <conditionalFormatting sqref="H29">
    <cfRule type="expression" dxfId="281" priority="59">
      <formula>WEEKDAY($A9,2)&gt;5</formula>
    </cfRule>
  </conditionalFormatting>
  <conditionalFormatting sqref="H30">
    <cfRule type="expression" dxfId="280" priority="56">
      <formula>WEEKDAY($A30,2)&gt;5</formula>
    </cfRule>
  </conditionalFormatting>
  <conditionalFormatting sqref="H28">
    <cfRule type="expression" dxfId="279" priority="54">
      <formula>WEEKDAY($A28,2)&gt;5</formula>
    </cfRule>
  </conditionalFormatting>
  <conditionalFormatting sqref="C5">
    <cfRule type="expression" dxfId="278" priority="52">
      <formula>WEEKDAY($A5,2)&gt;5</formula>
    </cfRule>
  </conditionalFormatting>
  <conditionalFormatting sqref="C6">
    <cfRule type="expression" dxfId="277" priority="50">
      <formula>WEEKDAY($A6,2)&gt;5</formula>
    </cfRule>
  </conditionalFormatting>
  <conditionalFormatting sqref="F6">
    <cfRule type="expression" dxfId="276" priority="48">
      <formula>WEEKDAY($A6,2)&gt;5</formula>
    </cfRule>
  </conditionalFormatting>
  <conditionalFormatting sqref="G6">
    <cfRule type="expression" dxfId="275" priority="46">
      <formula>WEEKDAY($A6,2)&gt;5</formula>
    </cfRule>
  </conditionalFormatting>
  <conditionalFormatting sqref="D7">
    <cfRule type="expression" dxfId="274" priority="44">
      <formula>WEEKDAY($A7,2)&gt;5</formula>
    </cfRule>
  </conditionalFormatting>
  <conditionalFormatting sqref="H14">
    <cfRule type="expression" dxfId="273" priority="42">
      <formula>WEEKDAY($A14,2)&gt;5</formula>
    </cfRule>
  </conditionalFormatting>
  <conditionalFormatting sqref="D17">
    <cfRule type="expression" dxfId="272" priority="40">
      <formula>WEEKDAY($A17,2)&gt;5</formula>
    </cfRule>
  </conditionalFormatting>
  <conditionalFormatting sqref="E14">
    <cfRule type="expression" dxfId="271" priority="38">
      <formula>WEEKDAY($A14,2)&gt;5</formula>
    </cfRule>
  </conditionalFormatting>
  <conditionalFormatting sqref="E17">
    <cfRule type="expression" dxfId="270" priority="36">
      <formula>WEEKDAY($A17,2)&gt;5</formula>
    </cfRule>
  </conditionalFormatting>
  <conditionalFormatting sqref="D18:D21">
    <cfRule type="expression" dxfId="269" priority="34">
      <formula>WEEKDAY($A18,2)&gt;5</formula>
    </cfRule>
  </conditionalFormatting>
  <conditionalFormatting sqref="H17">
    <cfRule type="expression" dxfId="268" priority="32">
      <formula>WEEKDAY($A17,2)&gt;5</formula>
    </cfRule>
  </conditionalFormatting>
  <conditionalFormatting sqref="H18 H20">
    <cfRule type="expression" dxfId="267" priority="30">
      <formula>WEEKDAY($A18,2)&gt;5</formula>
    </cfRule>
  </conditionalFormatting>
  <conditionalFormatting sqref="G19:G20">
    <cfRule type="expression" dxfId="266" priority="28">
      <formula>WEEKDAY($A19,2)&gt;5</formula>
    </cfRule>
  </conditionalFormatting>
  <conditionalFormatting sqref="G24:G25">
    <cfRule type="expression" dxfId="265" priority="26">
      <formula>WEEKDAY($A24,2)&gt;5</formula>
    </cfRule>
  </conditionalFormatting>
  <conditionalFormatting sqref="C18:C19">
    <cfRule type="expression" dxfId="264" priority="24">
      <formula>WEEKDAY($A18,2)&gt;5</formula>
    </cfRule>
  </conditionalFormatting>
  <conditionalFormatting sqref="D24:D27">
    <cfRule type="expression" dxfId="263" priority="22">
      <formula>WEEKDAY($A24,2)&gt;5</formula>
    </cfRule>
  </conditionalFormatting>
  <conditionalFormatting sqref="D31:D34">
    <cfRule type="expression" dxfId="262" priority="20">
      <formula>WEEKDAY($A31,2)&gt;5</formula>
    </cfRule>
  </conditionalFormatting>
  <conditionalFormatting sqref="E18">
    <cfRule type="expression" dxfId="261" priority="18">
      <formula>WEEKDAY($A18,2)&gt;5</formula>
    </cfRule>
  </conditionalFormatting>
  <conditionalFormatting sqref="H24">
    <cfRule type="expression" dxfId="260" priority="16">
      <formula>WEEKDAY($A24,2)&gt;5</formula>
    </cfRule>
  </conditionalFormatting>
  <conditionalFormatting sqref="H25">
    <cfRule type="expression" dxfId="259" priority="14">
      <formula>WEEKDAY($A25,2)&gt;5</formula>
    </cfRule>
  </conditionalFormatting>
  <conditionalFormatting sqref="H26">
    <cfRule type="expression" dxfId="258" priority="12">
      <formula>WEEKDAY($A26,2)&gt;5</formula>
    </cfRule>
  </conditionalFormatting>
  <conditionalFormatting sqref="H27">
    <cfRule type="expression" dxfId="257" priority="10">
      <formula>WEEKDAY($A27,2)&gt;5</formula>
    </cfRule>
  </conditionalFormatting>
  <conditionalFormatting sqref="E19">
    <cfRule type="expression" dxfId="256" priority="8">
      <formula>WEEKDAY($A19,2)&gt;5</formula>
    </cfRule>
  </conditionalFormatting>
  <conditionalFormatting sqref="E19">
    <cfRule type="expression" dxfId="255" priority="6">
      <formula>WEEKDAY($A19,2)&gt;5</formula>
    </cfRule>
  </conditionalFormatting>
  <conditionalFormatting sqref="G17">
    <cfRule type="expression" dxfId="254" priority="4">
      <formula>WEEKDAY($A17,2)&gt;5</formula>
    </cfRule>
  </conditionalFormatting>
  <conditionalFormatting sqref="M4:N34">
    <cfRule type="expression" dxfId="253" priority="2">
      <formula>WEEKDAY($A4,2)&gt;5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Drop Down 1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0</xdr:row>
                    <xdr:rowOff>104775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1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" id="{2159BD75-389F-485B-B32F-101AD8E110CA}">
            <xm:f>COUNTIFS('Jours fériés'!$C$2:$C$15,$A4)&gt;0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A8:L9 I7:L7 A28:G30 A4:A7 D5:L5 D6:E6 H6:L6 E7:G7 A15:L16 I14:L14 E14:G14 A22:L23 I17:L21 A17:A21 A31:C34 E17:F18 F24:F26 C4:L4 C7 A10:A14 C10:L13 C14 C17 C20 A24:A27 I24:L30 E27:G27 F32:L34 F19:F21 F26:G26 G31:L31 O4:XFD34</xm:sqref>
        </x14:conditionalFormatting>
        <x14:conditionalFormatting xmlns:xm="http://schemas.microsoft.com/office/excel/2006/main">
          <x14:cfRule type="expression" priority="60" id="{D0E976D6-2252-496C-8C5C-2A9DEC2DF4E1}">
            <xm:f>COUNTIFS('Jours fériés'!$C$2:$C$14,$A9)&gt;0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expression" priority="55" id="{C9062722-8016-4E8A-A8D5-E6BEEF5EE2A7}">
            <xm:f>COUNTIFS('Jours fériés'!$C$2:$C$14,$A30)&gt;0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H30</xm:sqref>
        </x14:conditionalFormatting>
        <x14:conditionalFormatting xmlns:xm="http://schemas.microsoft.com/office/excel/2006/main">
          <x14:cfRule type="expression" priority="53" id="{371F02F6-D5B8-4BFB-9D88-BB20AD69B47E}">
            <xm:f>COUNTIFS('Jours fériés'!$C$2:$C$14,$A28)&gt;0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H28</xm:sqref>
        </x14:conditionalFormatting>
        <x14:conditionalFormatting xmlns:xm="http://schemas.microsoft.com/office/excel/2006/main">
          <x14:cfRule type="expression" priority="51" id="{B26F5C54-2201-4444-9E70-E55CBCB2E55A}">
            <xm:f>COUNTIFS('Jours fériés'!$C$2:$C$14,$A5)&gt;0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49" id="{24667AD6-D0DF-4420-A902-7BDB5F40DFFD}">
            <xm:f>COUNTIFS('Jours fériés'!$C$2:$C$14,$A6)&gt;0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expression" priority="47" id="{140C95AC-E656-4A28-A3E6-211EEA3BE2B3}">
            <xm:f>COUNTIFS('Jours fériés'!$C$2:$C$14,$A6)&gt;0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expression" priority="45" id="{13142C2C-8425-4CE8-8CA1-7C3419E9D762}">
            <xm:f>COUNTIFS('Jours fériés'!$C$2:$C$14,$A6)&gt;0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43" id="{54D671FA-54C3-4927-B7D3-8C2ACEE5640F}">
            <xm:f>COUNTIFS('Jours fériés'!$C$2:$C$14,$A7)&gt;0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41" id="{E318E505-1314-4E02-AC73-516D61F21A55}">
            <xm:f>COUNTIFS('Jours fériés'!$C$2:$C$14,$A14)&gt;0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39" id="{DFE20BBD-F863-4B6C-849A-B030AA97E5EB}">
            <xm:f>COUNTIFS('Jours fériés'!$C$2:$C$14,$A17)&gt;0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37" id="{FACC56AA-CB51-4082-9507-12286DB8822D}">
            <xm:f>COUNTIFS('Jours fériés'!$C$2:$C$14,$A14)&gt;0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35" id="{120C9118-03CB-4986-8E46-49FA75E7C91B}">
            <xm:f>COUNTIFS('Jours fériés'!$C$2:$C$14,$A17)&gt;0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33" id="{0D52B720-E5CB-4558-B21B-D890B67555B1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D18:D21</xm:sqref>
        </x14:conditionalFormatting>
        <x14:conditionalFormatting xmlns:xm="http://schemas.microsoft.com/office/excel/2006/main">
          <x14:cfRule type="expression" priority="31" id="{53D0357C-EB7F-456B-AFA3-1D9FAB2FE675}">
            <xm:f>COUNTIFS('Jours fériés'!$C$2:$C$14,$A17)&gt;0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H17</xm:sqref>
        </x14:conditionalFormatting>
        <x14:conditionalFormatting xmlns:xm="http://schemas.microsoft.com/office/excel/2006/main">
          <x14:cfRule type="expression" priority="29" id="{771E35D8-6B27-4247-8379-E5CD32FB0858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H18 H20</xm:sqref>
        </x14:conditionalFormatting>
        <x14:conditionalFormatting xmlns:xm="http://schemas.microsoft.com/office/excel/2006/main">
          <x14:cfRule type="expression" priority="27" id="{D37C9935-9F03-4254-937B-86C433B44D06}">
            <xm:f>COUNTIFS('Jours fériés'!$C$2:$C$14,$A19)&gt;0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G19:G20</xm:sqref>
        </x14:conditionalFormatting>
        <x14:conditionalFormatting xmlns:xm="http://schemas.microsoft.com/office/excel/2006/main">
          <x14:cfRule type="expression" priority="25" id="{C98E52C5-5785-4DD2-AA10-936DCDCCA7E5}">
            <xm:f>COUNTIFS('Jours fériés'!$C$2:$C$14,$A24)&gt;0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G24:G25</xm:sqref>
        </x14:conditionalFormatting>
        <x14:conditionalFormatting xmlns:xm="http://schemas.microsoft.com/office/excel/2006/main">
          <x14:cfRule type="expression" priority="23" id="{6FC7445A-0C5C-414E-9B21-68EC0EF89CFA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C18:C19</xm:sqref>
        </x14:conditionalFormatting>
        <x14:conditionalFormatting xmlns:xm="http://schemas.microsoft.com/office/excel/2006/main">
          <x14:cfRule type="expression" priority="21" id="{E4864B3F-84F0-485F-B254-7D38CA341CF3}">
            <xm:f>COUNTIFS('Jours fériés'!$C$2:$C$14,$A24)&gt;0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D24:D27</xm:sqref>
        </x14:conditionalFormatting>
        <x14:conditionalFormatting xmlns:xm="http://schemas.microsoft.com/office/excel/2006/main">
          <x14:cfRule type="expression" priority="19" id="{3556A8DF-D12C-4F1C-B88B-7D79318A232D}">
            <xm:f>COUNTIFS('Jours fériés'!$C$2:$C$14,$A31)&gt;0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D31:D34</xm:sqref>
        </x14:conditionalFormatting>
        <x14:conditionalFormatting xmlns:xm="http://schemas.microsoft.com/office/excel/2006/main">
          <x14:cfRule type="expression" priority="17" id="{50D930BA-0CE3-48C2-8FFD-CB6002D9D005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15" id="{4BC0E361-385E-4454-8CC4-C65256463895}">
            <xm:f>COUNTIFS('Jours fériés'!$C$2:$C$14,$A24)&gt;0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expression" priority="13" id="{29F6F6CD-3B95-4BB4-85FD-B0C5C636D519}">
            <xm:f>COUNTIFS('Jours fériés'!$C$2:$C$14,$A25)&gt;0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H25</xm:sqref>
        </x14:conditionalFormatting>
        <x14:conditionalFormatting xmlns:xm="http://schemas.microsoft.com/office/excel/2006/main">
          <x14:cfRule type="expression" priority="11" id="{D20AFD6B-8759-4660-BA33-BE7CFD94FD7F}">
            <xm:f>COUNTIFS('Jours fériés'!$C$2:$C$14,$A26)&gt;0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H26</xm:sqref>
        </x14:conditionalFormatting>
        <x14:conditionalFormatting xmlns:xm="http://schemas.microsoft.com/office/excel/2006/main">
          <x14:cfRule type="expression" priority="9" id="{4E392E7D-B758-4CEE-8912-E431FA10038F}">
            <xm:f>COUNTIFS('Jours fériés'!$C$2:$C$14,$A27)&gt;0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H27</xm:sqref>
        </x14:conditionalFormatting>
        <x14:conditionalFormatting xmlns:xm="http://schemas.microsoft.com/office/excel/2006/main">
          <x14:cfRule type="expression" priority="5" id="{537C6129-26B9-4882-B1A5-53CF696E2791}">
            <xm:f>COUNTIFS('Jours fériés'!$C$2:$C$14,$A19)&gt;0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E19</xm:sqref>
        </x14:conditionalFormatting>
        <x14:conditionalFormatting xmlns:xm="http://schemas.microsoft.com/office/excel/2006/main">
          <x14:cfRule type="expression" priority="7" id="{896917F1-1678-4733-BD33-29C9C1F8A6B7}">
            <xm:f>COUNTIFS('Jours fériés'!$C$2:$C$15,$A19)&gt;0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E19</xm:sqref>
        </x14:conditionalFormatting>
        <x14:conditionalFormatting xmlns:xm="http://schemas.microsoft.com/office/excel/2006/main">
          <x14:cfRule type="expression" priority="3" id="{22E8FF70-2E5A-4DC4-95E8-7055C6A753B9}">
            <xm:f>COUNTIFS('Jours fériés'!$C$2:$C$14,$A17)&gt;0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G17</xm:sqref>
        </x14:conditionalFormatting>
        <x14:conditionalFormatting xmlns:xm="http://schemas.microsoft.com/office/excel/2006/main">
          <x14:cfRule type="expression" priority="1" id="{2BB310C2-8176-4378-A969-3AE1D0AE15EB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M4:N34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4B8DB-745E-4E9C-B86A-37D4D00CA3E2}">
  <sheetPr codeName="Feuil3"/>
  <dimension ref="A1:N39"/>
  <sheetViews>
    <sheetView workbookViewId="0">
      <pane ySplit="2" topLeftCell="A27" activePane="bottomLeft" state="frozen"/>
      <selection pane="bottomLeft" activeCell="A5" sqref="A5"/>
    </sheetView>
  </sheetViews>
  <sheetFormatPr baseColWidth="10" defaultRowHeight="15" x14ac:dyDescent="0.25"/>
  <cols>
    <col min="1" max="1" width="29" customWidth="1"/>
    <col min="2" max="9" width="29.85546875" customWidth="1"/>
    <col min="13" max="14" width="11.42578125" style="13"/>
    <col min="29" max="33" width="0" hidden="1" customWidth="1"/>
  </cols>
  <sheetData>
    <row r="1" spans="1:14" ht="31.5" customHeight="1" x14ac:dyDescent="0.25">
      <c r="A1" s="7"/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M1" s="13">
        <v>11</v>
      </c>
      <c r="N1" s="13">
        <v>1</v>
      </c>
    </row>
    <row r="2" spans="1:14" ht="25.5" customHeight="1" x14ac:dyDescent="0.25">
      <c r="A2" s="7"/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28</v>
      </c>
      <c r="M2" s="55" t="s">
        <v>0</v>
      </c>
      <c r="N2" s="55" t="s">
        <v>1</v>
      </c>
    </row>
    <row r="3" spans="1:14" x14ac:dyDescent="0.25">
      <c r="A3" t="s">
        <v>54</v>
      </c>
      <c r="B3" s="3"/>
      <c r="C3" s="3"/>
      <c r="D3" s="3"/>
      <c r="E3" s="3"/>
      <c r="F3" s="3"/>
      <c r="G3" s="3"/>
      <c r="H3" s="3"/>
      <c r="I3" s="3"/>
      <c r="M3" s="55" t="s">
        <v>2</v>
      </c>
      <c r="N3" s="55">
        <v>2020</v>
      </c>
    </row>
    <row r="4" spans="1:14" x14ac:dyDescent="0.25">
      <c r="A4" s="1">
        <f>DATE(N1+2019,M1,1)</f>
        <v>44136</v>
      </c>
      <c r="M4" s="55" t="s">
        <v>3</v>
      </c>
      <c r="N4" s="55">
        <v>2021</v>
      </c>
    </row>
    <row r="5" spans="1:14" x14ac:dyDescent="0.25">
      <c r="A5" s="1">
        <f>A4+1</f>
        <v>44137</v>
      </c>
      <c r="M5" s="55" t="s">
        <v>4</v>
      </c>
      <c r="N5" s="55"/>
    </row>
    <row r="6" spans="1:14" x14ac:dyDescent="0.25">
      <c r="A6" s="1">
        <f t="shared" ref="A6:A39" si="0">A5+1</f>
        <v>44138</v>
      </c>
      <c r="M6" s="55" t="s">
        <v>5</v>
      </c>
      <c r="N6" s="55"/>
    </row>
    <row r="7" spans="1:14" s="23" customFormat="1" ht="45" x14ac:dyDescent="0.25">
      <c r="A7" s="22">
        <f t="shared" si="0"/>
        <v>44139</v>
      </c>
      <c r="B7" s="21" t="s">
        <v>86</v>
      </c>
      <c r="C7" s="21" t="s">
        <v>89</v>
      </c>
      <c r="D7" s="19" t="s">
        <v>74</v>
      </c>
      <c r="E7" s="8" t="s">
        <v>70</v>
      </c>
      <c r="F7" s="8" t="s">
        <v>70</v>
      </c>
      <c r="G7" s="21" t="s">
        <v>90</v>
      </c>
      <c r="H7" s="19" t="s">
        <v>73</v>
      </c>
      <c r="I7" s="8" t="s">
        <v>91</v>
      </c>
      <c r="M7" s="55" t="s">
        <v>6</v>
      </c>
      <c r="N7" s="55"/>
    </row>
    <row r="8" spans="1:14" ht="45" x14ac:dyDescent="0.25">
      <c r="A8" s="1">
        <f t="shared" si="0"/>
        <v>44140</v>
      </c>
      <c r="B8" s="21" t="s">
        <v>86</v>
      </c>
      <c r="C8" s="21" t="s">
        <v>101</v>
      </c>
      <c r="D8" s="19" t="s">
        <v>74</v>
      </c>
      <c r="E8" s="8" t="s">
        <v>70</v>
      </c>
      <c r="F8" s="8" t="s">
        <v>70</v>
      </c>
      <c r="G8" s="21" t="s">
        <v>102</v>
      </c>
      <c r="H8" s="19" t="s">
        <v>73</v>
      </c>
      <c r="I8" s="8" t="s">
        <v>91</v>
      </c>
      <c r="M8" s="55" t="s">
        <v>7</v>
      </c>
      <c r="N8" s="55"/>
    </row>
    <row r="9" spans="1:14" ht="60" x14ac:dyDescent="0.25">
      <c r="A9" s="22">
        <f t="shared" si="0"/>
        <v>44141</v>
      </c>
      <c r="B9" s="21" t="s">
        <v>86</v>
      </c>
      <c r="C9" s="21" t="s">
        <v>123</v>
      </c>
      <c r="D9" s="19" t="s">
        <v>74</v>
      </c>
      <c r="E9" s="8" t="s">
        <v>70</v>
      </c>
      <c r="F9" s="8" t="s">
        <v>70</v>
      </c>
      <c r="G9" s="21" t="s">
        <v>96</v>
      </c>
      <c r="H9" s="19" t="s">
        <v>73</v>
      </c>
      <c r="I9" s="8" t="s">
        <v>91</v>
      </c>
      <c r="M9" s="55" t="s">
        <v>8</v>
      </c>
      <c r="N9" s="55"/>
    </row>
    <row r="10" spans="1:14" ht="60" x14ac:dyDescent="0.25">
      <c r="A10" s="22">
        <f t="shared" si="0"/>
        <v>44142</v>
      </c>
      <c r="B10" s="21" t="s">
        <v>86</v>
      </c>
      <c r="C10" s="24" t="s">
        <v>93</v>
      </c>
      <c r="D10" s="19" t="s">
        <v>74</v>
      </c>
      <c r="E10" s="8" t="s">
        <v>70</v>
      </c>
      <c r="F10" s="8" t="s">
        <v>70</v>
      </c>
      <c r="G10" s="21" t="s">
        <v>92</v>
      </c>
      <c r="H10" s="19" t="s">
        <v>73</v>
      </c>
      <c r="I10" s="8" t="s">
        <v>91</v>
      </c>
      <c r="M10" s="55" t="s">
        <v>9</v>
      </c>
      <c r="N10" s="55"/>
    </row>
    <row r="11" spans="1:14" x14ac:dyDescent="0.25">
      <c r="A11" s="22">
        <f t="shared" si="0"/>
        <v>44143</v>
      </c>
      <c r="B11" s="21" t="s">
        <v>86</v>
      </c>
      <c r="C11" s="19" t="s">
        <v>98</v>
      </c>
      <c r="D11" s="19" t="s">
        <v>74</v>
      </c>
      <c r="E11" s="8" t="s">
        <v>70</v>
      </c>
      <c r="F11" s="8" t="s">
        <v>70</v>
      </c>
      <c r="G11" s="21" t="s">
        <v>97</v>
      </c>
      <c r="H11" s="19" t="s">
        <v>73</v>
      </c>
      <c r="I11" s="8" t="s">
        <v>91</v>
      </c>
      <c r="M11" s="55" t="s">
        <v>10</v>
      </c>
      <c r="N11" s="55"/>
    </row>
    <row r="12" spans="1:14" x14ac:dyDescent="0.25">
      <c r="A12" s="1">
        <f t="shared" si="0"/>
        <v>44144</v>
      </c>
      <c r="E12" s="9"/>
      <c r="M12" s="55" t="s">
        <v>11</v>
      </c>
      <c r="N12" s="55"/>
    </row>
    <row r="13" spans="1:14" x14ac:dyDescent="0.25">
      <c r="A13" s="1">
        <f t="shared" si="0"/>
        <v>44145</v>
      </c>
      <c r="E13" s="9"/>
      <c r="M13" s="55" t="s">
        <v>12</v>
      </c>
      <c r="N13" s="55"/>
    </row>
    <row r="14" spans="1:14" x14ac:dyDescent="0.25">
      <c r="A14" s="1">
        <f>A12+1</f>
        <v>44145</v>
      </c>
      <c r="E14" s="9"/>
      <c r="M14" s="55" t="s">
        <v>13</v>
      </c>
      <c r="N14" s="55"/>
    </row>
    <row r="15" spans="1:14" ht="45" customHeight="1" x14ac:dyDescent="0.25">
      <c r="A15" s="121">
        <f>A13+1</f>
        <v>44146</v>
      </c>
      <c r="B15" s="122" t="s">
        <v>86</v>
      </c>
      <c r="C15" s="122" t="s">
        <v>99</v>
      </c>
      <c r="D15" s="21" t="s">
        <v>124</v>
      </c>
      <c r="E15" s="116" t="s">
        <v>70</v>
      </c>
      <c r="F15" s="122" t="s">
        <v>113</v>
      </c>
      <c r="G15" s="122" t="s">
        <v>102</v>
      </c>
      <c r="H15" s="113" t="s">
        <v>73</v>
      </c>
      <c r="I15" s="115" t="s">
        <v>91</v>
      </c>
    </row>
    <row r="16" spans="1:14" ht="45" customHeight="1" x14ac:dyDescent="0.25">
      <c r="A16" s="121"/>
      <c r="B16" s="118"/>
      <c r="C16" s="118"/>
      <c r="D16" s="8" t="s">
        <v>74</v>
      </c>
      <c r="E16" s="116"/>
      <c r="F16" s="118"/>
      <c r="G16" s="118"/>
      <c r="H16" s="113"/>
      <c r="I16" s="115"/>
    </row>
    <row r="17" spans="1:11" ht="45" x14ac:dyDescent="0.25">
      <c r="A17" s="22">
        <f>A15+1</f>
        <v>44147</v>
      </c>
      <c r="B17" s="21" t="s">
        <v>86</v>
      </c>
      <c r="C17" s="21" t="s">
        <v>100</v>
      </c>
      <c r="D17" s="8" t="s">
        <v>74</v>
      </c>
      <c r="E17" s="8" t="s">
        <v>70</v>
      </c>
      <c r="F17" s="21" t="s">
        <v>104</v>
      </c>
      <c r="G17" s="21" t="s">
        <v>103</v>
      </c>
      <c r="H17" s="8" t="s">
        <v>73</v>
      </c>
      <c r="I17" s="8" t="s">
        <v>91</v>
      </c>
    </row>
    <row r="18" spans="1:11" ht="60" x14ac:dyDescent="0.25">
      <c r="A18" s="22">
        <f t="shared" si="0"/>
        <v>44148</v>
      </c>
      <c r="B18" s="21" t="s">
        <v>86</v>
      </c>
      <c r="C18" s="21" t="s">
        <v>106</v>
      </c>
      <c r="D18" s="8" t="s">
        <v>74</v>
      </c>
      <c r="E18" s="8" t="s">
        <v>70</v>
      </c>
      <c r="G18" s="21" t="s">
        <v>105</v>
      </c>
      <c r="H18" s="8" t="s">
        <v>73</v>
      </c>
      <c r="I18" s="8" t="s">
        <v>91</v>
      </c>
    </row>
    <row r="19" spans="1:11" ht="60" x14ac:dyDescent="0.25">
      <c r="A19" s="22">
        <f t="shared" si="0"/>
        <v>44149</v>
      </c>
      <c r="B19" s="21" t="s">
        <v>86</v>
      </c>
      <c r="C19" s="21" t="s">
        <v>110</v>
      </c>
      <c r="D19" s="8" t="s">
        <v>74</v>
      </c>
      <c r="E19" s="8" t="s">
        <v>70</v>
      </c>
      <c r="F19" s="21" t="s">
        <v>108</v>
      </c>
      <c r="G19" s="21" t="s">
        <v>105</v>
      </c>
      <c r="H19" s="8" t="s">
        <v>73</v>
      </c>
      <c r="I19" s="8" t="s">
        <v>91</v>
      </c>
    </row>
    <row r="20" spans="1:11" ht="30" x14ac:dyDescent="0.25">
      <c r="A20" s="22">
        <f t="shared" si="0"/>
        <v>44150</v>
      </c>
      <c r="B20" s="21" t="s">
        <v>86</v>
      </c>
      <c r="C20" s="21" t="s">
        <v>109</v>
      </c>
      <c r="D20" s="8" t="s">
        <v>74</v>
      </c>
      <c r="E20" s="8" t="s">
        <v>70</v>
      </c>
      <c r="H20" s="8" t="s">
        <v>73</v>
      </c>
      <c r="I20" s="8" t="s">
        <v>91</v>
      </c>
    </row>
    <row r="21" spans="1:11" x14ac:dyDescent="0.25">
      <c r="A21" s="1">
        <f t="shared" si="0"/>
        <v>44151</v>
      </c>
    </row>
    <row r="22" spans="1:11" x14ac:dyDescent="0.25">
      <c r="A22" s="1">
        <f t="shared" si="0"/>
        <v>44152</v>
      </c>
    </row>
    <row r="23" spans="1:11" ht="30" x14ac:dyDescent="0.25">
      <c r="A23" s="1">
        <f t="shared" si="0"/>
        <v>44153</v>
      </c>
      <c r="B23" s="21" t="s">
        <v>86</v>
      </c>
      <c r="C23" s="25" t="s">
        <v>109</v>
      </c>
      <c r="D23" s="8" t="s">
        <v>74</v>
      </c>
      <c r="E23" s="25" t="s">
        <v>114</v>
      </c>
      <c r="F23" s="8" t="s">
        <v>117</v>
      </c>
      <c r="G23" s="8" t="s">
        <v>73</v>
      </c>
      <c r="H23" s="8" t="s">
        <v>73</v>
      </c>
      <c r="I23" s="8" t="s">
        <v>91</v>
      </c>
    </row>
    <row r="24" spans="1:11" ht="75" x14ac:dyDescent="0.25">
      <c r="A24" s="1">
        <f t="shared" si="0"/>
        <v>44154</v>
      </c>
      <c r="B24" s="21" t="s">
        <v>86</v>
      </c>
      <c r="C24" s="21" t="s">
        <v>121</v>
      </c>
      <c r="D24" s="8" t="s">
        <v>74</v>
      </c>
      <c r="E24" s="21" t="s">
        <v>115</v>
      </c>
      <c r="F24" s="8" t="s">
        <v>117</v>
      </c>
      <c r="G24" s="8" t="s">
        <v>73</v>
      </c>
      <c r="H24" s="8" t="s">
        <v>73</v>
      </c>
      <c r="I24" s="8" t="s">
        <v>91</v>
      </c>
    </row>
    <row r="25" spans="1:11" ht="60" x14ac:dyDescent="0.25">
      <c r="A25" s="1">
        <f t="shared" si="0"/>
        <v>44155</v>
      </c>
      <c r="B25" s="21" t="s">
        <v>86</v>
      </c>
      <c r="C25" s="21" t="s">
        <v>120</v>
      </c>
      <c r="D25" s="8" t="s">
        <v>74</v>
      </c>
      <c r="E25" s="21" t="s">
        <v>119</v>
      </c>
      <c r="F25" s="8" t="s">
        <v>117</v>
      </c>
      <c r="G25" s="25" t="s">
        <v>116</v>
      </c>
      <c r="H25" s="8" t="s">
        <v>73</v>
      </c>
      <c r="I25" s="8" t="s">
        <v>91</v>
      </c>
    </row>
    <row r="26" spans="1:11" ht="45" x14ac:dyDescent="0.25">
      <c r="A26" s="1">
        <f t="shared" si="0"/>
        <v>44156</v>
      </c>
      <c r="B26" s="21" t="s">
        <v>86</v>
      </c>
      <c r="C26" s="21" t="s">
        <v>122</v>
      </c>
      <c r="D26" s="8" t="s">
        <v>74</v>
      </c>
      <c r="E26" s="21" t="s">
        <v>107</v>
      </c>
      <c r="F26" s="8" t="s">
        <v>117</v>
      </c>
      <c r="G26" s="25" t="s">
        <v>114</v>
      </c>
      <c r="H26" s="8" t="s">
        <v>73</v>
      </c>
      <c r="I26" s="8" t="s">
        <v>91</v>
      </c>
    </row>
    <row r="27" spans="1:11" x14ac:dyDescent="0.25">
      <c r="A27" s="114">
        <f>A26+1</f>
        <v>44157</v>
      </c>
      <c r="B27" s="117" t="s">
        <v>86</v>
      </c>
      <c r="C27" s="8" t="s">
        <v>98</v>
      </c>
      <c r="D27" s="116" t="s">
        <v>74</v>
      </c>
      <c r="E27" s="117" t="s">
        <v>107</v>
      </c>
      <c r="F27" s="113" t="s">
        <v>117</v>
      </c>
      <c r="G27" s="124" t="s">
        <v>73</v>
      </c>
      <c r="H27" s="115" t="s">
        <v>73</v>
      </c>
      <c r="I27" s="115" t="s">
        <v>91</v>
      </c>
      <c r="J27" s="123"/>
      <c r="K27" s="123"/>
    </row>
    <row r="28" spans="1:11" ht="45" x14ac:dyDescent="0.25">
      <c r="A28" s="114"/>
      <c r="B28" s="118"/>
      <c r="C28" s="25" t="s">
        <v>125</v>
      </c>
      <c r="D28" s="116"/>
      <c r="E28" s="118"/>
      <c r="F28" s="113"/>
      <c r="G28" s="115"/>
      <c r="H28" s="115"/>
      <c r="I28" s="115"/>
      <c r="J28" s="123"/>
      <c r="K28" s="123"/>
    </row>
    <row r="29" spans="1:11" x14ac:dyDescent="0.25">
      <c r="A29" s="1">
        <f>A27+1</f>
        <v>44158</v>
      </c>
    </row>
    <row r="30" spans="1:11" x14ac:dyDescent="0.25">
      <c r="A30" s="1">
        <f t="shared" si="0"/>
        <v>44159</v>
      </c>
    </row>
    <row r="31" spans="1:11" ht="45" x14ac:dyDescent="0.25">
      <c r="A31" s="1">
        <f t="shared" si="0"/>
        <v>44160</v>
      </c>
      <c r="B31" s="21" t="s">
        <v>86</v>
      </c>
      <c r="C31" s="8" t="s">
        <v>70</v>
      </c>
      <c r="D31" s="27" t="s">
        <v>74</v>
      </c>
      <c r="E31" s="21" t="s">
        <v>122</v>
      </c>
      <c r="F31" s="8" t="s">
        <v>117</v>
      </c>
      <c r="G31" s="8" t="s">
        <v>73</v>
      </c>
      <c r="H31" s="28" t="s">
        <v>129</v>
      </c>
      <c r="I31" s="29" t="s">
        <v>126</v>
      </c>
    </row>
    <row r="32" spans="1:11" ht="43.15" customHeight="1" x14ac:dyDescent="0.25">
      <c r="A32" s="114">
        <f>A31+1</f>
        <v>44161</v>
      </c>
      <c r="B32" s="117" t="s">
        <v>86</v>
      </c>
      <c r="C32" s="113" t="s">
        <v>70</v>
      </c>
      <c r="D32" s="27" t="s">
        <v>74</v>
      </c>
      <c r="E32" s="117" t="s">
        <v>122</v>
      </c>
      <c r="F32" s="113" t="s">
        <v>117</v>
      </c>
      <c r="G32" s="115" t="s">
        <v>73</v>
      </c>
      <c r="H32" s="116" t="s">
        <v>129</v>
      </c>
      <c r="I32" s="21" t="s">
        <v>109</v>
      </c>
    </row>
    <row r="33" spans="1:9" ht="30" x14ac:dyDescent="0.25">
      <c r="A33" s="114"/>
      <c r="B33" s="118"/>
      <c r="C33" s="113"/>
      <c r="D33" s="26" t="s">
        <v>115</v>
      </c>
      <c r="E33" s="118"/>
      <c r="F33" s="113"/>
      <c r="G33" s="115"/>
      <c r="H33" s="116"/>
      <c r="I33" s="29" t="s">
        <v>131</v>
      </c>
    </row>
    <row r="34" spans="1:9" ht="30" x14ac:dyDescent="0.25">
      <c r="A34" s="1">
        <f>A32+1</f>
        <v>44162</v>
      </c>
      <c r="B34" s="21" t="s">
        <v>86</v>
      </c>
      <c r="C34" s="8" t="s">
        <v>70</v>
      </c>
      <c r="D34" s="27" t="s">
        <v>74</v>
      </c>
      <c r="E34" s="25" t="s">
        <v>109</v>
      </c>
      <c r="F34" s="8" t="s">
        <v>117</v>
      </c>
      <c r="G34" s="30" t="s">
        <v>73</v>
      </c>
      <c r="H34" s="30" t="s">
        <v>129</v>
      </c>
      <c r="I34" s="31" t="s">
        <v>128</v>
      </c>
    </row>
    <row r="35" spans="1:9" ht="30" x14ac:dyDescent="0.25">
      <c r="A35" s="114">
        <f t="shared" si="0"/>
        <v>44163</v>
      </c>
      <c r="B35" s="21" t="s">
        <v>86</v>
      </c>
      <c r="C35" s="113" t="s">
        <v>70</v>
      </c>
      <c r="D35" s="115" t="s">
        <v>74</v>
      </c>
      <c r="E35" s="31" t="s">
        <v>115</v>
      </c>
      <c r="F35" s="116" t="s">
        <v>117</v>
      </c>
      <c r="G35" s="117" t="s">
        <v>115</v>
      </c>
      <c r="H35" s="113" t="s">
        <v>129</v>
      </c>
      <c r="I35" s="119" t="s">
        <v>127</v>
      </c>
    </row>
    <row r="36" spans="1:9" x14ac:dyDescent="0.25">
      <c r="A36" s="114"/>
      <c r="B36" s="34"/>
      <c r="C36" s="113"/>
      <c r="D36" s="115"/>
      <c r="E36" s="24" t="s">
        <v>127</v>
      </c>
      <c r="F36" s="116"/>
      <c r="G36" s="118"/>
      <c r="H36" s="113"/>
      <c r="I36" s="120"/>
    </row>
    <row r="37" spans="1:9" ht="30" x14ac:dyDescent="0.25">
      <c r="A37" s="1">
        <f>A35+1</f>
        <v>44164</v>
      </c>
      <c r="B37" s="21" t="s">
        <v>86</v>
      </c>
      <c r="C37" s="8" t="s">
        <v>70</v>
      </c>
      <c r="D37" s="27" t="s">
        <v>74</v>
      </c>
      <c r="E37" s="24" t="s">
        <v>127</v>
      </c>
      <c r="F37" s="8" t="s">
        <v>117</v>
      </c>
      <c r="G37" s="26" t="s">
        <v>115</v>
      </c>
      <c r="H37" s="30" t="s">
        <v>129</v>
      </c>
      <c r="I37" s="34" t="s">
        <v>132</v>
      </c>
    </row>
    <row r="38" spans="1:9" x14ac:dyDescent="0.25">
      <c r="A38" s="1">
        <f t="shared" si="0"/>
        <v>44165</v>
      </c>
    </row>
    <row r="39" spans="1:9" ht="15" customHeight="1" x14ac:dyDescent="0.25">
      <c r="A39" s="1">
        <f t="shared" si="0"/>
        <v>44166</v>
      </c>
    </row>
  </sheetData>
  <mergeCells count="31">
    <mergeCell ref="G27:G28"/>
    <mergeCell ref="A27:A28"/>
    <mergeCell ref="B27:B28"/>
    <mergeCell ref="D27:D28"/>
    <mergeCell ref="E27:E28"/>
    <mergeCell ref="F27:F28"/>
    <mergeCell ref="H27:H28"/>
    <mergeCell ref="I27:I28"/>
    <mergeCell ref="J27:K28"/>
    <mergeCell ref="I15:I16"/>
    <mergeCell ref="H15:H16"/>
    <mergeCell ref="G15:G16"/>
    <mergeCell ref="F15:F16"/>
    <mergeCell ref="E15:E16"/>
    <mergeCell ref="C15:C16"/>
    <mergeCell ref="B15:B16"/>
    <mergeCell ref="A32:A33"/>
    <mergeCell ref="B32:B33"/>
    <mergeCell ref="C32:C33"/>
    <mergeCell ref="E32:E33"/>
    <mergeCell ref="A15:A16"/>
    <mergeCell ref="H35:H36"/>
    <mergeCell ref="I35:I36"/>
    <mergeCell ref="F32:F33"/>
    <mergeCell ref="G32:G33"/>
    <mergeCell ref="H32:H33"/>
    <mergeCell ref="C35:C36"/>
    <mergeCell ref="A35:A36"/>
    <mergeCell ref="D35:D36"/>
    <mergeCell ref="F35:F36"/>
    <mergeCell ref="G35:G36"/>
  </mergeCells>
  <conditionalFormatting sqref="A7:A11 C10 E7:E11 F18 I18 F20:G20 I20 F23:G23 C31:D32 F24:F26 A23:A27 G26 H23:H26 D23:D27 E27:I27 A14:A15 D17:D20 H17:H20 A17:A20 A31:A32 C34:D35 A4:I6 J4:L26 A12:I14 A21:I22 A29:I30 J29:L39 A38:I39 H15:I15 C37:D37 A34:A35 A37 O29:XFD39 O4:XFD26">
    <cfRule type="expression" dxfId="222" priority="76">
      <formula>WEEKDAY($A4,2)&gt;5</formula>
    </cfRule>
  </conditionalFormatting>
  <conditionalFormatting sqref="E15 E17:E20">
    <cfRule type="expression" dxfId="221" priority="74">
      <formula>WEEKDAY($A15,2)&gt;5</formula>
    </cfRule>
  </conditionalFormatting>
  <conditionalFormatting sqref="F7:F11">
    <cfRule type="expression" dxfId="220" priority="72">
      <formula>WEEKDAY($A7,2)&gt;5</formula>
    </cfRule>
  </conditionalFormatting>
  <conditionalFormatting sqref="H7">
    <cfRule type="expression" dxfId="219" priority="68">
      <formula>WEEKDAY($A7,2)&gt;5</formula>
    </cfRule>
  </conditionalFormatting>
  <conditionalFormatting sqref="H8">
    <cfRule type="expression" dxfId="218" priority="66">
      <formula>WEEKDAY($A8,2)&gt;5</formula>
    </cfRule>
  </conditionalFormatting>
  <conditionalFormatting sqref="H9">
    <cfRule type="expression" dxfId="217" priority="64">
      <formula>WEEKDAY($A9,2)&gt;5</formula>
    </cfRule>
  </conditionalFormatting>
  <conditionalFormatting sqref="H10:H11">
    <cfRule type="expression" dxfId="216" priority="62">
      <formula>WEEKDAY($A10,2)&gt;5</formula>
    </cfRule>
  </conditionalFormatting>
  <conditionalFormatting sqref="D7:D10">
    <cfRule type="expression" dxfId="215" priority="60">
      <formula>WEEKDAY($A7,2)&gt;5</formula>
    </cfRule>
  </conditionalFormatting>
  <conditionalFormatting sqref="D11">
    <cfRule type="expression" dxfId="214" priority="58">
      <formula>WEEKDAY($A11,2)&gt;5</formula>
    </cfRule>
  </conditionalFormatting>
  <conditionalFormatting sqref="I7">
    <cfRule type="expression" dxfId="213" priority="56">
      <formula>WEEKDAY($A7,2)&gt;5</formula>
    </cfRule>
  </conditionalFormatting>
  <conditionalFormatting sqref="I8:I11">
    <cfRule type="expression" dxfId="212" priority="54">
      <formula>WEEKDAY($A8,2)&gt;5</formula>
    </cfRule>
  </conditionalFormatting>
  <conditionalFormatting sqref="C11">
    <cfRule type="expression" dxfId="211" priority="52">
      <formula>WEEKDAY($A11,2)&gt;5</formula>
    </cfRule>
  </conditionalFormatting>
  <conditionalFormatting sqref="G24">
    <cfRule type="expression" dxfId="210" priority="104">
      <formula>WEEKDAY($A25,2)&gt;5</formula>
    </cfRule>
  </conditionalFormatting>
  <conditionalFormatting sqref="E27">
    <cfRule type="expression" dxfId="209" priority="46">
      <formula>WEEKDAY($A24,2)&gt;5</formula>
    </cfRule>
  </conditionalFormatting>
  <conditionalFormatting sqref="E23">
    <cfRule type="expression" dxfId="208" priority="42">
      <formula>WEEKDAY($A23,2)&gt;5</formula>
    </cfRule>
  </conditionalFormatting>
  <conditionalFormatting sqref="C23">
    <cfRule type="expression" dxfId="207" priority="40">
      <formula>WEEKDAY($A23,2)&gt;5</formula>
    </cfRule>
  </conditionalFormatting>
  <conditionalFormatting sqref="G25 L28 I32 O28:XFD28">
    <cfRule type="expression" dxfId="206" priority="36">
      <formula>WEEKDAY($A24,2)&gt;5</formula>
    </cfRule>
  </conditionalFormatting>
  <conditionalFormatting sqref="I23 I25">
    <cfRule type="expression" dxfId="205" priority="32">
      <formula>WEEKDAY($A23,2)&gt;5</formula>
    </cfRule>
  </conditionalFormatting>
  <conditionalFormatting sqref="G31">
    <cfRule type="expression" dxfId="204" priority="28">
      <formula>WEEKDAY($A31,2)&gt;5</formula>
    </cfRule>
  </conditionalFormatting>
  <conditionalFormatting sqref="G32">
    <cfRule type="expression" dxfId="203" priority="29">
      <formula>WEEKDAY($A34,2)&gt;5</formula>
    </cfRule>
  </conditionalFormatting>
  <conditionalFormatting sqref="F31:F32 F34:F35 F37">
    <cfRule type="expression" dxfId="202" priority="26">
      <formula>WEEKDAY($A31,2)&gt;5</formula>
    </cfRule>
  </conditionalFormatting>
  <conditionalFormatting sqref="L27 O27:XFD27">
    <cfRule type="expression" dxfId="201" priority="114">
      <formula>WEEKDAY(#REF!,2)&gt;5</formula>
    </cfRule>
  </conditionalFormatting>
  <conditionalFormatting sqref="C27">
    <cfRule type="expression" dxfId="200" priority="23">
      <formula>WEEKDAY(#REF!,2)&gt;5</formula>
    </cfRule>
  </conditionalFormatting>
  <conditionalFormatting sqref="H31:H32 H34">
    <cfRule type="expression" dxfId="199" priority="18">
      <formula>WEEKDAY($A31,2)&gt;5</formula>
    </cfRule>
  </conditionalFormatting>
  <conditionalFormatting sqref="H35">
    <cfRule type="expression" dxfId="198" priority="10">
      <formula>WEEKDAY($A35,2)&gt;5</formula>
    </cfRule>
  </conditionalFormatting>
  <conditionalFormatting sqref="H37">
    <cfRule type="expression" dxfId="197" priority="8">
      <formula>WEEKDAY($A37,2)&gt;5</formula>
    </cfRule>
  </conditionalFormatting>
  <conditionalFormatting sqref="G34">
    <cfRule type="expression" dxfId="196" priority="6">
      <formula>WEEKDAY($A34,2)&gt;5</formula>
    </cfRule>
  </conditionalFormatting>
  <conditionalFormatting sqref="E34">
    <cfRule type="expression" dxfId="195" priority="4">
      <formula>WEEKDAY($A34,2)&gt;5</formula>
    </cfRule>
  </conditionalFormatting>
  <conditionalFormatting sqref="M4:N34">
    <cfRule type="expression" dxfId="194" priority="2">
      <formula>WEEKDAY($A4,2)&gt;5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0</xdr:row>
                    <xdr:rowOff>104775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1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5" id="{7439599E-4675-46E5-BF29-F0CF4CC9038E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A7:A11 C10 E7:E11 F18 I18 F20:G20 I20 F23:G23 C31:D32 F24:F26 A23:A27 G26 H23:H26 D23:D27 E27:I27 A14:A15 D17:D20 H17:H20 A17:A20 A31:A32 C34:D35 A4:I6 J4:L26 A12:I14 A21:I22 A29:I30 J29:L39 A38:I39 H15:I15 C37:D37 A34:A35 A37 O29:XFD39 O4:XFD26</xm:sqref>
        </x14:conditionalFormatting>
        <x14:conditionalFormatting xmlns:xm="http://schemas.microsoft.com/office/excel/2006/main">
          <x14:cfRule type="expression" priority="73" id="{068071BC-6D95-44C6-8DD5-456B707B2857}">
            <xm:f>COUNTIFS('Jours fériés'!$C$2:$C$14,$A15)&gt;0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E15 E17:E20</xm:sqref>
        </x14:conditionalFormatting>
        <x14:conditionalFormatting xmlns:xm="http://schemas.microsoft.com/office/excel/2006/main">
          <x14:cfRule type="expression" priority="71" id="{2FF069AF-8235-4D21-9DA4-1335D7A36D3D}">
            <xm:f>COUNTIFS('Jours fériés'!$C$2:$C$14,$A7)&gt;0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F7:F11</xm:sqref>
        </x14:conditionalFormatting>
        <x14:conditionalFormatting xmlns:xm="http://schemas.microsoft.com/office/excel/2006/main">
          <x14:cfRule type="expression" priority="67" id="{7F43F06E-4679-4340-BD17-8DD07CFCB8E2}">
            <xm:f>COUNTIFS('Jours fériés'!$C$2:$C$14,$A7)&gt;0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H7</xm:sqref>
        </x14:conditionalFormatting>
        <x14:conditionalFormatting xmlns:xm="http://schemas.microsoft.com/office/excel/2006/main">
          <x14:cfRule type="expression" priority="65" id="{12190AB3-D7A6-4D7A-8F72-3722CB8DDC5F}">
            <xm:f>COUNTIFS('Jours fériés'!$C$2:$C$14,$A8)&gt;0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63" id="{123EFF40-D081-4E02-BD80-9E0ADA946C6A}">
            <xm:f>COUNTIFS('Jours fériés'!$C$2:$C$14,$A9)&gt;0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61" id="{6488EACB-C32F-4BB1-827E-3DAB7227CA9E}">
            <xm:f>COUNTIFS('Jours fériés'!$C$2:$C$14,$A10)&gt;0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H10:H11</xm:sqref>
        </x14:conditionalFormatting>
        <x14:conditionalFormatting xmlns:xm="http://schemas.microsoft.com/office/excel/2006/main">
          <x14:cfRule type="expression" priority="59" id="{2DAD1CC8-777F-44E9-BFEE-F6AE32223629}">
            <xm:f>COUNTIFS('Jours fériés'!$C$2:$C$14,$A7)&gt;0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D7:D10</xm:sqref>
        </x14:conditionalFormatting>
        <x14:conditionalFormatting xmlns:xm="http://schemas.microsoft.com/office/excel/2006/main">
          <x14:cfRule type="expression" priority="57" id="{5382B0ED-01F2-46C7-84C4-C200C17A8360}">
            <xm:f>COUNTIFS('Jours fériés'!$C$2:$C$14,$A11)&gt;0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55" id="{D9905459-FC0C-4A39-9E8C-462FBA3B5390}">
            <xm:f>COUNTIFS('Jours fériés'!$C$2:$C$14,$A7)&gt;0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I7</xm:sqref>
        </x14:conditionalFormatting>
        <x14:conditionalFormatting xmlns:xm="http://schemas.microsoft.com/office/excel/2006/main">
          <x14:cfRule type="expression" priority="53" id="{EF0D9E00-6748-4131-9742-2A8CB29F63D1}">
            <xm:f>COUNTIFS('Jours fériés'!$C$2:$C$14,$A8)&gt;0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I8:I11</xm:sqref>
        </x14:conditionalFormatting>
        <x14:conditionalFormatting xmlns:xm="http://schemas.microsoft.com/office/excel/2006/main">
          <x14:cfRule type="expression" priority="51" id="{3BE5E759-601A-44FC-B66D-AB51052D4A2B}">
            <xm:f>COUNTIFS('Jours fériés'!$C$2:$C$14,$A11)&gt;0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106" id="{7439599E-4675-46E5-BF29-F0CF4CC9038E}">
            <xm:f>COUNTIFS('Jours fériés'!$C$2:$C$14,$A25)&gt;0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G24</xm:sqref>
        </x14:conditionalFormatting>
        <x14:conditionalFormatting xmlns:xm="http://schemas.microsoft.com/office/excel/2006/main">
          <x14:cfRule type="expression" priority="45" id="{AF0506EF-1C2D-40A6-A257-2E7D5DC2FC2A}">
            <xm:f>COUNTIFS('Jours fériés'!$C$2:$C$14,$A24)&gt;0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E27</xm:sqref>
        </x14:conditionalFormatting>
        <x14:conditionalFormatting xmlns:xm="http://schemas.microsoft.com/office/excel/2006/main">
          <x14:cfRule type="expression" priority="41" id="{1AEF13BD-8FDB-4E32-9B45-4FFE452CB8E0}">
            <xm:f>COUNTIFS('Jours fériés'!$C$2:$C$14,$A23)&gt;0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E23</xm:sqref>
        </x14:conditionalFormatting>
        <x14:conditionalFormatting xmlns:xm="http://schemas.microsoft.com/office/excel/2006/main">
          <x14:cfRule type="expression" priority="39" id="{03316625-1708-49A2-96B7-E8BBC2E5EBCE}">
            <xm:f>COUNTIFS('Jours fériés'!$C$2:$C$14,$A23)&gt;0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C23</xm:sqref>
        </x14:conditionalFormatting>
        <x14:conditionalFormatting xmlns:xm="http://schemas.microsoft.com/office/excel/2006/main">
          <x14:cfRule type="expression" priority="35" id="{8262303C-3AD3-49E3-9062-993A62D554E3}">
            <xm:f>COUNTIFS('Jours fériés'!$C$2:$C$14,$A24)&gt;0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G25 L28 I32 O28:XFD28</xm:sqref>
        </x14:conditionalFormatting>
        <x14:conditionalFormatting xmlns:xm="http://schemas.microsoft.com/office/excel/2006/main">
          <x14:cfRule type="expression" priority="31" id="{689E2A2E-ECD4-4767-B9CF-DA0407827B9A}">
            <xm:f>COUNTIFS('Jours fériés'!$C$2:$C$14,$A23)&gt;0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I23 I25</xm:sqref>
        </x14:conditionalFormatting>
        <x14:conditionalFormatting xmlns:xm="http://schemas.microsoft.com/office/excel/2006/main">
          <x14:cfRule type="expression" priority="27" id="{E5D66CC0-C331-43DE-8E59-21C877907042}">
            <xm:f>COUNTIFS('Jours fériés'!$C$2:$C$14,$A31)&gt;0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G31</xm:sqref>
        </x14:conditionalFormatting>
        <x14:conditionalFormatting xmlns:xm="http://schemas.microsoft.com/office/excel/2006/main">
          <x14:cfRule type="expression" priority="30" id="{117913B0-687C-4E0F-9B36-8C5CF342694C}">
            <xm:f>COUNTIFS('Jours fériés'!$C$2:$C$14,$A34)&gt;0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G32</xm:sqref>
        </x14:conditionalFormatting>
        <x14:conditionalFormatting xmlns:xm="http://schemas.microsoft.com/office/excel/2006/main">
          <x14:cfRule type="expression" priority="25" id="{232E22EB-A3DF-431D-85AB-97BA8042E3B4}">
            <xm:f>COUNTIFS('Jours fériés'!$C$2:$C$14,$A31)&gt;0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F31:F32 F34:F35 F37</xm:sqref>
        </x14:conditionalFormatting>
        <x14:conditionalFormatting xmlns:xm="http://schemas.microsoft.com/office/excel/2006/main">
          <x14:cfRule type="expression" priority="131" id="{7439599E-4675-46E5-BF29-F0CF4CC9038E}">
            <xm:f>COUNTIFS('Jours fériés'!$C$2:$C$14,#REF!)&gt;0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L27 O27:XFD27</xm:sqref>
        </x14:conditionalFormatting>
        <x14:conditionalFormatting xmlns:xm="http://schemas.microsoft.com/office/excel/2006/main">
          <x14:cfRule type="expression" priority="24" id="{038E1160-5A33-4419-8249-4AE0FEE98A14}">
            <xm:f>COUNTIFS('Jours fériés'!$C$2:$C$14,#REF!)&gt;0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C27</xm:sqref>
        </x14:conditionalFormatting>
        <x14:conditionalFormatting xmlns:xm="http://schemas.microsoft.com/office/excel/2006/main">
          <x14:cfRule type="expression" priority="17" id="{B458B096-0836-4722-A70F-2F74D5AC3658}">
            <xm:f>COUNTIFS('Jours fériés'!$C$2:$C$14,$A31)&gt;0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H31:H32 H34</xm:sqref>
        </x14:conditionalFormatting>
        <x14:conditionalFormatting xmlns:xm="http://schemas.microsoft.com/office/excel/2006/main">
          <x14:cfRule type="expression" priority="9" id="{8A68B4A0-2D4C-44BF-81E5-6AA6E8C716C3}">
            <xm:f>COUNTIFS('Jours fériés'!$C$2:$C$14,$A35)&gt;0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expression" priority="7" id="{E5848AB3-8B46-4EC8-A94C-926A829C5B49}">
            <xm:f>COUNTIFS('Jours fériés'!$C$2:$C$14,$A37)&gt;0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H37</xm:sqref>
        </x14:conditionalFormatting>
        <x14:conditionalFormatting xmlns:xm="http://schemas.microsoft.com/office/excel/2006/main">
          <x14:cfRule type="expression" priority="5" id="{803A100F-D31C-44D0-A2B7-B56260FA0EC4}">
            <xm:f>COUNTIFS('Jours fériés'!$C$2:$C$14,$A34)&gt;0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G34</xm:sqref>
        </x14:conditionalFormatting>
        <x14:conditionalFormatting xmlns:xm="http://schemas.microsoft.com/office/excel/2006/main">
          <x14:cfRule type="expression" priority="3" id="{820FA53A-708F-4395-83B1-3B96C6BB9EDF}">
            <xm:f>COUNTIFS('Jours fériés'!$C$2:$C$14,$A34)&gt;0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E34</xm:sqref>
        </x14:conditionalFormatting>
        <x14:conditionalFormatting xmlns:xm="http://schemas.microsoft.com/office/excel/2006/main">
          <x14:cfRule type="expression" priority="1" id="{ED63B4FD-EAA6-4823-A9ED-41D05988AC63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M4:N34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DB325-FD44-4442-BE2E-64F2B24DD5D7}">
  <sheetPr codeName="Feuil7"/>
  <dimension ref="A1:N55"/>
  <sheetViews>
    <sheetView workbookViewId="0">
      <pane xSplit="1" ySplit="3" topLeftCell="D28" activePane="bottomRight" state="frozen"/>
      <selection pane="topRight" activeCell="B1" sqref="B1"/>
      <selection pane="bottomLeft" activeCell="A4" sqref="A4"/>
      <selection pane="bottomRight" activeCell="E31" sqref="E31:E32"/>
    </sheetView>
  </sheetViews>
  <sheetFormatPr baseColWidth="10" defaultRowHeight="15" x14ac:dyDescent="0.25"/>
  <cols>
    <col min="1" max="1" width="29" customWidth="1"/>
    <col min="2" max="10" width="29.85546875" customWidth="1"/>
    <col min="13" max="14" width="11.42578125" style="13"/>
    <col min="30" max="34" width="0" hidden="1" customWidth="1"/>
  </cols>
  <sheetData>
    <row r="1" spans="1:14" ht="31.5" customHeight="1" x14ac:dyDescent="0.25">
      <c r="A1" s="7"/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143</v>
      </c>
      <c r="M1" s="13">
        <v>11</v>
      </c>
      <c r="N1" s="13">
        <v>1</v>
      </c>
    </row>
    <row r="2" spans="1:14" ht="25.5" customHeight="1" x14ac:dyDescent="0.25">
      <c r="A2" s="7"/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28</v>
      </c>
      <c r="J2" s="2" t="s">
        <v>28</v>
      </c>
      <c r="M2" s="55" t="s">
        <v>0</v>
      </c>
      <c r="N2" s="55" t="s">
        <v>1</v>
      </c>
    </row>
    <row r="3" spans="1:14" x14ac:dyDescent="0.25">
      <c r="A3" t="s">
        <v>54</v>
      </c>
      <c r="B3" s="3"/>
      <c r="C3" s="3"/>
      <c r="D3" s="3"/>
      <c r="E3" s="3"/>
      <c r="F3" s="3"/>
      <c r="G3" s="3"/>
      <c r="H3" s="3"/>
      <c r="I3" s="3"/>
      <c r="J3" s="3"/>
      <c r="M3" s="55" t="s">
        <v>2</v>
      </c>
      <c r="N3" s="55">
        <v>2020</v>
      </c>
    </row>
    <row r="4" spans="1:14" ht="30" x14ac:dyDescent="0.25">
      <c r="A4" s="22">
        <f>DATE(N1+2019,M1,1)</f>
        <v>44136</v>
      </c>
      <c r="B4" s="21" t="s">
        <v>86</v>
      </c>
      <c r="C4" s="25" t="s">
        <v>109</v>
      </c>
      <c r="D4" s="32" t="s">
        <v>74</v>
      </c>
      <c r="E4" s="34" t="s">
        <v>127</v>
      </c>
      <c r="F4" s="8" t="s">
        <v>117</v>
      </c>
      <c r="G4" s="32" t="s">
        <v>130</v>
      </c>
      <c r="H4" s="32" t="s">
        <v>130</v>
      </c>
      <c r="I4" s="33" t="s">
        <v>131</v>
      </c>
      <c r="M4" s="55" t="s">
        <v>3</v>
      </c>
      <c r="N4" s="55">
        <v>2021</v>
      </c>
    </row>
    <row r="5" spans="1:14" ht="45" customHeight="1" x14ac:dyDescent="0.25">
      <c r="A5" s="125">
        <f>A4+1</f>
        <v>44137</v>
      </c>
      <c r="B5" s="117" t="s">
        <v>86</v>
      </c>
      <c r="C5" s="117" t="s">
        <v>122</v>
      </c>
      <c r="D5" s="32" t="s">
        <v>74</v>
      </c>
      <c r="E5" s="117" t="s">
        <v>127</v>
      </c>
      <c r="F5" s="113" t="s">
        <v>117</v>
      </c>
      <c r="G5" s="32" t="s">
        <v>130</v>
      </c>
      <c r="H5" s="116" t="s">
        <v>74</v>
      </c>
      <c r="I5" s="117" t="s">
        <v>127</v>
      </c>
      <c r="J5" s="123"/>
      <c r="K5" s="123"/>
      <c r="L5" s="123"/>
      <c r="M5" s="55" t="s">
        <v>4</v>
      </c>
      <c r="N5" s="55"/>
    </row>
    <row r="6" spans="1:14" ht="45" customHeight="1" x14ac:dyDescent="0.25">
      <c r="A6" s="125"/>
      <c r="B6" s="118"/>
      <c r="C6" s="118"/>
      <c r="D6" s="33" t="s">
        <v>115</v>
      </c>
      <c r="E6" s="118"/>
      <c r="F6" s="113"/>
      <c r="G6" s="33" t="s">
        <v>115</v>
      </c>
      <c r="H6" s="116"/>
      <c r="I6" s="118"/>
      <c r="J6" s="123"/>
      <c r="K6" s="123"/>
      <c r="L6" s="123"/>
      <c r="M6" s="55" t="s">
        <v>5</v>
      </c>
      <c r="N6" s="55"/>
    </row>
    <row r="7" spans="1:14" ht="45" x14ac:dyDescent="0.25">
      <c r="A7" s="40">
        <f>A5+1</f>
        <v>44138</v>
      </c>
      <c r="B7" s="21" t="s">
        <v>86</v>
      </c>
      <c r="C7" s="21" t="s">
        <v>122</v>
      </c>
      <c r="D7" s="32" t="s">
        <v>74</v>
      </c>
      <c r="E7" s="35" t="s">
        <v>127</v>
      </c>
      <c r="F7" s="8" t="s">
        <v>117</v>
      </c>
      <c r="G7" s="32" t="s">
        <v>130</v>
      </c>
      <c r="H7" s="32" t="s">
        <v>74</v>
      </c>
      <c r="M7" s="55" t="s">
        <v>6</v>
      </c>
      <c r="N7" s="55"/>
    </row>
    <row r="8" spans="1:14" s="23" customFormat="1" x14ac:dyDescent="0.25">
      <c r="A8" s="125">
        <f t="shared" ref="A8:A38" si="0">A7+1</f>
        <v>44139</v>
      </c>
      <c r="B8" s="117" t="s">
        <v>86</v>
      </c>
      <c r="C8" s="23" t="s">
        <v>134</v>
      </c>
      <c r="D8" s="116" t="s">
        <v>74</v>
      </c>
      <c r="F8" s="115" t="s">
        <v>117</v>
      </c>
      <c r="G8"/>
      <c r="H8" s="115" t="s">
        <v>74</v>
      </c>
      <c r="I8"/>
      <c r="J8"/>
      <c r="M8" s="55" t="s">
        <v>7</v>
      </c>
      <c r="N8" s="55"/>
    </row>
    <row r="9" spans="1:14" s="23" customFormat="1" x14ac:dyDescent="0.25">
      <c r="A9" s="125"/>
      <c r="B9" s="118"/>
      <c r="C9"/>
      <c r="D9" s="116"/>
      <c r="E9" s="38"/>
      <c r="F9" s="115"/>
      <c r="G9"/>
      <c r="H9" s="115"/>
      <c r="I9"/>
      <c r="J9"/>
      <c r="M9" s="55" t="s">
        <v>8</v>
      </c>
      <c r="N9" s="55"/>
    </row>
    <row r="10" spans="1:14" ht="30" x14ac:dyDescent="0.25">
      <c r="A10" s="126">
        <f>A8+1</f>
        <v>44140</v>
      </c>
      <c r="B10" s="117" t="s">
        <v>86</v>
      </c>
      <c r="D10" s="115" t="s">
        <v>74</v>
      </c>
      <c r="E10" s="21" t="s">
        <v>118</v>
      </c>
      <c r="F10" s="115" t="s">
        <v>117</v>
      </c>
      <c r="H10" s="115" t="s">
        <v>74</v>
      </c>
      <c r="M10" s="55" t="s">
        <v>9</v>
      </c>
      <c r="N10" s="55"/>
    </row>
    <row r="11" spans="1:14" x14ac:dyDescent="0.25">
      <c r="A11" s="126"/>
      <c r="B11" s="118"/>
      <c r="D11" s="115"/>
      <c r="E11" s="44" t="s">
        <v>70</v>
      </c>
      <c r="F11" s="115"/>
      <c r="H11" s="115"/>
      <c r="M11" s="55" t="s">
        <v>10</v>
      </c>
      <c r="N11" s="55"/>
    </row>
    <row r="12" spans="1:14" x14ac:dyDescent="0.25">
      <c r="A12" s="22">
        <f>A10+1</f>
        <v>44141</v>
      </c>
      <c r="M12" s="55" t="s">
        <v>11</v>
      </c>
      <c r="N12" s="55"/>
    </row>
    <row r="13" spans="1:14" x14ac:dyDescent="0.25">
      <c r="A13" s="22">
        <f t="shared" si="0"/>
        <v>44142</v>
      </c>
      <c r="M13" s="55" t="s">
        <v>12</v>
      </c>
      <c r="N13" s="55"/>
    </row>
    <row r="14" spans="1:14" ht="30" x14ac:dyDescent="0.25">
      <c r="A14" s="22">
        <f t="shared" si="0"/>
        <v>44143</v>
      </c>
      <c r="B14" s="21" t="s">
        <v>86</v>
      </c>
      <c r="D14" s="41" t="s">
        <v>74</v>
      </c>
      <c r="E14" s="38" t="s">
        <v>141</v>
      </c>
      <c r="F14" s="38" t="s">
        <v>133</v>
      </c>
      <c r="G14" s="37" t="s">
        <v>130</v>
      </c>
      <c r="H14" s="46" t="s">
        <v>74</v>
      </c>
      <c r="M14" s="55" t="s">
        <v>13</v>
      </c>
      <c r="N14" s="55"/>
    </row>
    <row r="15" spans="1:14" ht="45" x14ac:dyDescent="0.25">
      <c r="A15" s="22">
        <f t="shared" si="0"/>
        <v>44144</v>
      </c>
      <c r="B15" s="21" t="s">
        <v>86</v>
      </c>
      <c r="D15" s="41" t="s">
        <v>74</v>
      </c>
      <c r="E15" s="43" t="s">
        <v>142</v>
      </c>
      <c r="G15" s="37" t="s">
        <v>130</v>
      </c>
      <c r="H15" s="46" t="s">
        <v>74</v>
      </c>
    </row>
    <row r="16" spans="1:14" ht="28.9" customHeight="1" x14ac:dyDescent="0.25">
      <c r="A16" s="125">
        <f t="shared" si="0"/>
        <v>44145</v>
      </c>
      <c r="B16" s="117" t="s">
        <v>86</v>
      </c>
      <c r="D16" s="115" t="s">
        <v>74</v>
      </c>
      <c r="E16" s="122" t="s">
        <v>118</v>
      </c>
      <c r="G16" s="39" t="s">
        <v>130</v>
      </c>
      <c r="H16" s="115" t="s">
        <v>74</v>
      </c>
    </row>
    <row r="17" spans="1:10" ht="30" x14ac:dyDescent="0.25">
      <c r="A17" s="125"/>
      <c r="B17" s="118"/>
      <c r="D17" s="115"/>
      <c r="E17" s="118"/>
      <c r="G17" s="25" t="s">
        <v>133</v>
      </c>
      <c r="H17" s="115"/>
    </row>
    <row r="18" spans="1:10" ht="45" x14ac:dyDescent="0.25">
      <c r="A18" s="22">
        <f>A16+1</f>
        <v>44146</v>
      </c>
      <c r="B18" s="21" t="s">
        <v>86</v>
      </c>
      <c r="C18" s="42" t="s">
        <v>137</v>
      </c>
      <c r="D18" s="41" t="s">
        <v>74</v>
      </c>
      <c r="E18" s="43" t="s">
        <v>139</v>
      </c>
      <c r="G18" s="43" t="s">
        <v>140</v>
      </c>
      <c r="H18" s="46" t="s">
        <v>74</v>
      </c>
      <c r="I18" s="42" t="s">
        <v>136</v>
      </c>
    </row>
    <row r="19" spans="1:10" ht="45" x14ac:dyDescent="0.25">
      <c r="A19" s="22">
        <f>A18+1</f>
        <v>44147</v>
      </c>
      <c r="B19" s="42" t="s">
        <v>135</v>
      </c>
      <c r="C19" s="42" t="s">
        <v>135</v>
      </c>
      <c r="D19" s="41" t="s">
        <v>74</v>
      </c>
      <c r="E19" s="43" t="s">
        <v>138</v>
      </c>
      <c r="G19" s="42" t="s">
        <v>133</v>
      </c>
      <c r="H19" s="46" t="s">
        <v>74</v>
      </c>
      <c r="I19" s="42" t="s">
        <v>135</v>
      </c>
    </row>
    <row r="20" spans="1:10" x14ac:dyDescent="0.25">
      <c r="A20" s="22">
        <f t="shared" si="0"/>
        <v>44148</v>
      </c>
    </row>
    <row r="21" spans="1:10" x14ac:dyDescent="0.25">
      <c r="A21" s="22">
        <f t="shared" si="0"/>
        <v>44149</v>
      </c>
    </row>
    <row r="22" spans="1:10" ht="30" x14ac:dyDescent="0.25">
      <c r="A22" s="125">
        <f t="shared" si="0"/>
        <v>44150</v>
      </c>
      <c r="B22" s="21" t="s">
        <v>86</v>
      </c>
      <c r="C22" s="44" t="s">
        <v>98</v>
      </c>
      <c r="D22" s="116" t="s">
        <v>74</v>
      </c>
      <c r="E22" s="45" t="s">
        <v>141</v>
      </c>
      <c r="G22" s="115" t="s">
        <v>130</v>
      </c>
      <c r="H22" s="115" t="s">
        <v>74</v>
      </c>
      <c r="I22" s="115" t="s">
        <v>91</v>
      </c>
    </row>
    <row r="23" spans="1:10" ht="45" x14ac:dyDescent="0.25">
      <c r="A23" s="125"/>
      <c r="B23" s="45"/>
      <c r="C23" s="25" t="s">
        <v>109</v>
      </c>
      <c r="D23" s="116"/>
      <c r="E23" s="45" t="s">
        <v>142</v>
      </c>
      <c r="G23" s="115"/>
      <c r="H23" s="115"/>
      <c r="I23" s="115"/>
    </row>
    <row r="24" spans="1:10" ht="30" x14ac:dyDescent="0.25">
      <c r="A24" s="22">
        <f>A22+1</f>
        <v>44151</v>
      </c>
      <c r="B24" s="21" t="s">
        <v>86</v>
      </c>
      <c r="C24" s="25" t="s">
        <v>109</v>
      </c>
      <c r="D24" s="44" t="s">
        <v>74</v>
      </c>
      <c r="E24" s="47" t="s">
        <v>146</v>
      </c>
      <c r="F24" s="47" t="s">
        <v>145</v>
      </c>
      <c r="G24" s="47" t="s">
        <v>144</v>
      </c>
      <c r="H24" s="46" t="s">
        <v>74</v>
      </c>
      <c r="I24" s="46" t="s">
        <v>91</v>
      </c>
    </row>
    <row r="25" spans="1:10" ht="45" x14ac:dyDescent="0.25">
      <c r="A25" s="125">
        <f t="shared" si="0"/>
        <v>44152</v>
      </c>
      <c r="B25" s="117" t="s">
        <v>86</v>
      </c>
      <c r="C25" s="47" t="s">
        <v>147</v>
      </c>
      <c r="D25" s="116" t="s">
        <v>74</v>
      </c>
      <c r="E25" s="117" t="s">
        <v>146</v>
      </c>
      <c r="G25" s="49" t="s">
        <v>148</v>
      </c>
    </row>
    <row r="26" spans="1:10" ht="30" customHeight="1" x14ac:dyDescent="0.25">
      <c r="A26" s="125"/>
      <c r="B26" s="118"/>
      <c r="D26" s="116"/>
      <c r="E26" s="118"/>
    </row>
    <row r="27" spans="1:10" ht="30" x14ac:dyDescent="0.25">
      <c r="A27" s="22">
        <f>A25+1</f>
        <v>44153</v>
      </c>
      <c r="B27" s="21" t="s">
        <v>86</v>
      </c>
      <c r="D27" s="49" t="s">
        <v>74</v>
      </c>
      <c r="E27" s="50" t="s">
        <v>146</v>
      </c>
    </row>
    <row r="28" spans="1:10" x14ac:dyDescent="0.25">
      <c r="A28" s="22">
        <f>A27+1</f>
        <v>44154</v>
      </c>
      <c r="B28" s="52" t="s">
        <v>86</v>
      </c>
      <c r="D28" s="51"/>
      <c r="E28" s="53"/>
    </row>
    <row r="29" spans="1:10" x14ac:dyDescent="0.25">
      <c r="A29" s="22">
        <f>A28+1</f>
        <v>44155</v>
      </c>
      <c r="D29" s="51"/>
    </row>
    <row r="30" spans="1:10" x14ac:dyDescent="0.25">
      <c r="A30" s="22">
        <f>A29+1</f>
        <v>44156</v>
      </c>
      <c r="D30" s="49"/>
    </row>
    <row r="31" spans="1:10" x14ac:dyDescent="0.25">
      <c r="A31" s="126">
        <f t="shared" ref="A31" si="1">A30+1</f>
        <v>44157</v>
      </c>
      <c r="B31" s="119" t="s">
        <v>86</v>
      </c>
      <c r="D31" s="115" t="s">
        <v>74</v>
      </c>
      <c r="E31" s="123"/>
      <c r="F31" s="123"/>
      <c r="G31" s="123"/>
      <c r="H31" s="123"/>
      <c r="I31" s="123"/>
    </row>
    <row r="32" spans="1:10" ht="45" x14ac:dyDescent="0.25">
      <c r="A32" s="126"/>
      <c r="B32" s="120"/>
      <c r="C32" s="50" t="s">
        <v>147</v>
      </c>
      <c r="D32" s="115"/>
      <c r="E32" s="123"/>
      <c r="F32" s="123"/>
      <c r="G32" s="123"/>
      <c r="H32" s="123"/>
      <c r="I32" s="123"/>
      <c r="J32" s="50" t="s">
        <v>147</v>
      </c>
    </row>
    <row r="33" spans="1:9" x14ac:dyDescent="0.25">
      <c r="A33" s="22">
        <f>A31+1</f>
        <v>44158</v>
      </c>
    </row>
    <row r="34" spans="1:9" x14ac:dyDescent="0.25">
      <c r="A34" s="22">
        <f t="shared" si="0"/>
        <v>44159</v>
      </c>
    </row>
    <row r="35" spans="1:9" ht="14.45" customHeight="1" x14ac:dyDescent="0.25">
      <c r="A35" s="22">
        <f t="shared" si="0"/>
        <v>44160</v>
      </c>
      <c r="B35" s="21" t="s">
        <v>86</v>
      </c>
      <c r="E35" s="21" t="s">
        <v>122</v>
      </c>
      <c r="F35" s="54" t="s">
        <v>149</v>
      </c>
      <c r="I35" s="117" t="s">
        <v>95</v>
      </c>
    </row>
    <row r="36" spans="1:9" x14ac:dyDescent="0.25">
      <c r="A36" s="22">
        <f t="shared" si="0"/>
        <v>44161</v>
      </c>
      <c r="B36" s="21" t="s">
        <v>86</v>
      </c>
      <c r="E36" s="48"/>
      <c r="I36" s="118"/>
    </row>
    <row r="37" spans="1:9" ht="45" x14ac:dyDescent="0.25">
      <c r="A37" s="22">
        <f t="shared" si="0"/>
        <v>44162</v>
      </c>
      <c r="B37" s="21" t="s">
        <v>86</v>
      </c>
      <c r="E37" s="36" t="s">
        <v>122</v>
      </c>
      <c r="I37" s="21" t="s">
        <v>94</v>
      </c>
    </row>
    <row r="38" spans="1:9" x14ac:dyDescent="0.25">
      <c r="A38" s="22">
        <f t="shared" si="0"/>
        <v>44163</v>
      </c>
      <c r="B38" s="21" t="s">
        <v>86</v>
      </c>
    </row>
    <row r="39" spans="1:9" ht="15" hidden="1" customHeight="1" x14ac:dyDescent="0.25">
      <c r="A39" s="22" t="e">
        <f>#REF!+1</f>
        <v>#REF!</v>
      </c>
    </row>
    <row r="40" spans="1:9" x14ac:dyDescent="0.25">
      <c r="A40" s="23"/>
    </row>
    <row r="41" spans="1:9" x14ac:dyDescent="0.25">
      <c r="A41" s="23"/>
    </row>
    <row r="42" spans="1:9" x14ac:dyDescent="0.25">
      <c r="A42" s="23"/>
    </row>
    <row r="43" spans="1:9" x14ac:dyDescent="0.25">
      <c r="A43" s="23"/>
    </row>
    <row r="44" spans="1:9" x14ac:dyDescent="0.25">
      <c r="A44" s="23"/>
    </row>
    <row r="45" spans="1:9" x14ac:dyDescent="0.25">
      <c r="A45" s="23"/>
    </row>
    <row r="46" spans="1:9" x14ac:dyDescent="0.25">
      <c r="A46" s="23"/>
    </row>
    <row r="47" spans="1:9" x14ac:dyDescent="0.25">
      <c r="A47" s="23"/>
    </row>
    <row r="48" spans="1:9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</sheetData>
  <mergeCells count="43">
    <mergeCell ref="G31:G32"/>
    <mergeCell ref="H31:H32"/>
    <mergeCell ref="I31:I32"/>
    <mergeCell ref="E25:E26"/>
    <mergeCell ref="D25:D26"/>
    <mergeCell ref="A31:A32"/>
    <mergeCell ref="B31:B32"/>
    <mergeCell ref="D31:D32"/>
    <mergeCell ref="E31:E32"/>
    <mergeCell ref="F31:F32"/>
    <mergeCell ref="A10:A11"/>
    <mergeCell ref="J5:J6"/>
    <mergeCell ref="K5:K6"/>
    <mergeCell ref="L5:L6"/>
    <mergeCell ref="D16:D17"/>
    <mergeCell ref="E16:E17"/>
    <mergeCell ref="D10:D11"/>
    <mergeCell ref="F10:F11"/>
    <mergeCell ref="H10:H11"/>
    <mergeCell ref="B10:B11"/>
    <mergeCell ref="I22:I23"/>
    <mergeCell ref="I35:I36"/>
    <mergeCell ref="A5:A6"/>
    <mergeCell ref="B5:B6"/>
    <mergeCell ref="C5:C6"/>
    <mergeCell ref="E5:E6"/>
    <mergeCell ref="F5:F6"/>
    <mergeCell ref="I5:I6"/>
    <mergeCell ref="H5:H6"/>
    <mergeCell ref="A8:A9"/>
    <mergeCell ref="B8:B9"/>
    <mergeCell ref="D8:D9"/>
    <mergeCell ref="F8:F9"/>
    <mergeCell ref="H8:H9"/>
    <mergeCell ref="A16:A17"/>
    <mergeCell ref="B16:B17"/>
    <mergeCell ref="A25:A26"/>
    <mergeCell ref="B25:B26"/>
    <mergeCell ref="G22:G23"/>
    <mergeCell ref="H16:H17"/>
    <mergeCell ref="H22:H23"/>
    <mergeCell ref="A22:A23"/>
    <mergeCell ref="D22:D23"/>
  </mergeCells>
  <conditionalFormatting sqref="A12:I13 A20:I21 A33:I34 A39:I39 C36:H37 A4:A5 G8:G11 C7:C11 I7:I11 K4:L5 A7:A8 A10 A14:A16 A18:A19 C14:C17 F14:F19 A22 C22 F22:F23 I14:I17 A24:A25 F25 H25:I25 E31:I31 C26:C31 F26:I30 A27:A31 J26:J31 D27:D30 C35:E35 G35:H35 A35:A38 C38:I38 K7:L39 J38:J39 O4:XFD39">
    <cfRule type="expression" dxfId="164" priority="188">
      <formula>WEEKDAY($A4,2)&gt;5</formula>
    </cfRule>
  </conditionalFormatting>
  <conditionalFormatting sqref="F4:F5 F7:F8 F10">
    <cfRule type="expression" dxfId="163" priority="154">
      <formula>WEEKDAY($A4,2)&gt;5</formula>
    </cfRule>
  </conditionalFormatting>
  <conditionalFormatting sqref="I35 I37">
    <cfRule type="expression" dxfId="162" priority="148">
      <formula>WEEKDAY($A35,2)&gt;5</formula>
    </cfRule>
  </conditionalFormatting>
  <conditionalFormatting sqref="I37">
    <cfRule type="expression" dxfId="161" priority="149">
      <formula>WEEKDAY($A21,2)&gt;5</formula>
    </cfRule>
  </conditionalFormatting>
  <conditionalFormatting sqref="I35">
    <cfRule type="expression" dxfId="160" priority="151">
      <formula>WEEKDAY($A22,2)&gt;5</formula>
    </cfRule>
  </conditionalFormatting>
  <conditionalFormatting sqref="E10">
    <cfRule type="expression" dxfId="159" priority="146">
      <formula>WEEKDAY($A7,2)&gt;5</formula>
    </cfRule>
  </conditionalFormatting>
  <conditionalFormatting sqref="D5">
    <cfRule type="expression" dxfId="158" priority="144">
      <formula>WEEKDAY($A5,2)&gt;5</formula>
    </cfRule>
  </conditionalFormatting>
  <conditionalFormatting sqref="D4">
    <cfRule type="expression" dxfId="157" priority="142">
      <formula>WEEKDAY($A4,2)&gt;5</formula>
    </cfRule>
  </conditionalFormatting>
  <conditionalFormatting sqref="D7">
    <cfRule type="expression" dxfId="156" priority="140">
      <formula>WEEKDAY($A7,2)&gt;5</formula>
    </cfRule>
  </conditionalFormatting>
  <conditionalFormatting sqref="D8">
    <cfRule type="expression" dxfId="155" priority="138">
      <formula>WEEKDAY($A8,2)&gt;5</formula>
    </cfRule>
  </conditionalFormatting>
  <conditionalFormatting sqref="D10">
    <cfRule type="expression" dxfId="154" priority="136">
      <formula>WEEKDAY($A10,2)&gt;5</formula>
    </cfRule>
  </conditionalFormatting>
  <conditionalFormatting sqref="H4:H5 H7">
    <cfRule type="expression" dxfId="153" priority="134">
      <formula>WEEKDAY($A4,2)&gt;5</formula>
    </cfRule>
  </conditionalFormatting>
  <conditionalFormatting sqref="H8">
    <cfRule type="expression" dxfId="152" priority="128">
      <formula>WEEKDAY($A8,2)&gt;5</formula>
    </cfRule>
  </conditionalFormatting>
  <conditionalFormatting sqref="H10">
    <cfRule type="expression" dxfId="151" priority="126">
      <formula>WEEKDAY($A10,2)&gt;5</formula>
    </cfRule>
  </conditionalFormatting>
  <conditionalFormatting sqref="G4">
    <cfRule type="expression" dxfId="150" priority="124">
      <formula>WEEKDAY($A4,2)&gt;5</formula>
    </cfRule>
  </conditionalFormatting>
  <conditionalFormatting sqref="G5">
    <cfRule type="expression" dxfId="149" priority="122">
      <formula>WEEKDAY($A5,2)&gt;5</formula>
    </cfRule>
  </conditionalFormatting>
  <conditionalFormatting sqref="G7">
    <cfRule type="expression" dxfId="148" priority="120">
      <formula>WEEKDAY($A7,2)&gt;5</formula>
    </cfRule>
  </conditionalFormatting>
  <conditionalFormatting sqref="C4">
    <cfRule type="expression" dxfId="147" priority="118">
      <formula>WEEKDAY($A4,2)&gt;5</formula>
    </cfRule>
  </conditionalFormatting>
  <conditionalFormatting sqref="G14">
    <cfRule type="expression" dxfId="146" priority="116">
      <formula>WEEKDAY($A14,2)&gt;5</formula>
    </cfRule>
  </conditionalFormatting>
  <conditionalFormatting sqref="G15">
    <cfRule type="expression" dxfId="145" priority="114">
      <formula>WEEKDAY($A15,2)&gt;5</formula>
    </cfRule>
  </conditionalFormatting>
  <conditionalFormatting sqref="E14">
    <cfRule type="expression" dxfId="144" priority="110">
      <formula>WEEKDAY($A14,2)&gt;5</formula>
    </cfRule>
  </conditionalFormatting>
  <conditionalFormatting sqref="G16">
    <cfRule type="expression" dxfId="143" priority="104">
      <formula>WEEKDAY($A16,2)&gt;5</formula>
    </cfRule>
  </conditionalFormatting>
  <conditionalFormatting sqref="G17">
    <cfRule type="expression" dxfId="142" priority="237">
      <formula>WEEKDAY($A18,2)&gt;5</formula>
    </cfRule>
  </conditionalFormatting>
  <conditionalFormatting sqref="D14">
    <cfRule type="expression" dxfId="141" priority="100">
      <formula>WEEKDAY($A14,2)&gt;5</formula>
    </cfRule>
  </conditionalFormatting>
  <conditionalFormatting sqref="D15">
    <cfRule type="expression" dxfId="140" priority="98">
      <formula>WEEKDAY($A15,2)&gt;5</formula>
    </cfRule>
  </conditionalFormatting>
  <conditionalFormatting sqref="D16">
    <cfRule type="expression" dxfId="139" priority="96">
      <formula>WEEKDAY($A16,2)&gt;5</formula>
    </cfRule>
  </conditionalFormatting>
  <conditionalFormatting sqref="D18">
    <cfRule type="expression" dxfId="138" priority="92">
      <formula>WEEKDAY($A18,2)&gt;5</formula>
    </cfRule>
  </conditionalFormatting>
  <conditionalFormatting sqref="D19">
    <cfRule type="expression" dxfId="137" priority="90">
      <formula>WEEKDAY($A19,2)&gt;5</formula>
    </cfRule>
  </conditionalFormatting>
  <conditionalFormatting sqref="E16">
    <cfRule type="expression" dxfId="136" priority="84">
      <formula>WEEKDAY($A16,2)&gt;5</formula>
    </cfRule>
  </conditionalFormatting>
  <conditionalFormatting sqref="E19">
    <cfRule type="expression" dxfId="135" priority="82">
      <formula>WEEKDAY($A19,2)&gt;5</formula>
    </cfRule>
  </conditionalFormatting>
  <conditionalFormatting sqref="E15">
    <cfRule type="expression" dxfId="134" priority="80">
      <formula>WEEKDAY($A15,2)&gt;5</formula>
    </cfRule>
  </conditionalFormatting>
  <conditionalFormatting sqref="E18">
    <cfRule type="expression" dxfId="133" priority="78">
      <formula>WEEKDAY($A18,2)&gt;5</formula>
    </cfRule>
  </conditionalFormatting>
  <conditionalFormatting sqref="E22">
    <cfRule type="expression" dxfId="132" priority="74">
      <formula>WEEKDAY($A22,2)&gt;5</formula>
    </cfRule>
  </conditionalFormatting>
  <conditionalFormatting sqref="D22">
    <cfRule type="expression" dxfId="131" priority="70">
      <formula>WEEKDAY($A22,2)&gt;5</formula>
    </cfRule>
  </conditionalFormatting>
  <conditionalFormatting sqref="D24">
    <cfRule type="expression" dxfId="130" priority="66">
      <formula>WEEKDAY($A24,2)&gt;5</formula>
    </cfRule>
  </conditionalFormatting>
  <conditionalFormatting sqref="D31">
    <cfRule type="expression" dxfId="129" priority="62">
      <formula>WEEKDAY($A31,2)&gt;5</formula>
    </cfRule>
  </conditionalFormatting>
  <conditionalFormatting sqref="J20:J21 J7:J17 J24 J33:J34">
    <cfRule type="expression" dxfId="128" priority="60">
      <formula>WEEKDAY($A7,2)&gt;5</formula>
    </cfRule>
  </conditionalFormatting>
  <conditionalFormatting sqref="J5">
    <cfRule type="expression" dxfId="127" priority="50">
      <formula>WEEKDAY($A5,2)&gt;5</formula>
    </cfRule>
  </conditionalFormatting>
  <conditionalFormatting sqref="J4">
    <cfRule type="expression" dxfId="126" priority="52">
      <formula>WEEKDAY($A4,2)&gt;5</formula>
    </cfRule>
  </conditionalFormatting>
  <conditionalFormatting sqref="J18:J19">
    <cfRule type="expression" dxfId="125" priority="48">
      <formula>WEEKDAY($A18,2)&gt;5</formula>
    </cfRule>
  </conditionalFormatting>
  <conditionalFormatting sqref="J22">
    <cfRule type="expression" dxfId="124" priority="46">
      <formula>WEEKDAY($A22,2)&gt;5</formula>
    </cfRule>
  </conditionalFormatting>
  <conditionalFormatting sqref="J23">
    <cfRule type="expression" dxfId="123" priority="44">
      <formula>WEEKDAY($A23,2)&gt;5</formula>
    </cfRule>
  </conditionalFormatting>
  <conditionalFormatting sqref="J35:J37">
    <cfRule type="expression" dxfId="122" priority="40">
      <formula>WEEKDAY($A35,2)&gt;5</formula>
    </cfRule>
  </conditionalFormatting>
  <conditionalFormatting sqref="G22">
    <cfRule type="expression" dxfId="121" priority="38">
      <formula>WEEKDAY($A22,2)&gt;5</formula>
    </cfRule>
  </conditionalFormatting>
  <conditionalFormatting sqref="E35:E36">
    <cfRule type="expression" dxfId="120" priority="241">
      <formula>WEEKDAY($A24,2)&gt;5</formula>
    </cfRule>
  </conditionalFormatting>
  <conditionalFormatting sqref="E37">
    <cfRule type="expression" dxfId="119" priority="243">
      <formula>WEEKDAY($A14,2)&gt;5</formula>
    </cfRule>
  </conditionalFormatting>
  <conditionalFormatting sqref="E37">
    <cfRule type="expression" dxfId="118" priority="244">
      <formula>WEEKDAY($A22,2)&gt;5</formula>
    </cfRule>
  </conditionalFormatting>
  <conditionalFormatting sqref="H14">
    <cfRule type="expression" dxfId="117" priority="36">
      <formula>WEEKDAY($A14,2)&gt;5</formula>
    </cfRule>
  </conditionalFormatting>
  <conditionalFormatting sqref="H15">
    <cfRule type="expression" dxfId="116" priority="34">
      <formula>WEEKDAY($A15,2)&gt;5</formula>
    </cfRule>
  </conditionalFormatting>
  <conditionalFormatting sqref="H16">
    <cfRule type="expression" dxfId="115" priority="32">
      <formula>WEEKDAY($A16,2)&gt;5</formula>
    </cfRule>
  </conditionalFormatting>
  <conditionalFormatting sqref="H18">
    <cfRule type="expression" dxfId="114" priority="30">
      <formula>WEEKDAY($A18,2)&gt;5</formula>
    </cfRule>
  </conditionalFormatting>
  <conditionalFormatting sqref="H19">
    <cfRule type="expression" dxfId="113" priority="28">
      <formula>WEEKDAY($A19,2)&gt;5</formula>
    </cfRule>
  </conditionalFormatting>
  <conditionalFormatting sqref="H22">
    <cfRule type="expression" dxfId="112" priority="26">
      <formula>WEEKDAY($A22,2)&gt;5</formula>
    </cfRule>
  </conditionalFormatting>
  <conditionalFormatting sqref="H24">
    <cfRule type="expression" dxfId="111" priority="24">
      <formula>WEEKDAY($A24,2)&gt;5</formula>
    </cfRule>
  </conditionalFormatting>
  <conditionalFormatting sqref="I22">
    <cfRule type="expression" dxfId="110" priority="22">
      <formula>WEEKDAY($A22,2)&gt;5</formula>
    </cfRule>
  </conditionalFormatting>
  <conditionalFormatting sqref="I24">
    <cfRule type="expression" dxfId="109" priority="20">
      <formula>WEEKDAY($A24,2)&gt;5</formula>
    </cfRule>
  </conditionalFormatting>
  <conditionalFormatting sqref="E37">
    <cfRule type="expression" dxfId="108" priority="251">
      <formula>WEEKDAY($A25,2)&gt;5</formula>
    </cfRule>
  </conditionalFormatting>
  <conditionalFormatting sqref="E37">
    <cfRule type="expression" dxfId="107" priority="255">
      <formula>WEEKDAY($A27,2)&gt;5</formula>
    </cfRule>
  </conditionalFormatting>
  <conditionalFormatting sqref="G25">
    <cfRule type="expression" dxfId="106" priority="18">
      <formula>WEEKDAY($A25,2)&gt;5</formula>
    </cfRule>
  </conditionalFormatting>
  <conditionalFormatting sqref="D25">
    <cfRule type="expression" dxfId="105" priority="13">
      <formula>WEEKDAY($A24,2)&gt;5</formula>
    </cfRule>
  </conditionalFormatting>
  <conditionalFormatting sqref="B29">
    <cfRule type="expression" dxfId="104" priority="12">
      <formula>WEEKDAY($A29,2)&gt;5</formula>
    </cfRule>
  </conditionalFormatting>
  <conditionalFormatting sqref="B30">
    <cfRule type="expression" dxfId="103" priority="10">
      <formula>WEEKDAY($A30,2)&gt;5</formula>
    </cfRule>
  </conditionalFormatting>
  <conditionalFormatting sqref="E29">
    <cfRule type="expression" dxfId="102" priority="8">
      <formula>WEEKDAY($A29,2)&gt;5</formula>
    </cfRule>
  </conditionalFormatting>
  <conditionalFormatting sqref="E30">
    <cfRule type="expression" dxfId="101" priority="6">
      <formula>WEEKDAY($A30,2)&gt;5</formula>
    </cfRule>
  </conditionalFormatting>
  <conditionalFormatting sqref="M4:N34">
    <cfRule type="expression" dxfId="100" priority="2">
      <formula>WEEKDAY($A4,2)&gt;5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0</xdr:row>
                    <xdr:rowOff>104775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1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7" id="{F66595D2-CC5F-4042-986D-6DC83B7190DB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A12:I13 A20:I21 A33:I34 A39:I39 C36:H37 A4:A5 G8:G11 C7:C11 I7:I11 K4:L5 A7:A8 A10 A14:A16 A18:A19 C14:C17 F14:F19 A22 C22 F22:F23 I14:I17 A24:A25 F25 H25:I25 E31:I31 C26:C31 F26:I30 A27:A31 J26:J31 D27:D30 C35:E35 G35:H35 A35:A38 C38:I38 K7:L39 J38:J39 O4:XFD39</xm:sqref>
        </x14:conditionalFormatting>
        <x14:conditionalFormatting xmlns:xm="http://schemas.microsoft.com/office/excel/2006/main">
          <x14:cfRule type="expression" priority="153" id="{692D3B86-AFA7-488D-952D-34689F3D911B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F4:F5 F7:F8 F10</xm:sqref>
        </x14:conditionalFormatting>
        <x14:conditionalFormatting xmlns:xm="http://schemas.microsoft.com/office/excel/2006/main">
          <x14:cfRule type="expression" priority="147" id="{FE6CA74C-3237-4E75-ADDD-0C25528D629B}">
            <xm:f>COUNTIFS('Jours fériés'!$C$2:$C$14,$A35)&gt;0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I35 I37</xm:sqref>
        </x14:conditionalFormatting>
        <x14:conditionalFormatting xmlns:xm="http://schemas.microsoft.com/office/excel/2006/main">
          <x14:cfRule type="expression" priority="150" id="{CA0FA1A4-9A37-4C30-8377-D2F806BA9985}">
            <xm:f>COUNTIFS('Jours fériés'!$C$2:$C$14,$A21)&gt;0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I37</xm:sqref>
        </x14:conditionalFormatting>
        <x14:conditionalFormatting xmlns:xm="http://schemas.microsoft.com/office/excel/2006/main">
          <x14:cfRule type="expression" priority="152" id="{78003B2F-7769-4DF1-8FB6-39E1374BFF66}">
            <xm:f>COUNTIFS('Jours fériés'!$C$2:$C$14,$A22)&gt;0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expression" priority="145" id="{BCE261B2-C5F6-46AF-B1FE-BEAD830821C2}">
            <xm:f>COUNTIFS('Jours fériés'!$C$2:$C$14,$A7)&gt;0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43" id="{00160C20-181B-4DFC-AD2D-F108E40C6CE7}">
            <xm:f>COUNTIFS('Jours fériés'!$C$2:$C$14,$A5)&gt;0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141" id="{0C6BEA38-99C3-4C4E-A954-0FC915EFE0C1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D4</xm:sqref>
        </x14:conditionalFormatting>
        <x14:conditionalFormatting xmlns:xm="http://schemas.microsoft.com/office/excel/2006/main">
          <x14:cfRule type="expression" priority="139" id="{DEDB69C2-E2BD-42E0-8856-9667523B56A7}">
            <xm:f>COUNTIFS('Jours fériés'!$C$2:$C$14,$A7)&gt;0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137" id="{78AA431E-594F-48F0-ADA2-C160D8A22D24}">
            <xm:f>COUNTIFS('Jours fériés'!$C$2:$C$14,$A8)&gt;0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135" id="{DB9456FF-4A64-4823-BED6-CE2872B50AE3}">
            <xm:f>COUNTIFS('Jours fériés'!$C$2:$C$14,$A10)&gt;0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33" id="{E7D95C38-51A7-4187-A747-7D285D40EEF4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H4:H5 H7</xm:sqref>
        </x14:conditionalFormatting>
        <x14:conditionalFormatting xmlns:xm="http://schemas.microsoft.com/office/excel/2006/main">
          <x14:cfRule type="expression" priority="127" id="{D999867B-848E-4835-A2A7-44A85FC555FA}">
            <xm:f>COUNTIFS('Jours fériés'!$C$2:$C$14,$A8)&gt;0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125" id="{5503B682-37CC-4B81-A6EB-65F494387007}">
            <xm:f>COUNTIFS('Jours fériés'!$C$2:$C$14,$A10)&gt;0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123" id="{F3D41BEA-8A37-4086-9C15-7877FCD66017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G4</xm:sqref>
        </x14:conditionalFormatting>
        <x14:conditionalFormatting xmlns:xm="http://schemas.microsoft.com/office/excel/2006/main">
          <x14:cfRule type="expression" priority="121" id="{A92A2C1A-B201-4A9A-9338-C5656C0B20BD}">
            <xm:f>COUNTIFS('Jours fériés'!$C$2:$C$14,$A5)&gt;0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119" id="{D6FA0586-7FAC-475E-811A-C13D920B192E}">
            <xm:f>COUNTIFS('Jours fériés'!$C$2:$C$14,$A7)&gt;0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expression" priority="117" id="{4566D2D0-B908-41EC-B8DF-B22CC45F6FE9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expression" priority="115" id="{E2086E72-EBEC-4C60-A439-5AC1CDEC1785}">
            <xm:f>COUNTIFS('Jours fériés'!$C$2:$C$14,$A14)&gt;0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expression" priority="113" id="{DD6CACDB-2444-4C7B-807B-017BE6FE1439}">
            <xm:f>COUNTIFS('Jours fériés'!$C$2:$C$14,$A15)&gt;0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G15</xm:sqref>
        </x14:conditionalFormatting>
        <x14:conditionalFormatting xmlns:xm="http://schemas.microsoft.com/office/excel/2006/main">
          <x14:cfRule type="expression" priority="109" id="{16FB4CD1-77C7-4F40-A9B2-233C16EDCCF0}">
            <xm:f>COUNTIFS('Jours fériés'!$C$2:$C$14,$A14)&gt;0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103" id="{C2192CE4-0B7D-46DE-A49C-B51A89A2EAE1}">
            <xm:f>COUNTIFS('Jours fériés'!$C$2:$C$14,$A16)&gt;0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G16</xm:sqref>
        </x14:conditionalFormatting>
        <x14:conditionalFormatting xmlns:xm="http://schemas.microsoft.com/office/excel/2006/main">
          <x14:cfRule type="expression" priority="239" id="{F66595D2-CC5F-4042-986D-6DC83B7190DB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G17</xm:sqref>
        </x14:conditionalFormatting>
        <x14:conditionalFormatting xmlns:xm="http://schemas.microsoft.com/office/excel/2006/main">
          <x14:cfRule type="expression" priority="99" id="{CAA5FC72-AC9D-499E-AFE3-64184821BA47}">
            <xm:f>COUNTIFS('Jours fériés'!$C$2:$C$14,$A14)&gt;0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97" id="{6EEEBA0E-47A7-4B59-932B-6AFC806D43D3}">
            <xm:f>COUNTIFS('Jours fériés'!$C$2:$C$14,$A15)&gt;0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95" id="{6C0BAE12-0FBF-4BBB-835F-1EF5136E1BD1}">
            <xm:f>COUNTIFS('Jours fériés'!$C$2:$C$14,$A16)&gt;0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91" id="{A61D41A5-A8EF-4664-A631-8AB206223755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89" id="{32DEAF20-2CD9-4F38-8DCD-1BE2AF8C936E}">
            <xm:f>COUNTIFS('Jours fériés'!$C$2:$C$14,$A19)&gt;0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expression" priority="83" id="{686F0203-AEE7-43A9-9E93-146199C847F0}">
            <xm:f>COUNTIFS('Jours fériés'!$C$2:$C$14,$A16)&gt;0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81" id="{19D3912E-53E1-4DFE-B417-C1958DF2DB8C}">
            <xm:f>COUNTIFS('Jours fériés'!$C$2:$C$14,$A19)&gt;0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E19</xm:sqref>
        </x14:conditionalFormatting>
        <x14:conditionalFormatting xmlns:xm="http://schemas.microsoft.com/office/excel/2006/main">
          <x14:cfRule type="expression" priority="79" id="{02F3D27C-CCD9-4AEA-9C66-A0727EEDE550}">
            <xm:f>COUNTIFS('Jours fériés'!$C$2:$C$14,$A15)&gt;0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77" id="{2EBCE985-FDB3-4966-8E8E-C7697EEF91A2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75" id="{52C4FB0A-E4A4-43B3-85B5-94E7766A7A55}">
            <xm:f>COUNTIFS('Jours fériés'!$C$2:$C$14,$A11)&gt;0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3" id="{9F073550-E053-4B5A-8F49-E927B3F52661}">
            <xm:f>COUNTIFS('Jours fériés'!$C$2:$C$14,$A22)&gt;0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E22</xm:sqref>
        </x14:conditionalFormatting>
        <x14:conditionalFormatting xmlns:xm="http://schemas.microsoft.com/office/excel/2006/main">
          <x14:cfRule type="expression" priority="69" id="{BB2E22EC-4D5F-4F50-9959-ED8CD48C3E87}">
            <xm:f>COUNTIFS('Jours fériés'!$C$2:$C$14,$A22)&gt;0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expression" priority="65" id="{B656873C-FA3E-4F8B-ACF1-88ED9098167B}">
            <xm:f>COUNTIFS('Jours fériés'!$C$2:$C$14,$A24)&gt;0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D24</xm:sqref>
        </x14:conditionalFormatting>
        <x14:conditionalFormatting xmlns:xm="http://schemas.microsoft.com/office/excel/2006/main">
          <x14:cfRule type="expression" priority="61" id="{04177661-61D8-4894-871A-58643F8FCFAD}">
            <xm:f>COUNTIFS('Jours fériés'!$C$2:$C$14,$A31)&gt;0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D31</xm:sqref>
        </x14:conditionalFormatting>
        <x14:conditionalFormatting xmlns:xm="http://schemas.microsoft.com/office/excel/2006/main">
          <x14:cfRule type="expression" priority="59" id="{DEBC7ABF-E7A7-4047-A508-13590ABC6747}">
            <xm:f>COUNTIFS('Jours fériés'!$C$2:$C$14,$A7)&gt;0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J20:J21 J7:J17 J24 J33:J34</xm:sqref>
        </x14:conditionalFormatting>
        <x14:conditionalFormatting xmlns:xm="http://schemas.microsoft.com/office/excel/2006/main">
          <x14:cfRule type="expression" priority="49" id="{4F1E9595-99EA-4684-AFFF-122BF877413A}">
            <xm:f>COUNTIFS('Jours fériés'!$C$2:$C$14,$A5)&gt;0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51" id="{A3380A2B-8513-4F71-9F56-5C3283DBD3E6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J4</xm:sqref>
        </x14:conditionalFormatting>
        <x14:conditionalFormatting xmlns:xm="http://schemas.microsoft.com/office/excel/2006/main">
          <x14:cfRule type="expression" priority="47" id="{6505CBBF-E1DB-4529-896A-4E4237AB84D7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J18:J19</xm:sqref>
        </x14:conditionalFormatting>
        <x14:conditionalFormatting xmlns:xm="http://schemas.microsoft.com/office/excel/2006/main">
          <x14:cfRule type="expression" priority="45" id="{C8774D51-9E30-4AE1-8B8C-A5133CB6C9B4}">
            <xm:f>COUNTIFS('Jours fériés'!$C$2:$C$14,$A22)&gt;0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43" id="{3AD612E8-1C8E-4513-BD5D-90D6D186E9A0}">
            <xm:f>COUNTIFS('Jours fériés'!$C$2:$C$14,$A23)&gt;0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39" id="{3AB54AA0-0700-4529-8AE1-E52ECEBD0709}">
            <xm:f>COUNTIFS('Jours fériés'!$C$2:$C$14,$A35)&gt;0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J35:J37</xm:sqref>
        </x14:conditionalFormatting>
        <x14:conditionalFormatting xmlns:xm="http://schemas.microsoft.com/office/excel/2006/main">
          <x14:cfRule type="expression" priority="37" id="{D88EE8B3-E3D5-4813-9661-A11E9E349E2A}">
            <xm:f>COUNTIFS('Jours fériés'!$C$2:$C$14,$A22)&gt;0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G22</xm:sqref>
        </x14:conditionalFormatting>
        <x14:conditionalFormatting xmlns:xm="http://schemas.microsoft.com/office/excel/2006/main">
          <x14:cfRule type="expression" priority="246" id="{F66595D2-CC5F-4042-986D-6DC83B7190DB}">
            <xm:f>COUNTIFS('Jours fériés'!$C$2:$C$14,$A24)&gt;0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E35:E36</xm:sqref>
        </x14:conditionalFormatting>
        <x14:conditionalFormatting xmlns:xm="http://schemas.microsoft.com/office/excel/2006/main">
          <x14:cfRule type="expression" priority="248" id="{CA0FA1A4-9A37-4C30-8377-D2F806BA9985}">
            <xm:f>COUNTIFS('Jours fériés'!$C$2:$C$14,$A14)&gt;0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E37</xm:sqref>
        </x14:conditionalFormatting>
        <x14:conditionalFormatting xmlns:xm="http://schemas.microsoft.com/office/excel/2006/main">
          <x14:cfRule type="expression" priority="249" id="{BCE261B2-C5F6-46AF-B1FE-BEAD830821C2}">
            <xm:f>COUNTIFS('Jours fériés'!$C$2:$C$14,$A22)&gt;0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E37</xm:sqref>
        </x14:conditionalFormatting>
        <x14:conditionalFormatting xmlns:xm="http://schemas.microsoft.com/office/excel/2006/main">
          <x14:cfRule type="expression" priority="19" id="{126A7E16-AECA-4C12-BDD8-43AB97515CC0}">
            <xm:f>COUNTIFS('Jours fériés'!$C$2:$C$14,$A24)&gt;0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I24</xm:sqref>
        </x14:conditionalFormatting>
        <x14:conditionalFormatting xmlns:xm="http://schemas.microsoft.com/office/excel/2006/main">
          <x14:cfRule type="expression" priority="35" id="{3910C701-A619-47DE-9EF3-61392E35FCB3}">
            <xm:f>COUNTIFS('Jours fériés'!$C$2:$C$14,$A14)&gt;0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33" id="{13D8350F-832F-493F-849D-9FD77CDD2540}">
            <xm:f>COUNTIFS('Jours fériés'!$C$2:$C$14,$A15)&gt;0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H15</xm:sqref>
        </x14:conditionalFormatting>
        <x14:conditionalFormatting xmlns:xm="http://schemas.microsoft.com/office/excel/2006/main">
          <x14:cfRule type="expression" priority="31" id="{B83693A9-C598-4BD1-9F13-16B41D83C6F5}">
            <xm:f>COUNTIFS('Jours fériés'!$C$2:$C$14,$A16)&gt;0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H16</xm:sqref>
        </x14:conditionalFormatting>
        <x14:conditionalFormatting xmlns:xm="http://schemas.microsoft.com/office/excel/2006/main">
          <x14:cfRule type="expression" priority="29" id="{04B75D4E-1330-4E3F-9CAC-43F01F9D2D5B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H18</xm:sqref>
        </x14:conditionalFormatting>
        <x14:conditionalFormatting xmlns:xm="http://schemas.microsoft.com/office/excel/2006/main">
          <x14:cfRule type="expression" priority="27" id="{D2DABF81-20B1-43A4-B831-38C37698F1D3}">
            <xm:f>COUNTIFS('Jours fériés'!$C$2:$C$14,$A19)&gt;0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H19</xm:sqref>
        </x14:conditionalFormatting>
        <x14:conditionalFormatting xmlns:xm="http://schemas.microsoft.com/office/excel/2006/main">
          <x14:cfRule type="expression" priority="25" id="{0A55B595-2185-42EB-9870-78CF06F6092B}">
            <xm:f>COUNTIFS('Jours fériés'!$C$2:$C$14,$A22)&gt;0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H22</xm:sqref>
        </x14:conditionalFormatting>
        <x14:conditionalFormatting xmlns:xm="http://schemas.microsoft.com/office/excel/2006/main">
          <x14:cfRule type="expression" priority="23" id="{9E48E96D-EBC3-4CB6-B9A0-DC7219F3FA26}">
            <xm:f>COUNTIFS('Jours fériés'!$C$2:$C$14,$A24)&gt;0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expression" priority="21" id="{0B73E1EA-D4A3-4CDC-8A88-6BFA56094545}">
            <xm:f>COUNTIFS('Jours fériés'!$C$2:$C$14,$A22)&gt;0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253" id="{F66595D2-CC5F-4042-986D-6DC83B7190DB}">
            <xm:f>COUNTIFS('Jours fériés'!$C$2:$C$14,$A25)&gt;0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E37</xm:sqref>
        </x14:conditionalFormatting>
        <x14:conditionalFormatting xmlns:xm="http://schemas.microsoft.com/office/excel/2006/main">
          <x14:cfRule type="expression" priority="257" id="{F66595D2-CC5F-4042-986D-6DC83B7190DB}">
            <xm:f>COUNTIFS('Jours fériés'!$C$2:$C$14,$A27)&gt;0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E37</xm:sqref>
        </x14:conditionalFormatting>
        <x14:conditionalFormatting xmlns:xm="http://schemas.microsoft.com/office/excel/2006/main">
          <x14:cfRule type="expression" priority="17" id="{7F42A1E2-F274-44C6-B04C-A093FD740D25}">
            <xm:f>COUNTIFS('Jours fériés'!$C$2:$C$14,$A25)&gt;0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G25</xm:sqref>
        </x14:conditionalFormatting>
        <x14:conditionalFormatting xmlns:xm="http://schemas.microsoft.com/office/excel/2006/main">
          <x14:cfRule type="expression" priority="14" id="{7E1D53E5-29E0-4605-8914-4200EB865E24}">
            <xm:f>COUNTIFS('Jours fériés'!$C$2:$C$14,$A24)&gt;0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D25</xm:sqref>
        </x14:conditionalFormatting>
        <x14:conditionalFormatting xmlns:xm="http://schemas.microsoft.com/office/excel/2006/main">
          <x14:cfRule type="expression" priority="11" id="{70228347-5D00-473A-AD46-389F86709529}">
            <xm:f>COUNTIFS('Jours fériés'!$C$2:$C$14,$A29)&gt;0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B29</xm:sqref>
        </x14:conditionalFormatting>
        <x14:conditionalFormatting xmlns:xm="http://schemas.microsoft.com/office/excel/2006/main">
          <x14:cfRule type="expression" priority="9" id="{732196D5-BF38-4FF4-954A-FCFDDE906367}">
            <xm:f>COUNTIFS('Jours fériés'!$C$2:$C$14,$A30)&gt;0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B30</xm:sqref>
        </x14:conditionalFormatting>
        <x14:conditionalFormatting xmlns:xm="http://schemas.microsoft.com/office/excel/2006/main">
          <x14:cfRule type="expression" priority="7" id="{09DC12ED-5650-47A7-9978-EF90F5E9F425}">
            <xm:f>COUNTIFS('Jours fériés'!$C$2:$C$14,$A29)&gt;0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E29</xm:sqref>
        </x14:conditionalFormatting>
        <x14:conditionalFormatting xmlns:xm="http://schemas.microsoft.com/office/excel/2006/main">
          <x14:cfRule type="expression" priority="5" id="{CB611E19-495C-4F26-873C-2074DE06F493}">
            <xm:f>COUNTIFS('Jours fériés'!$C$2:$C$14,$A30)&gt;0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E30</xm:sqref>
        </x14:conditionalFormatting>
        <x14:conditionalFormatting xmlns:xm="http://schemas.microsoft.com/office/excel/2006/main">
          <x14:cfRule type="expression" priority="1" id="{3F9F8C72-5744-4BAA-9B4D-91D78951B80B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M4:N34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8A9E4-934C-42FA-AC76-CE498EA6ABEB}">
  <sheetPr codeName="Feuil8"/>
  <dimension ref="A1:O34"/>
  <sheetViews>
    <sheetView workbookViewId="0">
      <pane ySplit="2" topLeftCell="A3" activePane="bottomLeft" state="frozen"/>
      <selection pane="bottomLeft" activeCell="J1" sqref="J1:J1048576"/>
    </sheetView>
  </sheetViews>
  <sheetFormatPr baseColWidth="10" defaultRowHeight="15" x14ac:dyDescent="0.25"/>
  <cols>
    <col min="1" max="1" width="29" customWidth="1"/>
    <col min="2" max="8" width="29.85546875" customWidth="1"/>
    <col min="9" max="10" width="29.85546875" style="58" customWidth="1"/>
    <col min="14" max="15" width="11.42578125" style="59"/>
    <col min="31" max="35" width="0" hidden="1" customWidth="1"/>
  </cols>
  <sheetData>
    <row r="1" spans="1:15" ht="31.5" customHeight="1" x14ac:dyDescent="0.25">
      <c r="A1" s="7"/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56" t="s">
        <v>21</v>
      </c>
      <c r="J1" s="56" t="s">
        <v>158</v>
      </c>
      <c r="M1">
        <v>3</v>
      </c>
      <c r="N1" s="59">
        <v>2</v>
      </c>
      <c r="O1" s="59">
        <v>2</v>
      </c>
    </row>
    <row r="2" spans="1:15" ht="25.5" customHeight="1" x14ac:dyDescent="0.25">
      <c r="A2" s="7"/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56" t="s">
        <v>28</v>
      </c>
      <c r="J2" s="56" t="s">
        <v>159</v>
      </c>
      <c r="N2" s="59" t="s">
        <v>0</v>
      </c>
      <c r="O2" s="59" t="s">
        <v>1</v>
      </c>
    </row>
    <row r="3" spans="1:15" x14ac:dyDescent="0.25">
      <c r="A3" t="s">
        <v>54</v>
      </c>
      <c r="B3" s="3"/>
      <c r="C3" s="3"/>
      <c r="D3" s="3"/>
      <c r="E3" s="3"/>
      <c r="F3" s="3"/>
      <c r="G3" s="3"/>
      <c r="H3" s="3"/>
      <c r="I3" s="57"/>
      <c r="J3" s="57"/>
      <c r="N3" s="59" t="s">
        <v>2</v>
      </c>
      <c r="O3" s="59">
        <v>2020</v>
      </c>
    </row>
    <row r="4" spans="1:15" x14ac:dyDescent="0.25">
      <c r="A4" s="1">
        <f>DATE(O1+2019,M1,1)</f>
        <v>44256</v>
      </c>
      <c r="N4" s="59" t="s">
        <v>3</v>
      </c>
      <c r="O4" s="59">
        <v>2021</v>
      </c>
    </row>
    <row r="5" spans="1:15" x14ac:dyDescent="0.25">
      <c r="A5" s="1">
        <f>A4+1</f>
        <v>44257</v>
      </c>
      <c r="N5" s="59" t="s">
        <v>4</v>
      </c>
    </row>
    <row r="6" spans="1:15" x14ac:dyDescent="0.25">
      <c r="A6" s="1">
        <f t="shared" ref="A6:A34" si="0">A5+1</f>
        <v>44258</v>
      </c>
      <c r="N6" s="59" t="s">
        <v>5</v>
      </c>
    </row>
    <row r="7" spans="1:15" s="23" customFormat="1" x14ac:dyDescent="0.25">
      <c r="A7" s="22">
        <f t="shared" si="0"/>
        <v>44259</v>
      </c>
      <c r="B7"/>
      <c r="C7"/>
      <c r="D7"/>
      <c r="E7"/>
      <c r="F7"/>
      <c r="G7"/>
      <c r="H7"/>
      <c r="I7" s="58"/>
      <c r="J7" s="58"/>
      <c r="N7" s="59" t="s">
        <v>6</v>
      </c>
      <c r="O7" s="59"/>
    </row>
    <row r="8" spans="1:15" x14ac:dyDescent="0.25">
      <c r="A8" s="1">
        <f t="shared" si="0"/>
        <v>44260</v>
      </c>
      <c r="N8" s="59" t="s">
        <v>7</v>
      </c>
    </row>
    <row r="9" spans="1:15" x14ac:dyDescent="0.25">
      <c r="A9" s="1">
        <f t="shared" si="0"/>
        <v>44261</v>
      </c>
      <c r="N9" s="59" t="s">
        <v>8</v>
      </c>
    </row>
    <row r="10" spans="1:15" x14ac:dyDescent="0.25">
      <c r="A10" s="1">
        <f t="shared" si="0"/>
        <v>44262</v>
      </c>
      <c r="N10" s="59" t="s">
        <v>9</v>
      </c>
    </row>
    <row r="11" spans="1:15" x14ac:dyDescent="0.25">
      <c r="A11" s="1">
        <f t="shared" si="0"/>
        <v>44263</v>
      </c>
      <c r="N11" s="59" t="s">
        <v>10</v>
      </c>
    </row>
    <row r="12" spans="1:15" x14ac:dyDescent="0.25">
      <c r="A12" s="1">
        <f t="shared" si="0"/>
        <v>44264</v>
      </c>
      <c r="N12" s="59" t="s">
        <v>11</v>
      </c>
    </row>
    <row r="13" spans="1:15" x14ac:dyDescent="0.25">
      <c r="A13" s="1">
        <f t="shared" si="0"/>
        <v>44265</v>
      </c>
      <c r="N13" s="59" t="s">
        <v>12</v>
      </c>
    </row>
    <row r="14" spans="1:15" x14ac:dyDescent="0.25">
      <c r="A14" s="1">
        <f t="shared" si="0"/>
        <v>44266</v>
      </c>
      <c r="N14" s="59" t="s">
        <v>13</v>
      </c>
    </row>
    <row r="15" spans="1:15" x14ac:dyDescent="0.25">
      <c r="A15" s="1">
        <f t="shared" si="0"/>
        <v>44267</v>
      </c>
    </row>
    <row r="16" spans="1:15" x14ac:dyDescent="0.25">
      <c r="A16" s="1">
        <f t="shared" si="0"/>
        <v>44268</v>
      </c>
    </row>
    <row r="17" spans="1:7" x14ac:dyDescent="0.25">
      <c r="A17" s="1">
        <f t="shared" si="0"/>
        <v>44269</v>
      </c>
    </row>
    <row r="18" spans="1:7" x14ac:dyDescent="0.25">
      <c r="A18" s="62">
        <f t="shared" si="0"/>
        <v>44270</v>
      </c>
      <c r="B18" s="25" t="s">
        <v>86</v>
      </c>
    </row>
    <row r="19" spans="1:7" ht="48.75" customHeight="1" x14ac:dyDescent="0.25">
      <c r="A19" s="62">
        <f t="shared" si="0"/>
        <v>44271</v>
      </c>
      <c r="B19" s="25" t="s">
        <v>86</v>
      </c>
      <c r="C19" s="25" t="s">
        <v>151</v>
      </c>
      <c r="E19" s="60" t="s">
        <v>154</v>
      </c>
      <c r="F19" s="60" t="s">
        <v>155</v>
      </c>
      <c r="G19" s="60" t="s">
        <v>150</v>
      </c>
    </row>
    <row r="20" spans="1:7" x14ac:dyDescent="0.25">
      <c r="A20" s="62">
        <f t="shared" si="0"/>
        <v>44272</v>
      </c>
      <c r="B20" s="25" t="s">
        <v>86</v>
      </c>
      <c r="E20" t="s">
        <v>153</v>
      </c>
      <c r="F20" s="60" t="s">
        <v>157</v>
      </c>
      <c r="G20" s="60" t="s">
        <v>157</v>
      </c>
    </row>
    <row r="21" spans="1:7" ht="30" x14ac:dyDescent="0.25">
      <c r="A21" s="62">
        <f t="shared" si="0"/>
        <v>44273</v>
      </c>
      <c r="B21" s="25" t="s">
        <v>86</v>
      </c>
      <c r="F21" s="60" t="s">
        <v>156</v>
      </c>
    </row>
    <row r="22" spans="1:7" ht="60" x14ac:dyDescent="0.25">
      <c r="A22" s="62">
        <f t="shared" si="0"/>
        <v>44274</v>
      </c>
      <c r="B22" s="25" t="s">
        <v>86</v>
      </c>
      <c r="C22" s="25" t="s">
        <v>160</v>
      </c>
      <c r="D22" s="63" t="s">
        <v>161</v>
      </c>
      <c r="E22" s="25" t="s">
        <v>162</v>
      </c>
      <c r="F22" s="61" t="s">
        <v>165</v>
      </c>
      <c r="G22" s="60" t="s">
        <v>152</v>
      </c>
    </row>
    <row r="23" spans="1:7" x14ac:dyDescent="0.25">
      <c r="A23" s="1">
        <f t="shared" si="0"/>
        <v>44275</v>
      </c>
    </row>
    <row r="24" spans="1:7" x14ac:dyDescent="0.25">
      <c r="A24" s="1">
        <f t="shared" si="0"/>
        <v>44276</v>
      </c>
    </row>
    <row r="25" spans="1:7" ht="60" x14ac:dyDescent="0.25">
      <c r="A25" s="1">
        <f t="shared" si="0"/>
        <v>44277</v>
      </c>
      <c r="B25" s="25" t="s">
        <v>86</v>
      </c>
      <c r="C25" t="s">
        <v>70</v>
      </c>
      <c r="E25" s="25" t="s">
        <v>163</v>
      </c>
      <c r="F25" s="25" t="s">
        <v>166</v>
      </c>
    </row>
    <row r="26" spans="1:7" ht="30" x14ac:dyDescent="0.25">
      <c r="A26" s="1">
        <f t="shared" si="0"/>
        <v>44278</v>
      </c>
      <c r="B26" s="25" t="s">
        <v>86</v>
      </c>
      <c r="E26" s="25" t="s">
        <v>164</v>
      </c>
    </row>
    <row r="27" spans="1:7" ht="30" x14ac:dyDescent="0.25">
      <c r="A27" s="1">
        <f t="shared" si="0"/>
        <v>44279</v>
      </c>
      <c r="B27" s="25" t="s">
        <v>86</v>
      </c>
      <c r="E27" s="25" t="s">
        <v>164</v>
      </c>
    </row>
    <row r="28" spans="1:7" ht="30" x14ac:dyDescent="0.25">
      <c r="A28" s="1">
        <f t="shared" si="0"/>
        <v>44280</v>
      </c>
      <c r="B28" s="25" t="s">
        <v>86</v>
      </c>
      <c r="F28" s="25" t="s">
        <v>164</v>
      </c>
    </row>
    <row r="29" spans="1:7" ht="30" x14ac:dyDescent="0.25">
      <c r="A29" s="1">
        <f t="shared" si="0"/>
        <v>44281</v>
      </c>
      <c r="B29" s="25" t="s">
        <v>86</v>
      </c>
      <c r="F29" s="25" t="s">
        <v>164</v>
      </c>
    </row>
    <row r="30" spans="1:7" x14ac:dyDescent="0.25">
      <c r="A30" s="1">
        <f t="shared" si="0"/>
        <v>44282</v>
      </c>
    </row>
    <row r="31" spans="1:7" x14ac:dyDescent="0.25">
      <c r="A31" s="1">
        <f t="shared" si="0"/>
        <v>44283</v>
      </c>
    </row>
    <row r="32" spans="1:7" x14ac:dyDescent="0.25">
      <c r="A32" s="1">
        <f>A31+1</f>
        <v>44284</v>
      </c>
    </row>
    <row r="33" spans="1:1" x14ac:dyDescent="0.25">
      <c r="A33" s="1">
        <f t="shared" si="0"/>
        <v>44285</v>
      </c>
    </row>
    <row r="34" spans="1:1" ht="15" customHeight="1" x14ac:dyDescent="0.25">
      <c r="A34" s="1">
        <f t="shared" si="0"/>
        <v>44286</v>
      </c>
    </row>
  </sheetData>
  <conditionalFormatting sqref="A4:H17 P4:XFD34 H19:H20 D19 A23:H24 H22 G21:H21 J4:M34 D22 C20:E21 A18:A22 C18:H18 F22 A30:H34 F26:H29 G25:H25 A25:A29 C25:D29">
    <cfRule type="expression" dxfId="33" priority="6">
      <formula>WEEKDAY($A4,2)&gt;5</formula>
    </cfRule>
  </conditionalFormatting>
  <conditionalFormatting sqref="N4:O34">
    <cfRule type="expression" dxfId="32" priority="4">
      <formula>WEEKDAY($A4,2)&gt;5</formula>
    </cfRule>
  </conditionalFormatting>
  <conditionalFormatting sqref="I4:I34">
    <cfRule type="expression" dxfId="31" priority="2">
      <formula>WEEKDAY($A4,2)&gt;5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1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0</xdr:row>
                    <xdr:rowOff>104775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1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E9E237D4-0C5F-48D2-8441-748D9033E092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A4:H17 P4:XFD34 H19:H20 D19 A23:H24 H22 G21:H21 J4:M34 D22 C20:E21 A18:A22 C18:H18 F22 A30:H34 F26:H29 G25:H25 A25:A29 C25:D29</xm:sqref>
        </x14:conditionalFormatting>
        <x14:conditionalFormatting xmlns:xm="http://schemas.microsoft.com/office/excel/2006/main">
          <x14:cfRule type="expression" priority="3" id="{F70BA3D1-93EC-43BF-BFEF-A29558D5EB48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N4:O34</xm:sqref>
        </x14:conditionalFormatting>
        <x14:conditionalFormatting xmlns:xm="http://schemas.microsoft.com/office/excel/2006/main">
          <x14:cfRule type="expression" priority="1" id="{722D0A32-044D-4961-AE21-1B90CCBD281A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I4:I34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73FE7-EFFD-4ADF-8AEC-79D29D6970CC}">
  <sheetPr codeName="Feuil4"/>
  <dimension ref="A1:O35"/>
  <sheetViews>
    <sheetView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D9" sqref="D9"/>
    </sheetView>
  </sheetViews>
  <sheetFormatPr baseColWidth="10" defaultRowHeight="15" x14ac:dyDescent="0.25"/>
  <cols>
    <col min="1" max="1" width="29" style="72" customWidth="1"/>
    <col min="2" max="2" width="23.28515625" customWidth="1"/>
    <col min="3" max="4" width="16.28515625" customWidth="1"/>
    <col min="5" max="5" width="21.7109375" customWidth="1"/>
    <col min="6" max="6" width="16.28515625" customWidth="1"/>
    <col min="7" max="7" width="21.42578125" customWidth="1"/>
    <col min="8" max="8" width="16.28515625" customWidth="1"/>
    <col min="9" max="9" width="23.42578125" customWidth="1"/>
    <col min="10" max="10" width="29.85546875" customWidth="1"/>
    <col min="11" max="11" width="29.85546875" style="58" customWidth="1"/>
    <col min="14" max="15" width="11.42578125" style="13"/>
  </cols>
  <sheetData>
    <row r="1" spans="1:15" ht="30" x14ac:dyDescent="0.25"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143</v>
      </c>
      <c r="K1" s="56" t="s">
        <v>158</v>
      </c>
      <c r="M1">
        <v>4</v>
      </c>
      <c r="N1" s="13">
        <v>4</v>
      </c>
      <c r="O1" s="13">
        <v>2</v>
      </c>
    </row>
    <row r="2" spans="1:15" ht="30" x14ac:dyDescent="0.25"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28</v>
      </c>
      <c r="J2" s="2" t="s">
        <v>28</v>
      </c>
      <c r="K2" s="56" t="s">
        <v>159</v>
      </c>
      <c r="N2" s="55" t="s">
        <v>0</v>
      </c>
      <c r="O2" s="55" t="s">
        <v>1</v>
      </c>
    </row>
    <row r="3" spans="1:15" x14ac:dyDescent="0.25">
      <c r="B3" s="3"/>
      <c r="C3" s="3"/>
      <c r="D3" s="3"/>
      <c r="E3" s="3"/>
      <c r="F3" s="3"/>
      <c r="G3" s="3"/>
      <c r="H3" s="3"/>
      <c r="I3" s="3"/>
      <c r="J3" s="3"/>
      <c r="K3" s="57"/>
      <c r="N3" s="55" t="s">
        <v>2</v>
      </c>
      <c r="O3" s="55">
        <v>2020</v>
      </c>
    </row>
    <row r="4" spans="1:15" ht="30" x14ac:dyDescent="0.25">
      <c r="A4" s="73">
        <f>DATE(O1+2019,N1,1)</f>
        <v>44287</v>
      </c>
      <c r="I4" s="25" t="s">
        <v>167</v>
      </c>
      <c r="N4" s="55" t="s">
        <v>3</v>
      </c>
      <c r="O4" s="55">
        <v>2021</v>
      </c>
    </row>
    <row r="5" spans="1:15" ht="45" x14ac:dyDescent="0.25">
      <c r="A5" s="73">
        <f>A4+1</f>
        <v>44288</v>
      </c>
      <c r="I5" s="25" t="s">
        <v>168</v>
      </c>
      <c r="J5" s="7"/>
      <c r="N5" s="55" t="s">
        <v>4</v>
      </c>
      <c r="O5" s="55"/>
    </row>
    <row r="6" spans="1:15" x14ac:dyDescent="0.25">
      <c r="A6" s="73">
        <f t="shared" ref="A6:A31" si="0">A5+1</f>
        <v>44289</v>
      </c>
      <c r="J6" s="7"/>
      <c r="N6" s="55"/>
      <c r="O6" s="55"/>
    </row>
    <row r="7" spans="1:15" x14ac:dyDescent="0.25">
      <c r="A7" s="73">
        <f t="shared" si="0"/>
        <v>44290</v>
      </c>
      <c r="N7" s="55"/>
      <c r="O7" s="55"/>
    </row>
    <row r="8" spans="1:15" x14ac:dyDescent="0.25">
      <c r="A8" s="73">
        <f t="shared" si="0"/>
        <v>44291</v>
      </c>
      <c r="N8" s="55"/>
      <c r="O8" s="55"/>
    </row>
    <row r="9" spans="1:15" ht="45" x14ac:dyDescent="0.25">
      <c r="A9" s="73">
        <f t="shared" si="0"/>
        <v>44292</v>
      </c>
      <c r="B9" s="25" t="s">
        <v>86</v>
      </c>
      <c r="C9" s="25" t="s">
        <v>170</v>
      </c>
      <c r="D9" s="64" t="s">
        <v>171</v>
      </c>
      <c r="E9" s="64" t="s">
        <v>70</v>
      </c>
      <c r="F9" s="25" t="s">
        <v>169</v>
      </c>
      <c r="G9" s="65" t="s">
        <v>172</v>
      </c>
      <c r="H9" s="64" t="s">
        <v>171</v>
      </c>
      <c r="I9" s="65" t="s">
        <v>174</v>
      </c>
      <c r="N9" s="55" t="s">
        <v>8</v>
      </c>
      <c r="O9" s="55"/>
    </row>
    <row r="10" spans="1:15" ht="150" x14ac:dyDescent="0.25">
      <c r="A10" s="73">
        <f t="shared" si="0"/>
        <v>44293</v>
      </c>
      <c r="B10" s="64" t="s">
        <v>173</v>
      </c>
      <c r="C10" s="25" t="s">
        <v>181</v>
      </c>
      <c r="D10" s="66" t="s">
        <v>171</v>
      </c>
      <c r="E10" s="25" t="s">
        <v>176</v>
      </c>
      <c r="H10" s="66" t="s">
        <v>171</v>
      </c>
      <c r="N10" s="55" t="s">
        <v>9</v>
      </c>
      <c r="O10" s="55"/>
    </row>
    <row r="11" spans="1:15" ht="135" x14ac:dyDescent="0.25">
      <c r="A11" s="73">
        <f t="shared" si="0"/>
        <v>44294</v>
      </c>
      <c r="B11" s="25" t="s">
        <v>86</v>
      </c>
      <c r="C11" s="25" t="s">
        <v>175</v>
      </c>
      <c r="D11" s="66" t="s">
        <v>171</v>
      </c>
      <c r="E11" s="66" t="s">
        <v>173</v>
      </c>
      <c r="F11" s="25" t="s">
        <v>178</v>
      </c>
      <c r="G11" s="67" t="s">
        <v>179</v>
      </c>
      <c r="H11" s="66" t="s">
        <v>171</v>
      </c>
      <c r="N11" s="55" t="s">
        <v>10</v>
      </c>
      <c r="O11" s="55"/>
    </row>
    <row r="12" spans="1:15" ht="75" x14ac:dyDescent="0.25">
      <c r="A12" s="73">
        <f t="shared" si="0"/>
        <v>44295</v>
      </c>
      <c r="B12" s="25" t="s">
        <v>86</v>
      </c>
      <c r="C12" s="67" t="s">
        <v>180</v>
      </c>
      <c r="F12" s="25" t="s">
        <v>177</v>
      </c>
      <c r="G12" s="66" t="s">
        <v>70</v>
      </c>
      <c r="H12" s="66" t="s">
        <v>171</v>
      </c>
      <c r="I12" s="67" t="s">
        <v>180</v>
      </c>
      <c r="N12" s="55" t="s">
        <v>11</v>
      </c>
      <c r="O12" s="55"/>
    </row>
    <row r="13" spans="1:15" x14ac:dyDescent="0.25">
      <c r="A13" s="73">
        <f t="shared" si="0"/>
        <v>44296</v>
      </c>
      <c r="N13" s="55" t="s">
        <v>12</v>
      </c>
      <c r="O13" s="55"/>
    </row>
    <row r="14" spans="1:15" x14ac:dyDescent="0.25">
      <c r="A14" s="73">
        <f t="shared" si="0"/>
        <v>44297</v>
      </c>
      <c r="N14" s="55" t="s">
        <v>13</v>
      </c>
      <c r="O14" s="55"/>
    </row>
    <row r="15" spans="1:15" ht="75" x14ac:dyDescent="0.25">
      <c r="A15" s="73">
        <f t="shared" si="0"/>
        <v>44298</v>
      </c>
      <c r="B15" s="25" t="s">
        <v>86</v>
      </c>
      <c r="C15" s="25" t="s">
        <v>182</v>
      </c>
      <c r="G15" s="66" t="s">
        <v>70</v>
      </c>
      <c r="I15" s="25" t="s">
        <v>182</v>
      </c>
    </row>
    <row r="16" spans="1:15" x14ac:dyDescent="0.25">
      <c r="A16" s="73">
        <f t="shared" si="0"/>
        <v>44299</v>
      </c>
      <c r="B16" s="25" t="s">
        <v>86</v>
      </c>
      <c r="G16" s="66" t="s">
        <v>70</v>
      </c>
    </row>
    <row r="17" spans="1:11" x14ac:dyDescent="0.25">
      <c r="A17" s="73">
        <f t="shared" si="0"/>
        <v>44300</v>
      </c>
      <c r="B17" s="25" t="s">
        <v>86</v>
      </c>
      <c r="G17" s="64" t="s">
        <v>70</v>
      </c>
    </row>
    <row r="18" spans="1:11" x14ac:dyDescent="0.25">
      <c r="A18" s="73">
        <f t="shared" si="0"/>
        <v>44301</v>
      </c>
      <c r="B18" s="25" t="s">
        <v>86</v>
      </c>
    </row>
    <row r="19" spans="1:11" x14ac:dyDescent="0.25">
      <c r="A19" s="73">
        <f t="shared" si="0"/>
        <v>44302</v>
      </c>
      <c r="B19" s="25" t="s">
        <v>86</v>
      </c>
    </row>
    <row r="20" spans="1:11" x14ac:dyDescent="0.25">
      <c r="A20" s="73">
        <f t="shared" si="0"/>
        <v>44303</v>
      </c>
    </row>
    <row r="21" spans="1:11" x14ac:dyDescent="0.25">
      <c r="A21" s="73">
        <f t="shared" si="0"/>
        <v>44304</v>
      </c>
    </row>
    <row r="22" spans="1:11" x14ac:dyDescent="0.25">
      <c r="A22" s="73">
        <f t="shared" si="0"/>
        <v>44305</v>
      </c>
      <c r="B22" s="25" t="s">
        <v>86</v>
      </c>
    </row>
    <row r="23" spans="1:11" x14ac:dyDescent="0.25">
      <c r="A23" s="73">
        <f t="shared" si="0"/>
        <v>44306</v>
      </c>
      <c r="B23" s="25" t="s">
        <v>86</v>
      </c>
      <c r="G23" s="64" t="s">
        <v>70</v>
      </c>
    </row>
    <row r="24" spans="1:11" x14ac:dyDescent="0.25">
      <c r="A24" s="73">
        <f t="shared" si="0"/>
        <v>44307</v>
      </c>
      <c r="B24" s="25" t="s">
        <v>86</v>
      </c>
    </row>
    <row r="25" spans="1:11" x14ac:dyDescent="0.25">
      <c r="A25" s="73">
        <f t="shared" si="0"/>
        <v>44308</v>
      </c>
      <c r="B25" s="25" t="s">
        <v>86</v>
      </c>
    </row>
    <row r="26" spans="1:11" x14ac:dyDescent="0.25">
      <c r="A26" s="73">
        <f t="shared" si="0"/>
        <v>44309</v>
      </c>
      <c r="B26" s="25" t="s">
        <v>86</v>
      </c>
    </row>
    <row r="27" spans="1:11" x14ac:dyDescent="0.25">
      <c r="A27" s="73">
        <f t="shared" si="0"/>
        <v>44310</v>
      </c>
    </row>
    <row r="28" spans="1:11" x14ac:dyDescent="0.25">
      <c r="A28" s="73">
        <f t="shared" si="0"/>
        <v>44311</v>
      </c>
    </row>
    <row r="29" spans="1:11" ht="45" x14ac:dyDescent="0.25">
      <c r="A29" s="73">
        <f t="shared" si="0"/>
        <v>44312</v>
      </c>
      <c r="B29" s="25" t="s">
        <v>86</v>
      </c>
      <c r="C29" s="68" t="s">
        <v>70</v>
      </c>
      <c r="D29" s="69" t="s">
        <v>171</v>
      </c>
      <c r="E29" s="25" t="s">
        <v>191</v>
      </c>
      <c r="F29" s="68" t="s">
        <v>70</v>
      </c>
      <c r="G29" s="25" t="s">
        <v>191</v>
      </c>
      <c r="H29" s="69" t="s">
        <v>171</v>
      </c>
      <c r="I29" s="25" t="s">
        <v>183</v>
      </c>
      <c r="J29" s="69" t="s">
        <v>186</v>
      </c>
      <c r="K29" s="71" t="s">
        <v>185</v>
      </c>
    </row>
    <row r="30" spans="1:11" ht="60" x14ac:dyDescent="0.25">
      <c r="A30" s="73">
        <f t="shared" si="0"/>
        <v>44313</v>
      </c>
      <c r="B30" s="25" t="s">
        <v>86</v>
      </c>
      <c r="C30" s="68" t="s">
        <v>70</v>
      </c>
      <c r="D30" s="69" t="s">
        <v>171</v>
      </c>
      <c r="E30" s="25" t="s">
        <v>191</v>
      </c>
      <c r="F30" s="68" t="s">
        <v>70</v>
      </c>
      <c r="G30" s="64" t="s">
        <v>70</v>
      </c>
      <c r="H30" s="69" t="s">
        <v>171</v>
      </c>
      <c r="I30" s="25" t="s">
        <v>183</v>
      </c>
      <c r="J30" s="25" t="s">
        <v>190</v>
      </c>
      <c r="K30" s="71" t="s">
        <v>185</v>
      </c>
    </row>
    <row r="31" spans="1:11" ht="60" x14ac:dyDescent="0.25">
      <c r="A31" s="73">
        <f t="shared" si="0"/>
        <v>44314</v>
      </c>
      <c r="B31" s="25" t="s">
        <v>86</v>
      </c>
      <c r="C31" s="68" t="s">
        <v>70</v>
      </c>
      <c r="D31" s="69" t="s">
        <v>171</v>
      </c>
      <c r="E31" s="25" t="s">
        <v>192</v>
      </c>
      <c r="F31" s="68" t="s">
        <v>70</v>
      </c>
      <c r="G31" s="25" t="s">
        <v>189</v>
      </c>
      <c r="H31" s="69" t="s">
        <v>171</v>
      </c>
      <c r="I31" s="25" t="s">
        <v>188</v>
      </c>
      <c r="J31" s="69" t="s">
        <v>186</v>
      </c>
      <c r="K31" s="71" t="s">
        <v>185</v>
      </c>
    </row>
    <row r="32" spans="1:11" ht="60" x14ac:dyDescent="0.25">
      <c r="A32" s="73">
        <f>A31+1</f>
        <v>44315</v>
      </c>
      <c r="B32" s="25" t="s">
        <v>86</v>
      </c>
      <c r="C32" s="68" t="s">
        <v>70</v>
      </c>
      <c r="D32" s="69" t="s">
        <v>171</v>
      </c>
      <c r="E32" s="25" t="s">
        <v>193</v>
      </c>
      <c r="F32" s="68" t="s">
        <v>70</v>
      </c>
      <c r="G32" s="25" t="s">
        <v>189</v>
      </c>
      <c r="H32" s="69" t="s">
        <v>171</v>
      </c>
      <c r="I32" s="25" t="s">
        <v>188</v>
      </c>
      <c r="J32" s="69" t="s">
        <v>186</v>
      </c>
      <c r="K32" s="71" t="s">
        <v>185</v>
      </c>
    </row>
    <row r="33" spans="1:11" ht="60" x14ac:dyDescent="0.25">
      <c r="A33" s="127">
        <f>A32+1</f>
        <v>44316</v>
      </c>
      <c r="B33" s="25" t="s">
        <v>187</v>
      </c>
      <c r="C33" s="113" t="s">
        <v>70</v>
      </c>
      <c r="D33" s="116" t="s">
        <v>171</v>
      </c>
      <c r="E33" s="115" t="s">
        <v>70</v>
      </c>
      <c r="F33" s="115" t="s">
        <v>70</v>
      </c>
      <c r="G33" s="25" t="s">
        <v>189</v>
      </c>
      <c r="H33" s="116" t="s">
        <v>171</v>
      </c>
      <c r="I33" s="25" t="s">
        <v>187</v>
      </c>
      <c r="J33" s="25" t="s">
        <v>187</v>
      </c>
      <c r="K33" s="128" t="s">
        <v>185</v>
      </c>
    </row>
    <row r="34" spans="1:11" ht="45" x14ac:dyDescent="0.25">
      <c r="A34" s="127"/>
      <c r="B34" s="25" t="s">
        <v>86</v>
      </c>
      <c r="C34" s="113"/>
      <c r="D34" s="116"/>
      <c r="E34" s="115"/>
      <c r="F34" s="115"/>
      <c r="G34" s="69" t="s">
        <v>70</v>
      </c>
      <c r="H34" s="116"/>
      <c r="I34" s="25" t="s">
        <v>184</v>
      </c>
      <c r="J34" s="69" t="s">
        <v>186</v>
      </c>
      <c r="K34" s="129"/>
    </row>
    <row r="35" spans="1:11" hidden="1" x14ac:dyDescent="0.25">
      <c r="A35" s="73">
        <f>A34+1</f>
        <v>1</v>
      </c>
    </row>
  </sheetData>
  <mergeCells count="7">
    <mergeCell ref="A33:A34"/>
    <mergeCell ref="C33:C34"/>
    <mergeCell ref="K33:K34"/>
    <mergeCell ref="F33:F34"/>
    <mergeCell ref="E33:E34"/>
    <mergeCell ref="H33:H34"/>
    <mergeCell ref="D33:D34"/>
  </mergeCells>
  <conditionalFormatting sqref="B10">
    <cfRule type="expression" dxfId="27" priority="34">
      <formula>WEEKDAY($A10,2)&gt;5</formula>
    </cfRule>
  </conditionalFormatting>
  <conditionalFormatting sqref="E11">
    <cfRule type="expression" dxfId="26" priority="32">
      <formula>WEEKDAY($A11,2)&gt;5</formula>
    </cfRule>
  </conditionalFormatting>
  <conditionalFormatting sqref="L33:M33 C33 A33 P33:XFD33 F33">
    <cfRule type="expression" dxfId="25" priority="30">
      <formula>WEEKDAY($A33,2)&gt;5</formula>
    </cfRule>
  </conditionalFormatting>
  <conditionalFormatting sqref="N33:O33">
    <cfRule type="expression" dxfId="24" priority="28">
      <formula>WEEKDAY($A33,2)&gt;5</formula>
    </cfRule>
  </conditionalFormatting>
  <conditionalFormatting sqref="E33">
    <cfRule type="expression" dxfId="23" priority="24">
      <formula>WEEKDAY($A33,2)&gt;5</formula>
    </cfRule>
  </conditionalFormatting>
  <conditionalFormatting sqref="D29:D33">
    <cfRule type="expression" dxfId="22" priority="22">
      <formula>WEEKDAY($A29,2)&gt;5</formula>
    </cfRule>
  </conditionalFormatting>
  <conditionalFormatting sqref="A4:K28">
    <cfRule type="expression" dxfId="21" priority="26">
      <formula>WEEKDAY($A4,2)&gt;5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Masquer_Jour">
                <anchor moveWithCells="1">
                  <from>
                    <xdr:col>0</xdr:col>
                    <xdr:colOff>9525</xdr:colOff>
                    <xdr:row>0</xdr:row>
                    <xdr:rowOff>76200</xdr:rowOff>
                  </from>
                  <to>
                    <xdr:col>1</xdr:col>
                    <xdr:colOff>9525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47625</xdr:rowOff>
                  </from>
                  <to>
                    <xdr:col>1</xdr:col>
                    <xdr:colOff>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" id="{0AF6701B-2F51-43E4-A6A5-616D4FE8F8E0}">
            <xm:f>COUNTIFS('Jours fériés'!$C$2:$C$14,$A10)&gt;0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31" id="{32EBD941-C2FF-4E80-973A-11E2B9147D72}">
            <xm:f>COUNTIFS('Jours fériés'!$C$2:$C$14,$A11)&gt;0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29" id="{E32E474E-AA81-4B44-87E5-E899A76D2E02}">
            <xm:f>COUNTIFS('Jours fériés'!$C$2:$C$14,$A33)&gt;0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L33:M33 C33 A33 P33:XFD33 F33</xm:sqref>
        </x14:conditionalFormatting>
        <x14:conditionalFormatting xmlns:xm="http://schemas.microsoft.com/office/excel/2006/main">
          <x14:cfRule type="expression" priority="27" id="{3F60C62C-FEBB-4E3D-8E7F-F27C6FE0CB54}">
            <xm:f>COUNTIFS('Jours fériés'!$C$2:$C$14,$A33)&gt;0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N33:O33</xm:sqref>
        </x14:conditionalFormatting>
        <x14:conditionalFormatting xmlns:xm="http://schemas.microsoft.com/office/excel/2006/main">
          <x14:cfRule type="expression" priority="23" id="{5C7521C8-1BF2-495A-8452-10269DA0B7C6}">
            <xm:f>COUNTIFS('Jours fériés'!$C$2:$C$14,$A33)&gt;0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E33</xm:sqref>
        </x14:conditionalFormatting>
        <x14:conditionalFormatting xmlns:xm="http://schemas.microsoft.com/office/excel/2006/main">
          <x14:cfRule type="expression" priority="21" id="{686F8EB7-D7A8-41D2-A36D-CB4BE25D31C6}">
            <xm:f>COUNTIFS('Jours fériés'!$C$2:$C$14,$A29)&gt;0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D29:D33</xm:sqref>
        </x14:conditionalFormatting>
        <x14:conditionalFormatting xmlns:xm="http://schemas.microsoft.com/office/excel/2006/main">
          <x14:cfRule type="expression" priority="25" id="{C3C4821E-E03E-45C5-BCCB-EA4B02041274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A4:K28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B5DB1-172C-4D4B-9D36-0E7C9B4E00F4}">
  <sheetPr codeName="Feuil9"/>
  <dimension ref="A1:AA40"/>
  <sheetViews>
    <sheetView workbookViewId="0">
      <pane xSplit="1" ySplit="2" topLeftCell="H18" activePane="bottomRight" state="frozen"/>
      <selection pane="topRight" activeCell="B1" sqref="B1"/>
      <selection pane="bottomLeft" activeCell="A3" sqref="A3"/>
      <selection pane="bottomRight" activeCell="K21" sqref="K21:K25"/>
    </sheetView>
  </sheetViews>
  <sheetFormatPr baseColWidth="10" defaultRowHeight="15" x14ac:dyDescent="0.25"/>
  <cols>
    <col min="1" max="1" width="29" customWidth="1"/>
    <col min="2" max="2" width="23.28515625" customWidth="1"/>
    <col min="3" max="3" width="30.28515625" customWidth="1"/>
    <col min="4" max="4" width="16.28515625" customWidth="1"/>
    <col min="5" max="5" width="21.7109375" customWidth="1"/>
    <col min="6" max="6" width="30.140625" customWidth="1"/>
    <col min="7" max="7" width="28.140625" customWidth="1"/>
    <col min="8" max="8" width="16.28515625" customWidth="1"/>
    <col min="9" max="9" width="29" customWidth="1"/>
    <col min="10" max="10" width="29.85546875" customWidth="1"/>
    <col min="11" max="11" width="29.85546875" style="58" customWidth="1"/>
    <col min="14" max="15" width="11.42578125" style="13"/>
  </cols>
  <sheetData>
    <row r="1" spans="1:27" s="59" customFormat="1" ht="30" x14ac:dyDescent="0.25">
      <c r="B1" s="93" t="s">
        <v>14</v>
      </c>
      <c r="C1" s="93" t="s">
        <v>15</v>
      </c>
      <c r="D1" s="93" t="s">
        <v>16</v>
      </c>
      <c r="E1" s="93" t="s">
        <v>17</v>
      </c>
      <c r="F1" s="93" t="s">
        <v>18</v>
      </c>
      <c r="G1" s="93" t="s">
        <v>19</v>
      </c>
      <c r="H1" s="93" t="s">
        <v>20</v>
      </c>
      <c r="I1" s="93" t="s">
        <v>21</v>
      </c>
      <c r="J1" s="93" t="s">
        <v>143</v>
      </c>
      <c r="K1" s="94" t="s">
        <v>158</v>
      </c>
      <c r="M1" s="59">
        <v>4</v>
      </c>
      <c r="N1" s="59">
        <v>5</v>
      </c>
      <c r="O1" s="59">
        <v>2</v>
      </c>
    </row>
    <row r="2" spans="1:27" x14ac:dyDescent="0.25"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28</v>
      </c>
      <c r="J2" s="2" t="s">
        <v>28</v>
      </c>
      <c r="K2" s="56" t="s">
        <v>159</v>
      </c>
      <c r="N2" s="55" t="s">
        <v>0</v>
      </c>
      <c r="O2" s="55" t="s">
        <v>1</v>
      </c>
    </row>
    <row r="3" spans="1:27" x14ac:dyDescent="0.25">
      <c r="B3" s="3"/>
      <c r="C3" s="3"/>
      <c r="D3" s="3"/>
      <c r="E3" s="3"/>
      <c r="F3" s="3"/>
      <c r="G3" s="3"/>
      <c r="H3" s="3"/>
      <c r="I3" s="3"/>
      <c r="J3" s="3"/>
      <c r="K3" s="57"/>
      <c r="N3" s="55" t="s">
        <v>2</v>
      </c>
      <c r="O3" s="55">
        <v>2020</v>
      </c>
    </row>
    <row r="4" spans="1:27" x14ac:dyDescent="0.25">
      <c r="A4" s="1">
        <f>DATE(O1+2019,N1,1)</f>
        <v>44317</v>
      </c>
      <c r="I4" s="25"/>
      <c r="N4" s="55"/>
      <c r="O4" s="55"/>
    </row>
    <row r="5" spans="1:27" x14ac:dyDescent="0.25">
      <c r="A5" s="1">
        <f>A4+1</f>
        <v>44318</v>
      </c>
      <c r="I5" s="25"/>
      <c r="J5" s="7"/>
      <c r="N5" s="55"/>
      <c r="O5" s="55"/>
    </row>
    <row r="6" spans="1:27" ht="60" customHeight="1" x14ac:dyDescent="0.25">
      <c r="A6" s="133">
        <f>A5+1</f>
        <v>44319</v>
      </c>
      <c r="B6" s="117" t="s">
        <v>86</v>
      </c>
      <c r="C6" s="117" t="s">
        <v>197</v>
      </c>
      <c r="D6" s="131" t="s">
        <v>171</v>
      </c>
      <c r="E6" s="25" t="s">
        <v>198</v>
      </c>
      <c r="F6" s="131" t="s">
        <v>202</v>
      </c>
      <c r="G6" s="25" t="s">
        <v>195</v>
      </c>
      <c r="H6" s="79" t="s">
        <v>171</v>
      </c>
      <c r="J6" s="75" t="s">
        <v>199</v>
      </c>
      <c r="K6" s="128" t="s">
        <v>185</v>
      </c>
      <c r="N6" s="55"/>
      <c r="O6" s="55"/>
    </row>
    <row r="7" spans="1:27" ht="48" customHeight="1" x14ac:dyDescent="0.25">
      <c r="A7" s="133"/>
      <c r="B7" s="118"/>
      <c r="C7" s="118"/>
      <c r="D7" s="131"/>
      <c r="E7" s="25" t="s">
        <v>191</v>
      </c>
      <c r="F7" s="131"/>
      <c r="G7" s="25" t="s">
        <v>196</v>
      </c>
      <c r="H7" s="79" t="s">
        <v>171</v>
      </c>
      <c r="J7" s="76" t="s">
        <v>200</v>
      </c>
      <c r="K7" s="129"/>
      <c r="N7" s="55"/>
      <c r="O7" s="55"/>
    </row>
    <row r="8" spans="1:27" ht="60" x14ac:dyDescent="0.25">
      <c r="A8" s="1">
        <f>A5+2</f>
        <v>44320</v>
      </c>
      <c r="B8" s="25" t="s">
        <v>86</v>
      </c>
      <c r="C8" s="25" t="s">
        <v>205</v>
      </c>
      <c r="D8" s="79" t="s">
        <v>171</v>
      </c>
      <c r="E8" s="25" t="s">
        <v>191</v>
      </c>
      <c r="F8" s="74" t="s">
        <v>202</v>
      </c>
      <c r="G8" s="25" t="s">
        <v>191</v>
      </c>
      <c r="H8" s="79" t="s">
        <v>171</v>
      </c>
      <c r="I8" s="25" t="s">
        <v>201</v>
      </c>
      <c r="J8" s="25" t="s">
        <v>201</v>
      </c>
      <c r="K8" s="78" t="s">
        <v>208</v>
      </c>
      <c r="N8" s="55"/>
      <c r="O8" s="55"/>
    </row>
    <row r="9" spans="1:27" ht="43.15" customHeight="1" x14ac:dyDescent="0.25">
      <c r="A9" s="127">
        <f>A8+1</f>
        <v>44321</v>
      </c>
      <c r="B9" s="25" t="s">
        <v>86</v>
      </c>
      <c r="C9" s="25" t="s">
        <v>207</v>
      </c>
      <c r="D9" s="131" t="s">
        <v>171</v>
      </c>
      <c r="E9" s="117" t="s">
        <v>198</v>
      </c>
      <c r="F9" s="113" t="s">
        <v>202</v>
      </c>
      <c r="G9" s="82" t="s">
        <v>191</v>
      </c>
      <c r="H9" s="116" t="s">
        <v>171</v>
      </c>
      <c r="I9" s="117" t="s">
        <v>184</v>
      </c>
      <c r="J9" s="135"/>
      <c r="K9" s="115" t="s">
        <v>70</v>
      </c>
      <c r="N9" s="55"/>
      <c r="O9" s="55"/>
    </row>
    <row r="10" spans="1:27" ht="48.75" customHeight="1" x14ac:dyDescent="0.25">
      <c r="A10" s="127"/>
      <c r="B10" s="25" t="s">
        <v>206</v>
      </c>
      <c r="C10" s="25" t="s">
        <v>206</v>
      </c>
      <c r="D10" s="131"/>
      <c r="E10" s="118"/>
      <c r="F10" s="113"/>
      <c r="G10" s="25" t="s">
        <v>210</v>
      </c>
      <c r="H10" s="116"/>
      <c r="I10" s="118"/>
      <c r="J10" s="136"/>
      <c r="K10" s="115"/>
      <c r="N10" s="55"/>
      <c r="O10" s="55"/>
    </row>
    <row r="11" spans="1:27" ht="45" x14ac:dyDescent="0.25">
      <c r="A11" s="88">
        <f>A8+2</f>
        <v>44322</v>
      </c>
      <c r="B11" s="25" t="s">
        <v>86</v>
      </c>
      <c r="C11" s="80" t="s">
        <v>205</v>
      </c>
      <c r="D11" s="79" t="s">
        <v>171</v>
      </c>
      <c r="E11" s="25" t="s">
        <v>191</v>
      </c>
      <c r="F11" s="79" t="s">
        <v>202</v>
      </c>
      <c r="H11" s="79" t="s">
        <v>171</v>
      </c>
      <c r="I11" s="81" t="s">
        <v>194</v>
      </c>
      <c r="J11" s="85" t="s">
        <v>194</v>
      </c>
      <c r="K11" s="83" t="s">
        <v>70</v>
      </c>
      <c r="N11" s="55"/>
      <c r="O11" s="55"/>
    </row>
    <row r="12" spans="1:27" ht="45" x14ac:dyDescent="0.25">
      <c r="A12" s="132">
        <f>A9+2</f>
        <v>44323</v>
      </c>
      <c r="B12" s="89" t="s">
        <v>86</v>
      </c>
      <c r="C12" s="81" t="s">
        <v>204</v>
      </c>
      <c r="D12" s="131" t="s">
        <v>171</v>
      </c>
      <c r="E12" s="117" t="s">
        <v>191</v>
      </c>
      <c r="F12" s="131" t="s">
        <v>202</v>
      </c>
      <c r="G12" s="25" t="s">
        <v>203</v>
      </c>
      <c r="H12" s="116" t="s">
        <v>171</v>
      </c>
      <c r="K12" s="115" t="s">
        <v>70</v>
      </c>
      <c r="N12" s="55"/>
      <c r="O12" s="55"/>
    </row>
    <row r="13" spans="1:27" ht="60" x14ac:dyDescent="0.25">
      <c r="A13" s="132"/>
      <c r="B13" s="89" t="s">
        <v>86</v>
      </c>
      <c r="C13" s="81" t="s">
        <v>204</v>
      </c>
      <c r="D13" s="131"/>
      <c r="E13" s="118"/>
      <c r="F13" s="131"/>
      <c r="G13" s="25" t="s">
        <v>209</v>
      </c>
      <c r="H13" s="116"/>
      <c r="I13" s="87"/>
      <c r="J13" s="87"/>
      <c r="K13" s="115"/>
      <c r="N13" s="55"/>
      <c r="O13" s="55"/>
    </row>
    <row r="14" spans="1:27" ht="43.15" customHeight="1" x14ac:dyDescent="0.25">
      <c r="A14" s="88">
        <f>A12+1</f>
        <v>44324</v>
      </c>
      <c r="B14" s="25"/>
      <c r="C14" s="82"/>
      <c r="D14" s="86"/>
      <c r="E14" s="81"/>
      <c r="F14" s="86"/>
      <c r="H14" s="86"/>
      <c r="I14" s="81"/>
      <c r="J14" s="87"/>
      <c r="K14" s="79"/>
      <c r="N14" s="55"/>
      <c r="O14" s="55"/>
    </row>
    <row r="15" spans="1:27" x14ac:dyDescent="0.25">
      <c r="A15" s="1">
        <f>A14+1</f>
        <v>44325</v>
      </c>
      <c r="B15" s="25"/>
      <c r="C15" s="70"/>
      <c r="D15" s="79"/>
      <c r="E15" s="25"/>
      <c r="F15" s="74"/>
      <c r="G15" s="25"/>
      <c r="H15" s="79"/>
      <c r="I15" s="25"/>
      <c r="J15" s="25"/>
      <c r="K15" s="70"/>
      <c r="N15" s="55"/>
      <c r="O15" s="55"/>
      <c r="AA15" s="55" t="s">
        <v>8</v>
      </c>
    </row>
    <row r="16" spans="1:27" ht="60" x14ac:dyDescent="0.25">
      <c r="A16" s="134">
        <f>A15+1</f>
        <v>44326</v>
      </c>
      <c r="B16" s="80" t="s">
        <v>86</v>
      </c>
      <c r="C16" s="113" t="s">
        <v>202</v>
      </c>
      <c r="D16" s="115" t="s">
        <v>171</v>
      </c>
      <c r="E16" s="117" t="s">
        <v>191</v>
      </c>
      <c r="F16" s="25" t="s">
        <v>211</v>
      </c>
      <c r="G16" s="25" t="s">
        <v>209</v>
      </c>
      <c r="H16" s="115" t="s">
        <v>171</v>
      </c>
      <c r="I16" s="77"/>
      <c r="J16" s="25" t="s">
        <v>213</v>
      </c>
      <c r="K16" s="77" t="s">
        <v>70</v>
      </c>
      <c r="N16" s="55"/>
      <c r="O16" s="55"/>
      <c r="AA16" s="55" t="s">
        <v>9</v>
      </c>
    </row>
    <row r="17" spans="1:27" ht="60.75" customHeight="1" x14ac:dyDescent="0.25">
      <c r="A17" s="134"/>
      <c r="B17" s="80" t="s">
        <v>86</v>
      </c>
      <c r="C17" s="130"/>
      <c r="D17" s="115"/>
      <c r="E17" s="118"/>
      <c r="F17" s="25" t="s">
        <v>212</v>
      </c>
      <c r="G17" s="70"/>
      <c r="H17" s="115"/>
      <c r="I17" s="70"/>
      <c r="J17" s="70"/>
      <c r="K17" s="70" t="s">
        <v>70</v>
      </c>
      <c r="N17" s="55"/>
      <c r="O17" s="55"/>
      <c r="AA17" s="55" t="s">
        <v>10</v>
      </c>
    </row>
    <row r="18" spans="1:27" ht="60" x14ac:dyDescent="0.25">
      <c r="A18" s="133">
        <f>A15+2</f>
        <v>44327</v>
      </c>
      <c r="B18" s="25" t="s">
        <v>86</v>
      </c>
      <c r="C18" s="113" t="s">
        <v>202</v>
      </c>
      <c r="D18" s="83"/>
      <c r="E18" s="117" t="s">
        <v>191</v>
      </c>
      <c r="F18" s="25" t="s">
        <v>215</v>
      </c>
      <c r="G18" s="25" t="s">
        <v>214</v>
      </c>
      <c r="H18" s="83"/>
      <c r="N18" s="55"/>
      <c r="O18" s="55"/>
      <c r="AA18" s="55" t="s">
        <v>11</v>
      </c>
    </row>
    <row r="19" spans="1:27" x14ac:dyDescent="0.25">
      <c r="A19" s="133"/>
      <c r="B19" s="83" t="s">
        <v>70</v>
      </c>
      <c r="C19" s="130"/>
      <c r="D19" s="77"/>
      <c r="E19" s="118"/>
      <c r="F19" s="83"/>
      <c r="G19" s="83"/>
      <c r="H19" s="77"/>
      <c r="N19" s="55"/>
      <c r="O19" s="55"/>
      <c r="AA19" s="55" t="s">
        <v>11</v>
      </c>
    </row>
    <row r="20" spans="1:27" x14ac:dyDescent="0.25">
      <c r="A20" s="1">
        <f>A18+1</f>
        <v>44328</v>
      </c>
      <c r="B20" s="84" t="s">
        <v>86</v>
      </c>
      <c r="C20" s="83"/>
      <c r="D20" s="70"/>
      <c r="E20" s="70"/>
      <c r="F20" s="83"/>
      <c r="G20" s="83"/>
      <c r="H20" s="70"/>
      <c r="I20" s="83" t="s">
        <v>70</v>
      </c>
      <c r="N20" s="55"/>
      <c r="O20" s="55"/>
      <c r="AA20" s="55" t="s">
        <v>12</v>
      </c>
    </row>
    <row r="21" spans="1:27" x14ac:dyDescent="0.25">
      <c r="A21" s="1">
        <f>A20+1</f>
        <v>44329</v>
      </c>
      <c r="B21" s="25"/>
      <c r="K21" s="102" t="s">
        <v>70</v>
      </c>
      <c r="N21" s="55"/>
      <c r="O21" s="55"/>
      <c r="AA21" s="55" t="s">
        <v>13</v>
      </c>
    </row>
    <row r="22" spans="1:27" x14ac:dyDescent="0.25">
      <c r="A22" s="1">
        <f t="shared" ref="A22:A26" si="0">A21+1</f>
        <v>44330</v>
      </c>
      <c r="B22" s="83" t="s">
        <v>70</v>
      </c>
      <c r="E22" s="83" t="s">
        <v>70</v>
      </c>
      <c r="I22" s="83" t="s">
        <v>70</v>
      </c>
      <c r="K22" s="102" t="s">
        <v>70</v>
      </c>
      <c r="N22" s="55"/>
      <c r="O22" s="55"/>
    </row>
    <row r="23" spans="1:27" x14ac:dyDescent="0.25">
      <c r="A23" s="1">
        <f t="shared" si="0"/>
        <v>44331</v>
      </c>
      <c r="B23" s="25"/>
      <c r="C23" s="70"/>
      <c r="G23" s="70"/>
      <c r="I23" s="70"/>
      <c r="K23" s="102" t="s">
        <v>70</v>
      </c>
    </row>
    <row r="24" spans="1:27" x14ac:dyDescent="0.25">
      <c r="A24" s="1">
        <f t="shared" si="0"/>
        <v>44332</v>
      </c>
      <c r="B24" s="25"/>
      <c r="G24" s="70"/>
      <c r="K24" s="102"/>
    </row>
    <row r="25" spans="1:27" x14ac:dyDescent="0.25">
      <c r="A25" s="1">
        <f t="shared" si="0"/>
        <v>44333</v>
      </c>
      <c r="B25" s="25" t="s">
        <v>86</v>
      </c>
      <c r="E25" s="83" t="s">
        <v>70</v>
      </c>
      <c r="G25" s="70"/>
      <c r="K25" s="102" t="s">
        <v>70</v>
      </c>
    </row>
    <row r="26" spans="1:27" x14ac:dyDescent="0.25">
      <c r="A26" s="1">
        <f t="shared" si="0"/>
        <v>44334</v>
      </c>
      <c r="B26" s="25"/>
      <c r="E26" s="83" t="s">
        <v>70</v>
      </c>
    </row>
    <row r="27" spans="1:27" x14ac:dyDescent="0.25">
      <c r="A27" s="1">
        <f>A26+1</f>
        <v>44335</v>
      </c>
      <c r="B27" s="25"/>
      <c r="E27" s="83" t="s">
        <v>70</v>
      </c>
    </row>
    <row r="28" spans="1:27" x14ac:dyDescent="0.25">
      <c r="A28" s="1">
        <f>A27+1</f>
        <v>44336</v>
      </c>
      <c r="B28" s="25" t="s">
        <v>86</v>
      </c>
      <c r="E28" s="83" t="s">
        <v>70</v>
      </c>
    </row>
    <row r="29" spans="1:27" x14ac:dyDescent="0.25">
      <c r="A29" s="1">
        <f t="shared" ref="A29:A38" si="1">A28+1</f>
        <v>44337</v>
      </c>
      <c r="B29" s="25" t="s">
        <v>86</v>
      </c>
      <c r="E29" s="83" t="s">
        <v>70</v>
      </c>
    </row>
    <row r="30" spans="1:27" x14ac:dyDescent="0.25">
      <c r="A30" s="1">
        <f t="shared" si="1"/>
        <v>44338</v>
      </c>
      <c r="B30" s="25"/>
    </row>
    <row r="31" spans="1:27" x14ac:dyDescent="0.25">
      <c r="A31" s="1">
        <f t="shared" si="1"/>
        <v>44339</v>
      </c>
      <c r="B31" s="25"/>
      <c r="G31" s="70"/>
    </row>
    <row r="32" spans="1:27" x14ac:dyDescent="0.25">
      <c r="A32" s="1">
        <f t="shared" si="1"/>
        <v>44340</v>
      </c>
      <c r="B32" s="25"/>
    </row>
    <row r="33" spans="1:10" x14ac:dyDescent="0.25">
      <c r="A33" s="1">
        <f t="shared" si="1"/>
        <v>44341</v>
      </c>
      <c r="B33" s="25" t="s">
        <v>86</v>
      </c>
    </row>
    <row r="34" spans="1:10" x14ac:dyDescent="0.25">
      <c r="A34" s="1">
        <f t="shared" si="1"/>
        <v>44342</v>
      </c>
      <c r="B34" s="25" t="s">
        <v>86</v>
      </c>
    </row>
    <row r="35" spans="1:10" x14ac:dyDescent="0.25">
      <c r="A35" s="1">
        <f t="shared" si="1"/>
        <v>44343</v>
      </c>
      <c r="B35" s="25" t="s">
        <v>86</v>
      </c>
    </row>
    <row r="36" spans="1:10" x14ac:dyDescent="0.25">
      <c r="A36" s="1">
        <f t="shared" si="1"/>
        <v>44344</v>
      </c>
      <c r="B36" s="25" t="s">
        <v>86</v>
      </c>
    </row>
    <row r="37" spans="1:10" x14ac:dyDescent="0.25">
      <c r="A37" s="1">
        <f t="shared" si="1"/>
        <v>44345</v>
      </c>
      <c r="B37" s="25" t="s">
        <v>86</v>
      </c>
      <c r="C37" s="70"/>
      <c r="D37" s="70"/>
      <c r="F37" s="70"/>
      <c r="H37" s="70"/>
    </row>
    <row r="38" spans="1:10" x14ac:dyDescent="0.25">
      <c r="A38" s="1">
        <f t="shared" si="1"/>
        <v>44346</v>
      </c>
      <c r="B38" s="25" t="s">
        <v>86</v>
      </c>
      <c r="C38" s="70"/>
      <c r="D38" s="70"/>
      <c r="E38" s="70"/>
      <c r="F38" s="70"/>
      <c r="G38" s="70"/>
      <c r="H38" s="70"/>
      <c r="I38" s="70"/>
      <c r="J38" s="70"/>
    </row>
    <row r="39" spans="1:10" ht="66.599999999999994" customHeight="1" x14ac:dyDescent="0.25">
      <c r="A39" s="114">
        <f>A38+1</f>
        <v>44347</v>
      </c>
      <c r="B39" s="117" t="s">
        <v>86</v>
      </c>
      <c r="C39" s="25" t="s">
        <v>217</v>
      </c>
      <c r="D39" s="90"/>
      <c r="E39" s="90"/>
      <c r="F39" s="25" t="s">
        <v>216</v>
      </c>
      <c r="G39" s="25" t="s">
        <v>218</v>
      </c>
      <c r="H39" s="90"/>
      <c r="I39" s="90" t="s">
        <v>91</v>
      </c>
      <c r="J39" s="90" t="s">
        <v>186</v>
      </c>
    </row>
    <row r="40" spans="1:10" ht="99" customHeight="1" x14ac:dyDescent="0.25">
      <c r="A40" s="114"/>
      <c r="B40" s="118"/>
      <c r="C40" s="25" t="s">
        <v>218</v>
      </c>
      <c r="D40" s="70"/>
      <c r="E40" s="70"/>
      <c r="F40" s="25"/>
      <c r="G40" s="70"/>
      <c r="H40" s="70"/>
      <c r="I40" s="70"/>
      <c r="J40" s="25" t="s">
        <v>218</v>
      </c>
    </row>
  </sheetData>
  <mergeCells count="30">
    <mergeCell ref="E18:E19"/>
    <mergeCell ref="K6:K7"/>
    <mergeCell ref="B6:B7"/>
    <mergeCell ref="A6:A7"/>
    <mergeCell ref="F6:F7"/>
    <mergeCell ref="A16:A17"/>
    <mergeCell ref="D16:D17"/>
    <mergeCell ref="H16:H17"/>
    <mergeCell ref="A18:A19"/>
    <mergeCell ref="K12:K13"/>
    <mergeCell ref="I9:I10"/>
    <mergeCell ref="J9:J10"/>
    <mergeCell ref="K9:K10"/>
    <mergeCell ref="E9:E10"/>
    <mergeCell ref="F9:F10"/>
    <mergeCell ref="H12:H13"/>
    <mergeCell ref="F12:F13"/>
    <mergeCell ref="H9:H10"/>
    <mergeCell ref="E12:E13"/>
    <mergeCell ref="D9:D10"/>
    <mergeCell ref="E16:E17"/>
    <mergeCell ref="A39:A40"/>
    <mergeCell ref="B39:B40"/>
    <mergeCell ref="C18:C19"/>
    <mergeCell ref="C6:C7"/>
    <mergeCell ref="D6:D7"/>
    <mergeCell ref="C16:C17"/>
    <mergeCell ref="A12:A13"/>
    <mergeCell ref="A9:A10"/>
    <mergeCell ref="D12:D13"/>
  </mergeCells>
  <conditionalFormatting sqref="A4:J5 A13:J15 A19:J39">
    <cfRule type="expression" dxfId="13" priority="90">
      <formula>WEEKDAY($A4,2)&gt;5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Drop Down 1">
              <controlPr defaultSize="0" autoLine="0" autoPict="0" macro="[0]!Masquer_Jour">
                <anchor moveWithCells="1">
                  <from>
                    <xdr:col>0</xdr:col>
                    <xdr:colOff>9525</xdr:colOff>
                    <xdr:row>0</xdr:row>
                    <xdr:rowOff>76200</xdr:rowOff>
                  </from>
                  <to>
                    <xdr:col>1</xdr:col>
                    <xdr:colOff>9525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47625</xdr:rowOff>
                  </from>
                  <to>
                    <xdr:col>1</xdr:col>
                    <xdr:colOff>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D1ECE094-D09A-4C13-9E39-D5BFE9FB7DC1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A4:J39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DC1E0-96FE-498D-995F-576CFDED288E}">
  <sheetPr codeName="Feuil10"/>
  <dimension ref="A1:AB39"/>
  <sheetViews>
    <sheetView workbookViewId="0">
      <pane xSplit="1" ySplit="2" topLeftCell="H3" activePane="bottomRight" state="frozen"/>
      <selection pane="topRight" activeCell="B1" sqref="B1"/>
      <selection pane="bottomLeft" activeCell="A3" sqref="A3"/>
      <selection pane="bottomRight" activeCell="K1" sqref="K1:K2"/>
    </sheetView>
  </sheetViews>
  <sheetFormatPr baseColWidth="10" defaultRowHeight="15" x14ac:dyDescent="0.25"/>
  <cols>
    <col min="1" max="1" width="29" customWidth="1"/>
    <col min="2" max="2" width="23.28515625" customWidth="1"/>
    <col min="3" max="3" width="30.28515625" customWidth="1"/>
    <col min="4" max="4" width="16.28515625" customWidth="1"/>
    <col min="5" max="5" width="21.7109375" customWidth="1"/>
    <col min="6" max="6" width="30.140625" customWidth="1"/>
    <col min="7" max="7" width="28.140625" customWidth="1"/>
    <col min="8" max="8" width="16.28515625" customWidth="1"/>
    <col min="9" max="9" width="29" customWidth="1"/>
    <col min="10" max="11" width="29.85546875" customWidth="1"/>
    <col min="12" max="12" width="29.85546875" style="58" customWidth="1"/>
    <col min="15" max="16" width="11.5703125" style="13"/>
  </cols>
  <sheetData>
    <row r="1" spans="1:28" s="59" customFormat="1" ht="28.15" customHeight="1" x14ac:dyDescent="0.25">
      <c r="B1" s="93" t="s">
        <v>14</v>
      </c>
      <c r="C1" s="93" t="s">
        <v>15</v>
      </c>
      <c r="D1" s="93" t="s">
        <v>16</v>
      </c>
      <c r="E1" s="93" t="s">
        <v>17</v>
      </c>
      <c r="F1" s="93" t="s">
        <v>18</v>
      </c>
      <c r="G1" s="93" t="s">
        <v>19</v>
      </c>
      <c r="H1" s="93" t="s">
        <v>20</v>
      </c>
      <c r="I1" s="93" t="s">
        <v>21</v>
      </c>
      <c r="J1" s="93" t="s">
        <v>143</v>
      </c>
      <c r="K1" s="93" t="s">
        <v>232</v>
      </c>
      <c r="L1" s="94" t="s">
        <v>158</v>
      </c>
      <c r="N1" s="59">
        <v>6</v>
      </c>
      <c r="O1" s="59">
        <v>6</v>
      </c>
      <c r="P1" s="59">
        <v>2</v>
      </c>
    </row>
    <row r="2" spans="1:28" ht="43.15" customHeight="1" x14ac:dyDescent="0.25"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28</v>
      </c>
      <c r="J2" s="2" t="s">
        <v>28</v>
      </c>
      <c r="K2" s="2" t="s">
        <v>28</v>
      </c>
      <c r="L2" s="56" t="s">
        <v>159</v>
      </c>
      <c r="O2" s="55" t="s">
        <v>0</v>
      </c>
      <c r="P2" s="55" t="s">
        <v>1</v>
      </c>
    </row>
    <row r="3" spans="1:28" x14ac:dyDescent="0.25">
      <c r="B3" s="3"/>
      <c r="C3" s="3"/>
      <c r="D3" s="3"/>
      <c r="E3" s="3"/>
      <c r="F3" s="3"/>
      <c r="G3" s="3"/>
      <c r="H3" s="3"/>
      <c r="I3" s="3"/>
      <c r="J3" s="3"/>
      <c r="K3" s="3"/>
      <c r="L3" s="57"/>
      <c r="O3" s="55" t="s">
        <v>2</v>
      </c>
      <c r="P3" s="55">
        <v>2020</v>
      </c>
    </row>
    <row r="4" spans="1:28" ht="45" x14ac:dyDescent="0.25">
      <c r="A4" s="1">
        <f>DATE(P1+2019,O1,1)</f>
        <v>44348</v>
      </c>
      <c r="I4" s="95" t="s">
        <v>91</v>
      </c>
      <c r="J4" s="25" t="s">
        <v>219</v>
      </c>
      <c r="K4" s="58"/>
      <c r="O4" s="55"/>
      <c r="P4" s="55"/>
    </row>
    <row r="5" spans="1:28" ht="45" x14ac:dyDescent="0.25">
      <c r="A5" s="1">
        <f>A4+1</f>
        <v>44349</v>
      </c>
      <c r="I5" s="95" t="s">
        <v>91</v>
      </c>
      <c r="J5" s="25" t="s">
        <v>219</v>
      </c>
      <c r="K5" s="58"/>
      <c r="O5" s="55"/>
      <c r="P5" s="55"/>
    </row>
    <row r="6" spans="1:28" ht="60" customHeight="1" x14ac:dyDescent="0.25">
      <c r="A6" s="133">
        <f>A5+1</f>
        <v>44350</v>
      </c>
      <c r="C6" s="117" t="s">
        <v>222</v>
      </c>
      <c r="D6" s="131" t="s">
        <v>171</v>
      </c>
      <c r="F6" s="98" t="s">
        <v>221</v>
      </c>
      <c r="H6" s="91"/>
      <c r="I6" s="131" t="s">
        <v>91</v>
      </c>
      <c r="J6" s="117" t="s">
        <v>219</v>
      </c>
      <c r="K6" s="58"/>
      <c r="L6" s="10" t="s">
        <v>208</v>
      </c>
      <c r="O6" s="55"/>
      <c r="P6" s="55"/>
    </row>
    <row r="7" spans="1:28" ht="48" customHeight="1" x14ac:dyDescent="0.25">
      <c r="A7" s="133"/>
      <c r="C7" s="118"/>
      <c r="D7" s="131"/>
      <c r="F7" s="25" t="s">
        <v>223</v>
      </c>
      <c r="G7" s="25" t="s">
        <v>223</v>
      </c>
      <c r="H7" s="91"/>
      <c r="I7" s="131"/>
      <c r="J7" s="118"/>
      <c r="K7" s="58"/>
      <c r="L7" s="95" t="s">
        <v>220</v>
      </c>
      <c r="O7" s="55"/>
      <c r="P7" s="55"/>
    </row>
    <row r="8" spans="1:28" ht="30" x14ac:dyDescent="0.25">
      <c r="A8" s="138">
        <f t="shared" ref="A8" si="0">DATE(P1+2019,O1,4)</f>
        <v>44351</v>
      </c>
      <c r="C8" s="25" t="s">
        <v>222</v>
      </c>
      <c r="F8" s="25" t="s">
        <v>224</v>
      </c>
      <c r="I8" s="115" t="s">
        <v>91</v>
      </c>
      <c r="J8" s="95"/>
      <c r="K8" s="101"/>
      <c r="L8" s="78"/>
      <c r="O8" s="55"/>
      <c r="P8" s="55"/>
    </row>
    <row r="9" spans="1:28" ht="45" x14ac:dyDescent="0.25">
      <c r="A9" s="138"/>
      <c r="I9" s="115"/>
      <c r="J9" s="91"/>
      <c r="K9" s="101"/>
      <c r="L9" s="99" t="s">
        <v>225</v>
      </c>
      <c r="O9" s="55"/>
      <c r="P9" s="55"/>
    </row>
    <row r="10" spans="1:28" ht="43.15" customHeight="1" x14ac:dyDescent="0.25">
      <c r="A10" s="100">
        <f>DATE(P1+2019,O1,5)</f>
        <v>44352</v>
      </c>
      <c r="J10" s="113"/>
      <c r="K10" s="86"/>
      <c r="L10" s="115"/>
      <c r="O10" s="55"/>
      <c r="P10" s="55"/>
    </row>
    <row r="11" spans="1:28" ht="48.75" customHeight="1" x14ac:dyDescent="0.25">
      <c r="A11" s="100">
        <f>DATE(P1+2019,O1,6)</f>
        <v>44353</v>
      </c>
      <c r="J11" s="113"/>
      <c r="K11" s="86"/>
      <c r="L11" s="115"/>
      <c r="O11" s="55"/>
      <c r="P11" s="55"/>
    </row>
    <row r="12" spans="1:28" ht="90" x14ac:dyDescent="0.25">
      <c r="A12" s="132">
        <f>A10+2</f>
        <v>44354</v>
      </c>
      <c r="B12" s="25" t="s">
        <v>86</v>
      </c>
      <c r="C12" s="25" t="s">
        <v>226</v>
      </c>
      <c r="E12" s="25" t="s">
        <v>229</v>
      </c>
      <c r="F12" s="25" t="s">
        <v>230</v>
      </c>
      <c r="I12" s="131" t="s">
        <v>91</v>
      </c>
      <c r="J12" s="131"/>
      <c r="K12" s="86"/>
      <c r="L12" s="137"/>
      <c r="O12" s="55"/>
      <c r="P12" s="55"/>
    </row>
    <row r="13" spans="1:28" ht="45" x14ac:dyDescent="0.25">
      <c r="A13" s="132"/>
      <c r="B13" s="25" t="s">
        <v>86</v>
      </c>
      <c r="C13" s="25" t="s">
        <v>227</v>
      </c>
      <c r="I13" s="131"/>
      <c r="J13" s="131"/>
      <c r="K13" s="86"/>
      <c r="L13" s="137"/>
      <c r="O13" s="55"/>
      <c r="P13" s="55"/>
    </row>
    <row r="14" spans="1:28" ht="43.15" customHeight="1" x14ac:dyDescent="0.25">
      <c r="A14" s="105">
        <f>DATE(P1+2019,O1,8)</f>
        <v>44355</v>
      </c>
      <c r="B14" s="89" t="s">
        <v>86</v>
      </c>
      <c r="C14" s="103" t="s">
        <v>228</v>
      </c>
      <c r="G14" s="103" t="s">
        <v>228</v>
      </c>
      <c r="I14" s="103" t="s">
        <v>91</v>
      </c>
      <c r="J14" s="86"/>
      <c r="K14" s="86"/>
      <c r="L14" s="104"/>
      <c r="O14" s="55"/>
      <c r="P14" s="55"/>
    </row>
    <row r="15" spans="1:28" ht="43.15" customHeight="1" x14ac:dyDescent="0.25">
      <c r="A15" s="92">
        <f>A12+1</f>
        <v>44355</v>
      </c>
      <c r="B15" s="25" t="s">
        <v>86</v>
      </c>
      <c r="C15" s="97" t="s">
        <v>228</v>
      </c>
      <c r="G15" s="97" t="s">
        <v>228</v>
      </c>
      <c r="I15" s="95" t="s">
        <v>91</v>
      </c>
      <c r="J15" s="86"/>
      <c r="K15" s="86"/>
      <c r="L15" s="104"/>
      <c r="O15" s="55"/>
      <c r="P15" s="55"/>
    </row>
    <row r="16" spans="1:28" x14ac:dyDescent="0.25">
      <c r="A16" s="1">
        <f>A15+1</f>
        <v>44356</v>
      </c>
      <c r="B16" s="25" t="s">
        <v>86</v>
      </c>
      <c r="I16" s="95" t="s">
        <v>91</v>
      </c>
      <c r="J16" s="91"/>
      <c r="K16" s="101"/>
      <c r="L16" s="104" t="s">
        <v>231</v>
      </c>
      <c r="O16" s="55"/>
      <c r="P16" s="55"/>
      <c r="AB16" s="55" t="s">
        <v>8</v>
      </c>
    </row>
    <row r="17" spans="1:28" x14ac:dyDescent="0.25">
      <c r="A17" s="134">
        <f>A16+1</f>
        <v>44357</v>
      </c>
      <c r="B17" s="25" t="s">
        <v>86</v>
      </c>
      <c r="I17" s="131" t="s">
        <v>91</v>
      </c>
      <c r="L17" s="137" t="s">
        <v>231</v>
      </c>
      <c r="O17" s="55"/>
      <c r="P17" s="55"/>
      <c r="AB17" s="55" t="s">
        <v>9</v>
      </c>
    </row>
    <row r="18" spans="1:28" ht="60.75" customHeight="1" x14ac:dyDescent="0.25">
      <c r="A18" s="134"/>
      <c r="B18" s="25" t="s">
        <v>86</v>
      </c>
      <c r="I18" s="131"/>
      <c r="L18" s="137"/>
      <c r="O18" s="55"/>
      <c r="P18" s="55"/>
      <c r="AB18" s="55" t="s">
        <v>10</v>
      </c>
    </row>
    <row r="19" spans="1:28" x14ac:dyDescent="0.25">
      <c r="A19" s="133">
        <f>A16+2</f>
        <v>44358</v>
      </c>
      <c r="B19" s="25" t="s">
        <v>86</v>
      </c>
      <c r="H19" s="91"/>
      <c r="I19" s="131" t="s">
        <v>91</v>
      </c>
      <c r="L19" s="137" t="s">
        <v>231</v>
      </c>
      <c r="O19" s="55"/>
      <c r="P19" s="55"/>
      <c r="AB19" s="55" t="s">
        <v>11</v>
      </c>
    </row>
    <row r="20" spans="1:28" x14ac:dyDescent="0.25">
      <c r="A20" s="133"/>
      <c r="B20" s="25" t="s">
        <v>86</v>
      </c>
      <c r="H20" s="91"/>
      <c r="I20" s="131"/>
      <c r="L20" s="137"/>
      <c r="O20" s="55"/>
      <c r="P20" s="55"/>
      <c r="AB20" s="55" t="s">
        <v>11</v>
      </c>
    </row>
    <row r="21" spans="1:28" x14ac:dyDescent="0.25">
      <c r="A21" s="1">
        <f>A19+1</f>
        <v>44359</v>
      </c>
      <c r="H21" s="91"/>
      <c r="I21" s="91"/>
      <c r="O21" s="55"/>
      <c r="P21" s="55"/>
      <c r="AB21" s="55" t="s">
        <v>12</v>
      </c>
    </row>
    <row r="22" spans="1:28" x14ac:dyDescent="0.25">
      <c r="A22" s="1">
        <f>A21+1</f>
        <v>44360</v>
      </c>
      <c r="L22" s="104"/>
      <c r="O22" s="55"/>
      <c r="P22" s="55"/>
      <c r="AB22" s="55" t="s">
        <v>13</v>
      </c>
    </row>
    <row r="23" spans="1:28" x14ac:dyDescent="0.25">
      <c r="A23" s="1">
        <f t="shared" ref="A23:A27" si="1">A22+1</f>
        <v>44361</v>
      </c>
      <c r="I23" s="91"/>
      <c r="L23" s="104" t="s">
        <v>231</v>
      </c>
      <c r="O23" s="55"/>
      <c r="P23" s="55"/>
    </row>
    <row r="24" spans="1:28" x14ac:dyDescent="0.25">
      <c r="A24" s="1">
        <f t="shared" si="1"/>
        <v>44362</v>
      </c>
      <c r="I24" s="91"/>
      <c r="L24" s="104" t="s">
        <v>231</v>
      </c>
    </row>
    <row r="25" spans="1:28" x14ac:dyDescent="0.25">
      <c r="A25" s="1">
        <f t="shared" si="1"/>
        <v>44363</v>
      </c>
      <c r="L25" s="104" t="s">
        <v>231</v>
      </c>
    </row>
    <row r="26" spans="1:28" x14ac:dyDescent="0.25">
      <c r="A26" s="1">
        <f t="shared" si="1"/>
        <v>44364</v>
      </c>
      <c r="L26" s="104" t="s">
        <v>231</v>
      </c>
    </row>
    <row r="27" spans="1:28" x14ac:dyDescent="0.25">
      <c r="A27" s="1">
        <f t="shared" si="1"/>
        <v>44365</v>
      </c>
      <c r="L27" s="104" t="s">
        <v>231</v>
      </c>
    </row>
    <row r="28" spans="1:28" x14ac:dyDescent="0.25">
      <c r="A28" s="1">
        <f>A27+1</f>
        <v>44366</v>
      </c>
    </row>
    <row r="29" spans="1:28" x14ac:dyDescent="0.25">
      <c r="A29" s="1">
        <f>A28+1</f>
        <v>44367</v>
      </c>
    </row>
    <row r="30" spans="1:28" x14ac:dyDescent="0.25">
      <c r="A30" s="1">
        <f t="shared" ref="A30:A39" si="2">A29+1</f>
        <v>44368</v>
      </c>
      <c r="L30" s="104" t="s">
        <v>231</v>
      </c>
    </row>
    <row r="31" spans="1:28" x14ac:dyDescent="0.25">
      <c r="A31" s="1">
        <f t="shared" si="2"/>
        <v>44369</v>
      </c>
      <c r="L31" s="104" t="s">
        <v>231</v>
      </c>
    </row>
    <row r="32" spans="1:28" x14ac:dyDescent="0.25">
      <c r="A32" s="1">
        <f t="shared" si="2"/>
        <v>44370</v>
      </c>
    </row>
    <row r="33" spans="1:11" x14ac:dyDescent="0.25">
      <c r="A33" s="1">
        <f t="shared" si="2"/>
        <v>44371</v>
      </c>
    </row>
    <row r="34" spans="1:11" x14ac:dyDescent="0.25">
      <c r="A34" s="1">
        <f t="shared" si="2"/>
        <v>44372</v>
      </c>
    </row>
    <row r="35" spans="1:11" x14ac:dyDescent="0.25">
      <c r="A35" s="1">
        <f t="shared" si="2"/>
        <v>44373</v>
      </c>
    </row>
    <row r="36" spans="1:11" x14ac:dyDescent="0.25">
      <c r="A36" s="1">
        <f t="shared" si="2"/>
        <v>44374</v>
      </c>
    </row>
    <row r="37" spans="1:11" x14ac:dyDescent="0.25">
      <c r="A37" s="1">
        <f t="shared" si="2"/>
        <v>44375</v>
      </c>
    </row>
    <row r="38" spans="1:11" x14ac:dyDescent="0.25">
      <c r="A38" s="1">
        <f t="shared" si="2"/>
        <v>44376</v>
      </c>
      <c r="H38" s="91"/>
    </row>
    <row r="39" spans="1:11" x14ac:dyDescent="0.25">
      <c r="A39" s="1">
        <f t="shared" si="2"/>
        <v>44377</v>
      </c>
      <c r="H39" s="91"/>
      <c r="I39" s="91"/>
      <c r="J39" s="91"/>
      <c r="K39" s="101"/>
    </row>
  </sheetData>
  <mergeCells count="19">
    <mergeCell ref="A6:A7"/>
    <mergeCell ref="D6:D7"/>
    <mergeCell ref="I6:I7"/>
    <mergeCell ref="J6:J7"/>
    <mergeCell ref="I12:I13"/>
    <mergeCell ref="A8:A9"/>
    <mergeCell ref="I8:I9"/>
    <mergeCell ref="C6:C7"/>
    <mergeCell ref="A17:A18"/>
    <mergeCell ref="A19:A20"/>
    <mergeCell ref="J10:J11"/>
    <mergeCell ref="L10:L11"/>
    <mergeCell ref="A12:A13"/>
    <mergeCell ref="L12:L13"/>
    <mergeCell ref="J12:J13"/>
    <mergeCell ref="I17:I18"/>
    <mergeCell ref="I19:I20"/>
    <mergeCell ref="L17:L18"/>
    <mergeCell ref="L19:L20"/>
  </mergeCells>
  <conditionalFormatting sqref="A4:M5 A15:M40 A10:M12 K4:K7">
    <cfRule type="expression" dxfId="11" priority="11">
      <formula>WEEKDAY($A4,2)&gt;5</formula>
    </cfRule>
  </conditionalFormatting>
  <conditionalFormatting sqref="A14:M14">
    <cfRule type="expression" dxfId="10" priority="1">
      <formula>WEEKDAY($A14,2)&gt;5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Drop Down 1">
              <controlPr defaultSize="0" autoLine="0" autoPict="0" macro="[0]!Masquer_Jour">
                <anchor moveWithCells="1">
                  <from>
                    <xdr:col>0</xdr:col>
                    <xdr:colOff>9525</xdr:colOff>
                    <xdr:row>0</xdr:row>
                    <xdr:rowOff>76200</xdr:rowOff>
                  </from>
                  <to>
                    <xdr:col>1</xdr:col>
                    <xdr:colOff>9525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47625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365A22F0-C944-46A8-80AF-1FCA590AD7FA}">
            <xm:f>COUNTIFS('Jours fériés'!$C$2:$C$14,$A4)&gt;0</xm:f>
            <x14:dxf>
              <fill>
                <patternFill patternType="lightUp">
                  <bgColor theme="0" tint="-4.9989318521683403E-2"/>
                </patternFill>
              </fill>
            </x14:dxf>
          </x14:cfRule>
          <xm:sqref>A4:M13 A15:M41</xm:sqref>
        </x14:conditionalFormatting>
        <x14:conditionalFormatting xmlns:xm="http://schemas.microsoft.com/office/excel/2006/main">
          <x14:cfRule type="expression" priority="2" id="{4850B0C3-28FF-46D0-B722-34C3ACF152FE}">
            <xm:f>COUNTIFS('Jours fériés'!$C$2:$C$14,$A14)&gt;0</xm:f>
            <x14:dxf>
              <fill>
                <patternFill patternType="lightUp">
                  <bgColor theme="0" tint="-4.9989318521683403E-2"/>
                </patternFill>
              </fill>
            </x14:dxf>
          </x14:cfRule>
          <xm:sqref>A14:M14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C212C-C680-491C-8649-F481374DDF3A}">
  <sheetPr codeName="Feuil11"/>
  <dimension ref="A1:AA38"/>
  <sheetViews>
    <sheetView workbookViewId="0">
      <pane xSplit="1" ySplit="2" topLeftCell="D18" activePane="bottomRight" state="frozen"/>
      <selection pane="topRight" activeCell="B1" sqref="B1"/>
      <selection pane="bottomLeft" activeCell="A3" sqref="A3"/>
      <selection pane="bottomRight" activeCell="G36" sqref="G36"/>
    </sheetView>
  </sheetViews>
  <sheetFormatPr baseColWidth="10" defaultRowHeight="15" x14ac:dyDescent="0.25"/>
  <cols>
    <col min="1" max="1" width="29" customWidth="1"/>
    <col min="2" max="2" width="23.28515625" customWidth="1"/>
    <col min="3" max="3" width="30.28515625" customWidth="1"/>
    <col min="4" max="4" width="16.28515625" customWidth="1"/>
    <col min="5" max="5" width="21.7109375" customWidth="1"/>
    <col min="6" max="6" width="30.140625" customWidth="1"/>
    <col min="7" max="7" width="28.140625" customWidth="1"/>
    <col min="8" max="8" width="16.28515625" customWidth="1"/>
    <col min="9" max="9" width="29" customWidth="1"/>
    <col min="10" max="10" width="29.85546875" customWidth="1"/>
    <col min="11" max="11" width="29.85546875" style="58" customWidth="1"/>
    <col min="14" max="15" width="11.42578125" style="13"/>
  </cols>
  <sheetData>
    <row r="1" spans="1:27" s="59" customFormat="1" ht="28.15" customHeight="1" x14ac:dyDescent="0.25">
      <c r="B1" s="93" t="s">
        <v>14</v>
      </c>
      <c r="C1" s="93" t="s">
        <v>15</v>
      </c>
      <c r="D1" s="93" t="s">
        <v>16</v>
      </c>
      <c r="E1" s="93" t="s">
        <v>17</v>
      </c>
      <c r="F1" s="93" t="s">
        <v>18</v>
      </c>
      <c r="G1" s="93" t="s">
        <v>19</v>
      </c>
      <c r="H1" s="93" t="s">
        <v>20</v>
      </c>
      <c r="I1" s="93" t="s">
        <v>21</v>
      </c>
      <c r="J1" s="93" t="s">
        <v>232</v>
      </c>
      <c r="K1" s="94" t="s">
        <v>158</v>
      </c>
      <c r="M1" s="59">
        <v>4</v>
      </c>
      <c r="N1" s="59">
        <v>7</v>
      </c>
      <c r="O1" s="59">
        <v>2</v>
      </c>
    </row>
    <row r="2" spans="1:27" ht="17.45" customHeight="1" x14ac:dyDescent="0.25"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28</v>
      </c>
      <c r="J2" s="2" t="s">
        <v>28</v>
      </c>
      <c r="K2" s="56" t="s">
        <v>159</v>
      </c>
      <c r="N2" s="55" t="s">
        <v>0</v>
      </c>
      <c r="O2" s="55" t="s">
        <v>1</v>
      </c>
    </row>
    <row r="3" spans="1:27" x14ac:dyDescent="0.25">
      <c r="B3" s="3"/>
      <c r="C3" s="3"/>
      <c r="D3" s="3"/>
      <c r="E3" s="3"/>
      <c r="F3" s="3"/>
      <c r="G3" s="3"/>
      <c r="H3" s="3"/>
      <c r="I3" s="3"/>
      <c r="J3" s="3"/>
      <c r="K3" s="57"/>
      <c r="N3" s="55" t="s">
        <v>2</v>
      </c>
      <c r="O3" s="55">
        <v>2020</v>
      </c>
    </row>
    <row r="4" spans="1:27" x14ac:dyDescent="0.25">
      <c r="A4" s="1">
        <f>DATE(O1+2019,N1,1)</f>
        <v>44378</v>
      </c>
      <c r="N4" s="55"/>
      <c r="O4" s="55"/>
    </row>
    <row r="5" spans="1:27" x14ac:dyDescent="0.25">
      <c r="A5" s="1">
        <f>A4+1</f>
        <v>44379</v>
      </c>
      <c r="N5" s="55"/>
      <c r="O5" s="55"/>
    </row>
    <row r="6" spans="1:27" ht="60" customHeight="1" x14ac:dyDescent="0.25">
      <c r="A6" s="133">
        <f>A5+1</f>
        <v>44380</v>
      </c>
      <c r="D6" s="131"/>
      <c r="H6" s="95"/>
      <c r="I6" s="131"/>
      <c r="J6" s="131"/>
      <c r="K6"/>
      <c r="N6" s="55"/>
      <c r="O6" s="55"/>
    </row>
    <row r="7" spans="1:27" ht="48" customHeight="1" x14ac:dyDescent="0.25">
      <c r="A7" s="133"/>
      <c r="D7" s="131"/>
      <c r="H7" s="95"/>
      <c r="I7" s="131"/>
      <c r="J7" s="131"/>
      <c r="K7"/>
      <c r="N7" s="55"/>
      <c r="O7" s="55"/>
    </row>
    <row r="8" spans="1:27" x14ac:dyDescent="0.25">
      <c r="A8" s="1">
        <f>A5+2</f>
        <v>44381</v>
      </c>
      <c r="J8" s="95"/>
      <c r="K8" s="78"/>
      <c r="N8" s="55"/>
      <c r="O8" s="55"/>
    </row>
    <row r="9" spans="1:27" ht="43.15" customHeight="1" x14ac:dyDescent="0.25">
      <c r="A9" s="127">
        <f>A8+1</f>
        <v>44382</v>
      </c>
      <c r="J9" s="113"/>
      <c r="K9" s="115"/>
      <c r="N9" s="55"/>
      <c r="O9" s="55"/>
    </row>
    <row r="10" spans="1:27" ht="48.75" customHeight="1" x14ac:dyDescent="0.25">
      <c r="A10" s="127"/>
      <c r="J10" s="113"/>
      <c r="K10" s="115"/>
      <c r="N10" s="55"/>
      <c r="O10" s="55"/>
    </row>
    <row r="11" spans="1:27" x14ac:dyDescent="0.25">
      <c r="A11" s="96">
        <f>A8+2</f>
        <v>44383</v>
      </c>
      <c r="J11" s="95"/>
      <c r="K11" s="95"/>
      <c r="N11" s="55"/>
      <c r="O11" s="55"/>
    </row>
    <row r="12" spans="1:27" x14ac:dyDescent="0.25">
      <c r="A12" s="132">
        <f>A9+2</f>
        <v>44384</v>
      </c>
      <c r="J12" s="131"/>
      <c r="K12" s="115"/>
      <c r="N12" s="55"/>
      <c r="O12" s="55"/>
    </row>
    <row r="13" spans="1:27" x14ac:dyDescent="0.25">
      <c r="A13" s="132"/>
      <c r="J13" s="131"/>
      <c r="K13" s="115"/>
      <c r="N13" s="55"/>
      <c r="O13" s="55"/>
    </row>
    <row r="14" spans="1:27" ht="43.15" customHeight="1" x14ac:dyDescent="0.25">
      <c r="A14" s="96">
        <f>A12+1</f>
        <v>44385</v>
      </c>
      <c r="J14" s="86"/>
      <c r="K14" s="95"/>
      <c r="N14" s="55"/>
      <c r="O14" s="55"/>
    </row>
    <row r="15" spans="1:27" x14ac:dyDescent="0.25">
      <c r="A15" s="1">
        <f>A14+1</f>
        <v>44386</v>
      </c>
      <c r="J15" s="95"/>
      <c r="K15" s="95"/>
      <c r="N15" s="55"/>
      <c r="O15" s="55"/>
      <c r="AA15" s="55" t="s">
        <v>8</v>
      </c>
    </row>
    <row r="16" spans="1:27" x14ac:dyDescent="0.25">
      <c r="A16" s="134">
        <f>A15+1</f>
        <v>44387</v>
      </c>
      <c r="K16" s="95"/>
      <c r="N16" s="55"/>
      <c r="O16" s="55"/>
      <c r="AA16" s="55" t="s">
        <v>9</v>
      </c>
    </row>
    <row r="17" spans="1:27" ht="60.75" customHeight="1" x14ac:dyDescent="0.25">
      <c r="A17" s="134"/>
      <c r="K17" s="95"/>
      <c r="N17" s="55"/>
      <c r="O17" s="55"/>
      <c r="AA17" s="55" t="s">
        <v>10</v>
      </c>
    </row>
    <row r="18" spans="1:27" x14ac:dyDescent="0.25">
      <c r="A18" s="133">
        <f>A15+2</f>
        <v>44388</v>
      </c>
      <c r="H18" s="95"/>
      <c r="N18" s="55"/>
      <c r="O18" s="55"/>
      <c r="AA18" s="55" t="s">
        <v>11</v>
      </c>
    </row>
    <row r="19" spans="1:27" x14ac:dyDescent="0.25">
      <c r="A19" s="133"/>
      <c r="H19" s="95"/>
      <c r="N19" s="55"/>
      <c r="O19" s="55"/>
      <c r="AA19" s="55" t="s">
        <v>11</v>
      </c>
    </row>
    <row r="20" spans="1:27" x14ac:dyDescent="0.25">
      <c r="A20" s="1">
        <f>A18+1</f>
        <v>44389</v>
      </c>
      <c r="H20" s="95"/>
      <c r="I20" s="95"/>
      <c r="N20" s="55"/>
      <c r="O20" s="55"/>
      <c r="AA20" s="55" t="s">
        <v>12</v>
      </c>
    </row>
    <row r="21" spans="1:27" x14ac:dyDescent="0.25">
      <c r="A21" s="1">
        <f>A20+1</f>
        <v>44390</v>
      </c>
      <c r="K21" s="95"/>
      <c r="N21" s="55"/>
      <c r="O21" s="55"/>
      <c r="AA21" s="55" t="s">
        <v>13</v>
      </c>
    </row>
    <row r="22" spans="1:27" x14ac:dyDescent="0.25">
      <c r="A22" s="1">
        <f t="shared" ref="A22:A26" si="0">A21+1</f>
        <v>44391</v>
      </c>
      <c r="I22" s="95"/>
      <c r="K22" s="95"/>
      <c r="N22" s="55"/>
      <c r="O22" s="55"/>
    </row>
    <row r="23" spans="1:27" x14ac:dyDescent="0.25">
      <c r="A23" s="1">
        <f t="shared" si="0"/>
        <v>44392</v>
      </c>
      <c r="I23" s="95"/>
      <c r="K23" s="95"/>
    </row>
    <row r="24" spans="1:27" x14ac:dyDescent="0.25">
      <c r="A24" s="1">
        <f t="shared" si="0"/>
        <v>44393</v>
      </c>
    </row>
    <row r="25" spans="1:27" x14ac:dyDescent="0.25">
      <c r="A25" s="1">
        <f t="shared" si="0"/>
        <v>44394</v>
      </c>
      <c r="K25" s="95"/>
    </row>
    <row r="26" spans="1:27" x14ac:dyDescent="0.25">
      <c r="A26" s="1">
        <f t="shared" si="0"/>
        <v>44395</v>
      </c>
    </row>
    <row r="27" spans="1:27" x14ac:dyDescent="0.25">
      <c r="A27" s="1">
        <f>A26+1</f>
        <v>44396</v>
      </c>
    </row>
    <row r="28" spans="1:27" x14ac:dyDescent="0.25">
      <c r="A28" s="1">
        <f>A27+1</f>
        <v>44397</v>
      </c>
    </row>
    <row r="29" spans="1:27" x14ac:dyDescent="0.25">
      <c r="A29" s="1">
        <f t="shared" ref="A29:A38" si="1">A28+1</f>
        <v>44398</v>
      </c>
    </row>
    <row r="30" spans="1:27" x14ac:dyDescent="0.25">
      <c r="A30" s="1">
        <f t="shared" si="1"/>
        <v>44399</v>
      </c>
    </row>
    <row r="31" spans="1:27" x14ac:dyDescent="0.25">
      <c r="A31" s="1">
        <f t="shared" si="1"/>
        <v>44400</v>
      </c>
    </row>
    <row r="32" spans="1:27" x14ac:dyDescent="0.25">
      <c r="A32" s="1">
        <f t="shared" si="1"/>
        <v>44401</v>
      </c>
    </row>
    <row r="33" spans="1:10" x14ac:dyDescent="0.25">
      <c r="A33" s="1">
        <f t="shared" si="1"/>
        <v>44402</v>
      </c>
    </row>
    <row r="34" spans="1:10" x14ac:dyDescent="0.25">
      <c r="A34" s="1">
        <f t="shared" si="1"/>
        <v>44403</v>
      </c>
    </row>
    <row r="35" spans="1:10" x14ac:dyDescent="0.25">
      <c r="A35" s="1">
        <f t="shared" si="1"/>
        <v>44404</v>
      </c>
    </row>
    <row r="36" spans="1:10" x14ac:dyDescent="0.25">
      <c r="A36" s="1">
        <f t="shared" si="1"/>
        <v>44405</v>
      </c>
    </row>
    <row r="37" spans="1:10" ht="45" x14ac:dyDescent="0.25">
      <c r="A37" s="1">
        <f t="shared" si="1"/>
        <v>44406</v>
      </c>
      <c r="F37" s="112" t="s">
        <v>235</v>
      </c>
      <c r="H37" s="95"/>
    </row>
    <row r="38" spans="1:10" ht="90" x14ac:dyDescent="0.25">
      <c r="A38" s="1">
        <f t="shared" si="1"/>
        <v>44407</v>
      </c>
      <c r="F38" s="112" t="s">
        <v>237</v>
      </c>
      <c r="H38" s="95"/>
      <c r="I38" s="95"/>
      <c r="J38" s="95"/>
    </row>
  </sheetData>
  <mergeCells count="12">
    <mergeCell ref="K9:K10"/>
    <mergeCell ref="A12:A13"/>
    <mergeCell ref="J12:J13"/>
    <mergeCell ref="K12:K13"/>
    <mergeCell ref="A16:A17"/>
    <mergeCell ref="A18:A19"/>
    <mergeCell ref="A6:A7"/>
    <mergeCell ref="D6:D7"/>
    <mergeCell ref="I6:I7"/>
    <mergeCell ref="J6:J7"/>
    <mergeCell ref="A9:A10"/>
    <mergeCell ref="J9:J10"/>
  </mergeCells>
  <conditionalFormatting sqref="B18:P38">
    <cfRule type="expression" dxfId="7" priority="2">
      <formula>WEEKDAY($A18,2)&gt;5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Masquer_Jour">
                <anchor moveWithCells="1">
                  <from>
                    <xdr:col>0</xdr:col>
                    <xdr:colOff>9525</xdr:colOff>
                    <xdr:row>0</xdr:row>
                    <xdr:rowOff>76200</xdr:rowOff>
                  </from>
                  <to>
                    <xdr:col>1</xdr:col>
                    <xdr:colOff>9525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47625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D28BDA6-D57C-4AC5-A9F4-52A7CD975644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B18:P38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A5A34-C223-4EB7-9E7A-44AA3DB21008}">
  <sheetPr codeName="Feuil12"/>
  <dimension ref="A1:Z38"/>
  <sheetViews>
    <sheetView tabSelected="1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I25" sqref="I25"/>
    </sheetView>
  </sheetViews>
  <sheetFormatPr baseColWidth="10" defaultRowHeight="15" x14ac:dyDescent="0.25"/>
  <cols>
    <col min="1" max="1" width="29" customWidth="1"/>
    <col min="2" max="2" width="23.28515625" customWidth="1"/>
    <col min="3" max="3" width="30.28515625" customWidth="1"/>
    <col min="4" max="4" width="16.28515625" customWidth="1"/>
    <col min="5" max="5" width="21.7109375" customWidth="1"/>
    <col min="6" max="6" width="30.140625" customWidth="1"/>
    <col min="7" max="7" width="28.140625" customWidth="1"/>
    <col min="8" max="8" width="16.28515625" customWidth="1"/>
    <col min="9" max="9" width="29.85546875" customWidth="1"/>
    <col min="10" max="10" width="29.85546875" style="58" customWidth="1"/>
    <col min="13" max="14" width="11.42578125" style="13"/>
  </cols>
  <sheetData>
    <row r="1" spans="1:26" s="59" customFormat="1" ht="28.15" customHeight="1" x14ac:dyDescent="0.25">
      <c r="B1" s="93" t="s">
        <v>14</v>
      </c>
      <c r="C1" s="93" t="s">
        <v>15</v>
      </c>
      <c r="D1" s="93" t="s">
        <v>16</v>
      </c>
      <c r="E1" s="93" t="s">
        <v>17</v>
      </c>
      <c r="F1" s="93" t="s">
        <v>18</v>
      </c>
      <c r="G1" s="93" t="s">
        <v>19</v>
      </c>
      <c r="H1" s="93" t="s">
        <v>20</v>
      </c>
      <c r="I1" s="93" t="s">
        <v>232</v>
      </c>
      <c r="J1" s="94" t="s">
        <v>158</v>
      </c>
      <c r="L1" s="59">
        <v>4</v>
      </c>
      <c r="M1" s="59">
        <v>8</v>
      </c>
      <c r="N1" s="59">
        <v>8</v>
      </c>
    </row>
    <row r="2" spans="1:26" ht="17.45" customHeight="1" x14ac:dyDescent="0.25"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28</v>
      </c>
      <c r="J2" s="56" t="s">
        <v>159</v>
      </c>
      <c r="M2" s="55" t="s">
        <v>0</v>
      </c>
      <c r="N2" s="55" t="s">
        <v>1</v>
      </c>
    </row>
    <row r="3" spans="1:26" x14ac:dyDescent="0.25">
      <c r="B3" s="3"/>
      <c r="C3" s="3"/>
      <c r="D3" s="3"/>
      <c r="E3" s="3"/>
      <c r="F3" s="3"/>
      <c r="G3" s="3"/>
      <c r="H3" s="3"/>
      <c r="I3" s="3"/>
      <c r="J3" s="57"/>
      <c r="M3" s="55" t="s">
        <v>2</v>
      </c>
      <c r="N3" s="55">
        <v>2020</v>
      </c>
    </row>
    <row r="4" spans="1:26" x14ac:dyDescent="0.25">
      <c r="A4" s="1">
        <f>DATE(N1+2019,M1,1)</f>
        <v>46600</v>
      </c>
      <c r="M4" s="55"/>
      <c r="N4" s="55"/>
    </row>
    <row r="5" spans="1:26" ht="60" x14ac:dyDescent="0.25">
      <c r="A5" s="1">
        <f>A4+1</f>
        <v>46601</v>
      </c>
      <c r="F5" s="112" t="s">
        <v>236</v>
      </c>
      <c r="I5" s="2" t="s">
        <v>233</v>
      </c>
      <c r="M5" s="55"/>
      <c r="N5" s="55"/>
    </row>
    <row r="6" spans="1:26" ht="60" customHeight="1" x14ac:dyDescent="0.25">
      <c r="A6" s="133">
        <f>A5+1</f>
        <v>46602</v>
      </c>
      <c r="D6" s="131"/>
      <c r="F6" s="2" t="s">
        <v>238</v>
      </c>
      <c r="H6" s="106"/>
      <c r="I6" s="139" t="s">
        <v>234</v>
      </c>
      <c r="J6"/>
      <c r="M6" s="55"/>
      <c r="N6" s="55"/>
    </row>
    <row r="7" spans="1:26" ht="48" customHeight="1" x14ac:dyDescent="0.25">
      <c r="A7" s="133"/>
      <c r="D7" s="131"/>
      <c r="H7" s="106"/>
      <c r="I7" s="139"/>
      <c r="J7"/>
      <c r="M7" s="55"/>
      <c r="N7" s="55"/>
    </row>
    <row r="8" spans="1:26" x14ac:dyDescent="0.25">
      <c r="A8" s="1">
        <f>A5+2</f>
        <v>46603</v>
      </c>
      <c r="I8" s="106"/>
      <c r="J8" s="78"/>
      <c r="M8" s="55"/>
      <c r="N8" s="55"/>
    </row>
    <row r="9" spans="1:26" ht="43.15" customHeight="1" x14ac:dyDescent="0.25">
      <c r="A9" s="127">
        <f>A8+1</f>
        <v>46604</v>
      </c>
      <c r="I9" s="113"/>
      <c r="J9" s="115"/>
      <c r="M9" s="55"/>
      <c r="N9" s="55"/>
    </row>
    <row r="10" spans="1:26" ht="48.75" customHeight="1" x14ac:dyDescent="0.25">
      <c r="A10" s="127"/>
      <c r="I10" s="113"/>
      <c r="J10" s="115"/>
      <c r="M10" s="55"/>
      <c r="N10" s="55"/>
    </row>
    <row r="11" spans="1:26" x14ac:dyDescent="0.25">
      <c r="A11" s="107">
        <f>A8+2</f>
        <v>46605</v>
      </c>
      <c r="I11" s="106"/>
      <c r="J11" s="106"/>
      <c r="M11" s="55"/>
      <c r="N11" s="55"/>
    </row>
    <row r="12" spans="1:26" x14ac:dyDescent="0.25">
      <c r="A12" s="132">
        <f>A9+2</f>
        <v>46606</v>
      </c>
      <c r="I12" s="131"/>
      <c r="J12" s="115"/>
      <c r="M12" s="55"/>
      <c r="N12" s="55"/>
    </row>
    <row r="13" spans="1:26" x14ac:dyDescent="0.25">
      <c r="A13" s="132"/>
      <c r="I13" s="131"/>
      <c r="J13" s="115"/>
      <c r="M13" s="55"/>
      <c r="N13" s="55"/>
    </row>
    <row r="14" spans="1:26" ht="43.15" customHeight="1" x14ac:dyDescent="0.25">
      <c r="A14" s="107">
        <f>A12+1</f>
        <v>46607</v>
      </c>
      <c r="I14" s="86"/>
      <c r="J14" s="106"/>
      <c r="M14" s="55"/>
      <c r="N14" s="55"/>
    </row>
    <row r="15" spans="1:26" ht="45" x14ac:dyDescent="0.25">
      <c r="A15" s="1">
        <f>A14+1</f>
        <v>46608</v>
      </c>
      <c r="I15" s="110" t="s">
        <v>234</v>
      </c>
      <c r="J15" s="106"/>
      <c r="M15" s="55"/>
      <c r="N15" s="55"/>
      <c r="Z15" s="55" t="s">
        <v>8</v>
      </c>
    </row>
    <row r="16" spans="1:26" x14ac:dyDescent="0.25">
      <c r="A16" s="134">
        <f>A15+1</f>
        <v>46609</v>
      </c>
      <c r="I16" s="111"/>
      <c r="J16" s="106"/>
      <c r="M16" s="55"/>
      <c r="N16" s="55"/>
      <c r="Z16" s="55" t="s">
        <v>9</v>
      </c>
    </row>
    <row r="17" spans="1:26" ht="60.75" customHeight="1" x14ac:dyDescent="0.25">
      <c r="A17" s="134"/>
      <c r="J17" s="106"/>
      <c r="M17" s="55"/>
      <c r="N17" s="55"/>
      <c r="Z17" s="55" t="s">
        <v>10</v>
      </c>
    </row>
    <row r="18" spans="1:26" x14ac:dyDescent="0.25">
      <c r="A18" s="133">
        <f>A15+2</f>
        <v>46610</v>
      </c>
      <c r="H18" s="106"/>
      <c r="M18" s="55"/>
      <c r="N18" s="55"/>
      <c r="Z18" s="55" t="s">
        <v>11</v>
      </c>
    </row>
    <row r="19" spans="1:26" x14ac:dyDescent="0.25">
      <c r="A19" s="133"/>
      <c r="H19" s="106"/>
      <c r="M19" s="55"/>
      <c r="N19" s="55"/>
      <c r="Z19" s="55" t="s">
        <v>11</v>
      </c>
    </row>
    <row r="20" spans="1:26" x14ac:dyDescent="0.25">
      <c r="A20" s="1">
        <f>A18+1</f>
        <v>46611</v>
      </c>
      <c r="H20" s="106"/>
      <c r="M20" s="55"/>
      <c r="N20" s="55"/>
      <c r="Z20" s="55" t="s">
        <v>12</v>
      </c>
    </row>
    <row r="21" spans="1:26" x14ac:dyDescent="0.25">
      <c r="A21" s="1">
        <f>A20+1</f>
        <v>46612</v>
      </c>
      <c r="C21" t="s">
        <v>239</v>
      </c>
      <c r="J21" s="106"/>
      <c r="M21" s="55"/>
      <c r="N21" s="55"/>
      <c r="Z21" s="55" t="s">
        <v>13</v>
      </c>
    </row>
    <row r="22" spans="1:26" x14ac:dyDescent="0.25">
      <c r="A22" s="1">
        <f t="shared" ref="A22:A26" si="0">A21+1</f>
        <v>46613</v>
      </c>
      <c r="J22" s="106"/>
      <c r="M22" s="55"/>
      <c r="N22" s="55"/>
    </row>
    <row r="23" spans="1:26" x14ac:dyDescent="0.25">
      <c r="A23" s="1">
        <f t="shared" si="0"/>
        <v>46614</v>
      </c>
      <c r="J23" s="106"/>
    </row>
    <row r="24" spans="1:26" x14ac:dyDescent="0.25">
      <c r="A24" s="1">
        <f t="shared" si="0"/>
        <v>46615</v>
      </c>
      <c r="I24" t="s">
        <v>91</v>
      </c>
    </row>
    <row r="25" spans="1:26" x14ac:dyDescent="0.25">
      <c r="A25" s="1">
        <f t="shared" si="0"/>
        <v>46616</v>
      </c>
      <c r="I25" t="s">
        <v>240</v>
      </c>
      <c r="J25" s="106"/>
    </row>
    <row r="26" spans="1:26" x14ac:dyDescent="0.25">
      <c r="A26" s="1">
        <f t="shared" si="0"/>
        <v>46617</v>
      </c>
    </row>
    <row r="27" spans="1:26" x14ac:dyDescent="0.25">
      <c r="A27" s="1">
        <f>A26+1</f>
        <v>46618</v>
      </c>
    </row>
    <row r="28" spans="1:26" x14ac:dyDescent="0.25">
      <c r="A28" s="1">
        <f>A27+1</f>
        <v>46619</v>
      </c>
    </row>
    <row r="29" spans="1:26" x14ac:dyDescent="0.25">
      <c r="A29" s="1">
        <f t="shared" ref="A29:A38" si="1">A28+1</f>
        <v>46620</v>
      </c>
    </row>
    <row r="30" spans="1:26" x14ac:dyDescent="0.25">
      <c r="A30" s="1">
        <f t="shared" si="1"/>
        <v>46621</v>
      </c>
    </row>
    <row r="31" spans="1:26" x14ac:dyDescent="0.25">
      <c r="A31" s="1">
        <f t="shared" si="1"/>
        <v>46622</v>
      </c>
    </row>
    <row r="32" spans="1:26" x14ac:dyDescent="0.25">
      <c r="A32" s="1">
        <f t="shared" si="1"/>
        <v>46623</v>
      </c>
    </row>
    <row r="33" spans="1:9" x14ac:dyDescent="0.25">
      <c r="A33" s="1">
        <f t="shared" si="1"/>
        <v>46624</v>
      </c>
    </row>
    <row r="34" spans="1:9" x14ac:dyDescent="0.25">
      <c r="A34" s="1">
        <f t="shared" si="1"/>
        <v>46625</v>
      </c>
    </row>
    <row r="35" spans="1:9" x14ac:dyDescent="0.25">
      <c r="A35" s="1">
        <f t="shared" si="1"/>
        <v>46626</v>
      </c>
    </row>
    <row r="36" spans="1:9" x14ac:dyDescent="0.25">
      <c r="A36" s="1">
        <f t="shared" si="1"/>
        <v>46627</v>
      </c>
    </row>
    <row r="37" spans="1:9" x14ac:dyDescent="0.25">
      <c r="A37" s="1">
        <f t="shared" si="1"/>
        <v>46628</v>
      </c>
      <c r="H37" s="106"/>
    </row>
    <row r="38" spans="1:9" x14ac:dyDescent="0.25">
      <c r="A38" s="1">
        <f t="shared" si="1"/>
        <v>46629</v>
      </c>
      <c r="H38" s="106"/>
      <c r="I38" s="106"/>
    </row>
  </sheetData>
  <mergeCells count="11">
    <mergeCell ref="A18:A19"/>
    <mergeCell ref="A6:A7"/>
    <mergeCell ref="D6:D7"/>
    <mergeCell ref="I6:I7"/>
    <mergeCell ref="A9:A10"/>
    <mergeCell ref="I9:I10"/>
    <mergeCell ref="J9:J10"/>
    <mergeCell ref="A12:A13"/>
    <mergeCell ref="I12:I13"/>
    <mergeCell ref="J12:J13"/>
    <mergeCell ref="A16:A17"/>
  </mergeCells>
  <conditionalFormatting sqref="B4:O4 B6:O38 B5:E5 G5:O5">
    <cfRule type="expression" dxfId="5" priority="4">
      <formula>WEEKDAY($A4,2)&gt;5</formula>
    </cfRule>
  </conditionalFormatting>
  <conditionalFormatting sqref="F5">
    <cfRule type="expression" dxfId="4" priority="2">
      <formula>WEEKDAY($A5,2)&gt;5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Masquer_Jour">
                <anchor moveWithCells="1">
                  <from>
                    <xdr:col>0</xdr:col>
                    <xdr:colOff>9525</xdr:colOff>
                    <xdr:row>0</xdr:row>
                    <xdr:rowOff>76200</xdr:rowOff>
                  </from>
                  <to>
                    <xdr:col>1</xdr:col>
                    <xdr:colOff>9525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47625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696F967-3350-4641-B3B4-03934977B84E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B4:O4 B6:O38 B5:E5 G5:O5</xm:sqref>
        </x14:conditionalFormatting>
        <x14:conditionalFormatting xmlns:xm="http://schemas.microsoft.com/office/excel/2006/main">
          <x14:cfRule type="expression" priority="1" id="{B889D151-2B7D-417A-BF36-8D2DA4C93664}">
            <xm:f>COUNTIFS('Jours fériés'!$C$2:$C$14,$A5)&gt;0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F5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742EA-463C-4248-A3D4-B0DA59517929}">
  <sheetPr codeName="Feuil13"/>
  <dimension ref="A1:AA38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F40" sqref="F40"/>
    </sheetView>
  </sheetViews>
  <sheetFormatPr baseColWidth="10" defaultRowHeight="15" x14ac:dyDescent="0.25"/>
  <cols>
    <col min="1" max="1" width="29" customWidth="1"/>
    <col min="2" max="2" width="23.28515625" customWidth="1"/>
    <col min="3" max="3" width="30.28515625" customWidth="1"/>
    <col min="4" max="4" width="16.28515625" customWidth="1"/>
    <col min="5" max="5" width="21.7109375" customWidth="1"/>
    <col min="6" max="6" width="30.140625" customWidth="1"/>
    <col min="7" max="7" width="28.140625" customWidth="1"/>
    <col min="8" max="8" width="16.28515625" customWidth="1"/>
    <col min="9" max="9" width="29" customWidth="1"/>
    <col min="10" max="10" width="29.85546875" customWidth="1"/>
    <col min="11" max="11" width="29.85546875" style="58" customWidth="1"/>
    <col min="14" max="15" width="11.42578125" style="13"/>
  </cols>
  <sheetData>
    <row r="1" spans="1:27" s="59" customFormat="1" ht="28.15" customHeight="1" x14ac:dyDescent="0.25">
      <c r="B1" s="93" t="s">
        <v>14</v>
      </c>
      <c r="C1" s="93" t="s">
        <v>15</v>
      </c>
      <c r="D1" s="93" t="s">
        <v>16</v>
      </c>
      <c r="E1" s="93" t="s">
        <v>17</v>
      </c>
      <c r="F1" s="93" t="s">
        <v>18</v>
      </c>
      <c r="G1" s="93" t="s">
        <v>19</v>
      </c>
      <c r="H1" s="93" t="s">
        <v>20</v>
      </c>
      <c r="I1" s="93" t="s">
        <v>21</v>
      </c>
      <c r="J1" s="93" t="s">
        <v>143</v>
      </c>
      <c r="K1" s="94" t="s">
        <v>158</v>
      </c>
      <c r="M1" s="59">
        <v>4</v>
      </c>
      <c r="N1" s="59">
        <v>8</v>
      </c>
      <c r="O1" s="59">
        <v>2</v>
      </c>
    </row>
    <row r="2" spans="1:27" ht="17.45" customHeight="1" x14ac:dyDescent="0.25"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28</v>
      </c>
      <c r="J2" s="2" t="s">
        <v>28</v>
      </c>
      <c r="K2" s="56" t="s">
        <v>159</v>
      </c>
      <c r="N2" s="55" t="s">
        <v>0</v>
      </c>
      <c r="O2" s="55" t="s">
        <v>1</v>
      </c>
    </row>
    <row r="3" spans="1:27" x14ac:dyDescent="0.25">
      <c r="B3" s="3"/>
      <c r="C3" s="3"/>
      <c r="D3" s="3"/>
      <c r="E3" s="3"/>
      <c r="F3" s="3"/>
      <c r="G3" s="3"/>
      <c r="H3" s="3"/>
      <c r="I3" s="3"/>
      <c r="J3" s="3"/>
      <c r="K3" s="57"/>
      <c r="N3" s="55" t="s">
        <v>2</v>
      </c>
      <c r="O3" s="55">
        <v>2020</v>
      </c>
    </row>
    <row r="4" spans="1:27" x14ac:dyDescent="0.25">
      <c r="A4" s="1">
        <f>DATE(O1+2019,N1,1)</f>
        <v>44409</v>
      </c>
      <c r="N4" s="55"/>
      <c r="O4" s="55"/>
    </row>
    <row r="5" spans="1:27" x14ac:dyDescent="0.25">
      <c r="A5" s="1">
        <f>A4+1</f>
        <v>44410</v>
      </c>
      <c r="N5" s="55"/>
      <c r="O5" s="55"/>
    </row>
    <row r="6" spans="1:27" ht="60" customHeight="1" x14ac:dyDescent="0.25">
      <c r="A6" s="133">
        <f>A5+1</f>
        <v>44411</v>
      </c>
      <c r="D6" s="131"/>
      <c r="H6" s="108"/>
      <c r="I6" s="131"/>
      <c r="J6" s="131"/>
      <c r="K6"/>
      <c r="N6" s="55"/>
      <c r="O6" s="55"/>
    </row>
    <row r="7" spans="1:27" ht="48" customHeight="1" x14ac:dyDescent="0.25">
      <c r="A7" s="133"/>
      <c r="D7" s="131"/>
      <c r="H7" s="108"/>
      <c r="I7" s="131"/>
      <c r="J7" s="131"/>
      <c r="K7"/>
      <c r="N7" s="55"/>
      <c r="O7" s="55"/>
    </row>
    <row r="8" spans="1:27" x14ac:dyDescent="0.25">
      <c r="A8" s="1">
        <f>A5+2</f>
        <v>44412</v>
      </c>
      <c r="J8" s="108"/>
      <c r="K8" s="78"/>
      <c r="N8" s="55"/>
      <c r="O8" s="55"/>
    </row>
    <row r="9" spans="1:27" ht="43.15" customHeight="1" x14ac:dyDescent="0.25">
      <c r="A9" s="127">
        <f>A8+1</f>
        <v>44413</v>
      </c>
      <c r="J9" s="113"/>
      <c r="K9" s="115"/>
      <c r="N9" s="55"/>
      <c r="O9" s="55"/>
    </row>
    <row r="10" spans="1:27" ht="48.75" customHeight="1" x14ac:dyDescent="0.25">
      <c r="A10" s="127"/>
      <c r="J10" s="113"/>
      <c r="K10" s="115"/>
      <c r="N10" s="55"/>
      <c r="O10" s="55"/>
    </row>
    <row r="11" spans="1:27" x14ac:dyDescent="0.25">
      <c r="A11" s="109">
        <f>A8+2</f>
        <v>44414</v>
      </c>
      <c r="J11" s="108"/>
      <c r="K11" s="108"/>
      <c r="N11" s="55"/>
      <c r="O11" s="55"/>
    </row>
    <row r="12" spans="1:27" x14ac:dyDescent="0.25">
      <c r="A12" s="132">
        <f>A9+2</f>
        <v>44415</v>
      </c>
      <c r="J12" s="131"/>
      <c r="K12" s="115"/>
      <c r="N12" s="55"/>
      <c r="O12" s="55"/>
    </row>
    <row r="13" spans="1:27" x14ac:dyDescent="0.25">
      <c r="A13" s="132"/>
      <c r="J13" s="131"/>
      <c r="K13" s="115"/>
      <c r="N13" s="55"/>
      <c r="O13" s="55"/>
    </row>
    <row r="14" spans="1:27" ht="43.15" customHeight="1" x14ac:dyDescent="0.25">
      <c r="A14" s="109">
        <f>A12+1</f>
        <v>44416</v>
      </c>
      <c r="J14" s="86"/>
      <c r="K14" s="108"/>
      <c r="N14" s="55"/>
      <c r="O14" s="55"/>
    </row>
    <row r="15" spans="1:27" x14ac:dyDescent="0.25">
      <c r="A15" s="1">
        <f>A14+1</f>
        <v>44417</v>
      </c>
      <c r="J15" s="108"/>
      <c r="K15" s="108"/>
      <c r="N15" s="55"/>
      <c r="O15" s="55"/>
      <c r="AA15" s="55" t="s">
        <v>8</v>
      </c>
    </row>
    <row r="16" spans="1:27" x14ac:dyDescent="0.25">
      <c r="A16" s="134">
        <f>A15+1</f>
        <v>44418</v>
      </c>
      <c r="K16" s="108"/>
      <c r="N16" s="55"/>
      <c r="O16" s="55"/>
      <c r="AA16" s="55" t="s">
        <v>9</v>
      </c>
    </row>
    <row r="17" spans="1:27" ht="60.75" customHeight="1" x14ac:dyDescent="0.25">
      <c r="A17" s="134"/>
      <c r="K17" s="108"/>
      <c r="N17" s="55"/>
      <c r="O17" s="55"/>
      <c r="AA17" s="55" t="s">
        <v>10</v>
      </c>
    </row>
    <row r="18" spans="1:27" x14ac:dyDescent="0.25">
      <c r="A18" s="133">
        <f>A15+2</f>
        <v>44419</v>
      </c>
      <c r="H18" s="108"/>
      <c r="N18" s="55"/>
      <c r="O18" s="55"/>
      <c r="AA18" s="55" t="s">
        <v>11</v>
      </c>
    </row>
    <row r="19" spans="1:27" x14ac:dyDescent="0.25">
      <c r="A19" s="133"/>
      <c r="H19" s="108"/>
      <c r="N19" s="55"/>
      <c r="O19" s="55"/>
      <c r="AA19" s="55" t="s">
        <v>11</v>
      </c>
    </row>
    <row r="20" spans="1:27" x14ac:dyDescent="0.25">
      <c r="A20" s="1">
        <f>A18+1</f>
        <v>44420</v>
      </c>
      <c r="H20" s="108"/>
      <c r="I20" s="108"/>
      <c r="N20" s="55"/>
      <c r="O20" s="55"/>
      <c r="AA20" s="55" t="s">
        <v>12</v>
      </c>
    </row>
    <row r="21" spans="1:27" x14ac:dyDescent="0.25">
      <c r="A21" s="1">
        <f>A20+1</f>
        <v>44421</v>
      </c>
      <c r="K21" s="108"/>
      <c r="N21" s="55"/>
      <c r="O21" s="55"/>
      <c r="AA21" s="55" t="s">
        <v>13</v>
      </c>
    </row>
    <row r="22" spans="1:27" x14ac:dyDescent="0.25">
      <c r="A22" s="1">
        <f t="shared" ref="A22:A26" si="0">A21+1</f>
        <v>44422</v>
      </c>
      <c r="I22" s="108"/>
      <c r="K22" s="108"/>
      <c r="N22" s="55"/>
      <c r="O22" s="55"/>
    </row>
    <row r="23" spans="1:27" x14ac:dyDescent="0.25">
      <c r="A23" s="1">
        <f t="shared" si="0"/>
        <v>44423</v>
      </c>
      <c r="I23" s="108"/>
      <c r="K23" s="108"/>
    </row>
    <row r="24" spans="1:27" x14ac:dyDescent="0.25">
      <c r="A24" s="1">
        <f t="shared" si="0"/>
        <v>44424</v>
      </c>
    </row>
    <row r="25" spans="1:27" x14ac:dyDescent="0.25">
      <c r="A25" s="1">
        <f t="shared" si="0"/>
        <v>44425</v>
      </c>
      <c r="K25" s="108"/>
    </row>
    <row r="26" spans="1:27" x14ac:dyDescent="0.25">
      <c r="A26" s="1">
        <f t="shared" si="0"/>
        <v>44426</v>
      </c>
    </row>
    <row r="27" spans="1:27" x14ac:dyDescent="0.25">
      <c r="A27" s="1">
        <f>A26+1</f>
        <v>44427</v>
      </c>
    </row>
    <row r="28" spans="1:27" x14ac:dyDescent="0.25">
      <c r="A28" s="1">
        <f>A27+1</f>
        <v>44428</v>
      </c>
    </row>
    <row r="29" spans="1:27" x14ac:dyDescent="0.25">
      <c r="A29" s="1">
        <f t="shared" ref="A29:A38" si="1">A28+1</f>
        <v>44429</v>
      </c>
    </row>
    <row r="30" spans="1:27" x14ac:dyDescent="0.25">
      <c r="A30" s="1">
        <f t="shared" si="1"/>
        <v>44430</v>
      </c>
    </row>
    <row r="31" spans="1:27" x14ac:dyDescent="0.25">
      <c r="A31" s="1">
        <f t="shared" si="1"/>
        <v>44431</v>
      </c>
    </row>
    <row r="32" spans="1:27" x14ac:dyDescent="0.25">
      <c r="A32" s="1">
        <f t="shared" si="1"/>
        <v>44432</v>
      </c>
    </row>
    <row r="33" spans="1:10" x14ac:dyDescent="0.25">
      <c r="A33" s="1">
        <f t="shared" si="1"/>
        <v>44433</v>
      </c>
    </row>
    <row r="34" spans="1:10" x14ac:dyDescent="0.25">
      <c r="A34" s="1">
        <f t="shared" si="1"/>
        <v>44434</v>
      </c>
    </row>
    <row r="35" spans="1:10" x14ac:dyDescent="0.25">
      <c r="A35" s="1">
        <f t="shared" si="1"/>
        <v>44435</v>
      </c>
    </row>
    <row r="36" spans="1:10" x14ac:dyDescent="0.25">
      <c r="A36" s="1">
        <f t="shared" si="1"/>
        <v>44436</v>
      </c>
    </row>
    <row r="37" spans="1:10" x14ac:dyDescent="0.25">
      <c r="A37" s="1">
        <f t="shared" si="1"/>
        <v>44437</v>
      </c>
      <c r="H37" s="108"/>
    </row>
    <row r="38" spans="1:10" x14ac:dyDescent="0.25">
      <c r="A38" s="1">
        <f t="shared" si="1"/>
        <v>44438</v>
      </c>
      <c r="H38" s="108"/>
      <c r="I38" s="108"/>
      <c r="J38" s="108"/>
    </row>
  </sheetData>
  <mergeCells count="12">
    <mergeCell ref="K9:K10"/>
    <mergeCell ref="A12:A13"/>
    <mergeCell ref="J12:J13"/>
    <mergeCell ref="K12:K13"/>
    <mergeCell ref="A16:A17"/>
    <mergeCell ref="A18:A19"/>
    <mergeCell ref="A6:A7"/>
    <mergeCell ref="D6:D7"/>
    <mergeCell ref="I6:I7"/>
    <mergeCell ref="J6:J7"/>
    <mergeCell ref="A9:A10"/>
    <mergeCell ref="J9:J10"/>
  </mergeCells>
  <conditionalFormatting sqref="B18:G38">
    <cfRule type="expression" dxfId="1" priority="2">
      <formula>WEEKDAY($A18,2)&gt;5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Masquer_Jour">
                <anchor moveWithCells="1">
                  <from>
                    <xdr:col>0</xdr:col>
                    <xdr:colOff>9525</xdr:colOff>
                    <xdr:row>0</xdr:row>
                    <xdr:rowOff>76200</xdr:rowOff>
                  </from>
                  <to>
                    <xdr:col>1</xdr:col>
                    <xdr:colOff>9525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47625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E2B9F4A-B369-4A66-8A3B-A055F2D29598}">
            <xm:f>COUNTIFS('Jours fériés'!$C$2:$C$14,$A18)&gt;0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B18:G38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Plan de charge - Récap</vt:lpstr>
      <vt:lpstr>Jours fériés</vt:lpstr>
      <vt:lpstr>NOV 20</vt:lpstr>
      <vt:lpstr>DEC 20</vt:lpstr>
      <vt:lpstr>JAN 21</vt:lpstr>
      <vt:lpstr>FEV 21 </vt:lpstr>
      <vt:lpstr>MAR 21</vt:lpstr>
      <vt:lpstr>AVR 21</vt:lpstr>
      <vt:lpstr>MAI 21</vt:lpstr>
      <vt:lpstr>Juin 21</vt:lpstr>
      <vt:lpstr>Juillet 21 </vt:lpstr>
      <vt:lpstr>Aout 21</vt:lpstr>
      <vt:lpstr>Septembre 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Laurier</dc:creator>
  <cp:lastModifiedBy>Carl</cp:lastModifiedBy>
  <dcterms:created xsi:type="dcterms:W3CDTF">2015-06-05T18:19:34Z</dcterms:created>
  <dcterms:modified xsi:type="dcterms:W3CDTF">2021-08-16T14:39:50Z</dcterms:modified>
</cp:coreProperties>
</file>