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31476b8b1caf179/Documents/CHEFFERIE DE PROJET/EXCEL/calendrier pour plan de charge avec recherche de correspondance/"/>
    </mc:Choice>
  </mc:AlternateContent>
  <xr:revisionPtr revIDLastSave="1" documentId="8_{80B264B5-55DB-4BC1-A099-AD6E32F00C65}" xr6:coauthVersionLast="45" xr6:coauthVersionMax="45" xr10:uidLastSave="{36A946E2-47D2-40DA-99C4-E7D442456ABA}"/>
  <bookViews>
    <workbookView xWindow="-120" yWindow="-120" windowWidth="29040" windowHeight="15840" tabRatio="811" activeTab="1" xr2:uid="{00000000-000D-0000-FFFF-FFFF00000000}"/>
  </bookViews>
  <sheets>
    <sheet name="MENU" sheetId="18" r:id="rId1"/>
    <sheet name="TRAME" sheetId="16" r:id="rId2"/>
    <sheet name="CALENDRIER BASE" sheetId="17" r:id="rId3"/>
    <sheet name="LISTE CHAUFFEURS" sheetId="14" r:id="rId4"/>
  </sheets>
  <definedNames>
    <definedName name="ANNEE_ENCOURS">'LISTE CHAUFFEURS'!$L$3</definedName>
    <definedName name="_xlnm.Print_Area" localSheetId="1">TRAME!$B$1:$R$32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16" l="1"/>
  <c r="H6" i="14" l="1"/>
  <c r="H7" i="14"/>
  <c r="H8" i="14"/>
  <c r="H9" i="14"/>
  <c r="H10" i="14"/>
  <c r="H11" i="14"/>
  <c r="H5" i="14"/>
  <c r="D2" i="16" l="1"/>
  <c r="C2" i="16" s="1"/>
  <c r="B2" i="16" l="1"/>
  <c r="A2" i="16" s="1"/>
  <c r="U10" i="16"/>
  <c r="D3" i="16"/>
  <c r="G2" i="16" l="1"/>
  <c r="H2" i="16"/>
  <c r="P2" i="16"/>
  <c r="I2" i="16"/>
  <c r="Q2" i="16"/>
  <c r="J2" i="16"/>
  <c r="R2" i="16"/>
  <c r="F2" i="16"/>
  <c r="K2" i="16"/>
  <c r="M2" i="16"/>
  <c r="L2" i="16"/>
  <c r="N2" i="16"/>
  <c r="O2" i="16"/>
  <c r="D4" i="16"/>
  <c r="C3" i="16"/>
  <c r="B3" i="16" s="1"/>
  <c r="A3" i="16" s="1"/>
  <c r="K3" i="16" l="1"/>
  <c r="E3" i="16"/>
  <c r="L3" i="16"/>
  <c r="H3" i="16"/>
  <c r="Q3" i="16"/>
  <c r="M3" i="16"/>
  <c r="F3" i="16"/>
  <c r="N3" i="16"/>
  <c r="G3" i="16"/>
  <c r="O3" i="16"/>
  <c r="R3" i="16"/>
  <c r="I3" i="16"/>
  <c r="J3" i="16"/>
  <c r="P3" i="16"/>
  <c r="D5" i="16"/>
  <c r="C4" i="16"/>
  <c r="B4" i="16" s="1"/>
  <c r="A4" i="16" s="1"/>
  <c r="G4" i="16" l="1"/>
  <c r="O4" i="16"/>
  <c r="H4" i="16"/>
  <c r="P4" i="16"/>
  <c r="I4" i="16"/>
  <c r="Q4" i="16"/>
  <c r="J4" i="16"/>
  <c r="R4" i="16"/>
  <c r="N4" i="16"/>
  <c r="K4" i="16"/>
  <c r="L4" i="16"/>
  <c r="F4" i="16"/>
  <c r="E4" i="16"/>
  <c r="M4" i="16"/>
  <c r="D6" i="16"/>
  <c r="C5" i="16"/>
  <c r="B5" i="16" s="1"/>
  <c r="A5" i="16" s="1"/>
  <c r="I5" i="16" l="1"/>
  <c r="Q5" i="16"/>
  <c r="J5" i="16"/>
  <c r="R5" i="16"/>
  <c r="K5" i="16"/>
  <c r="L5" i="16"/>
  <c r="E5" i="16"/>
  <c r="M5" i="16"/>
  <c r="F5" i="16"/>
  <c r="N5" i="16"/>
  <c r="P5" i="16"/>
  <c r="G5" i="16"/>
  <c r="O5" i="16"/>
  <c r="H5" i="16"/>
  <c r="D7" i="16"/>
  <c r="C6" i="16"/>
  <c r="B6" i="16" s="1"/>
  <c r="A6" i="16" s="1"/>
  <c r="K6" i="16" l="1"/>
  <c r="L6" i="16"/>
  <c r="E6" i="16"/>
  <c r="M6" i="16"/>
  <c r="F6" i="16"/>
  <c r="N6" i="16"/>
  <c r="R6" i="16"/>
  <c r="G6" i="16"/>
  <c r="O6" i="16"/>
  <c r="J6" i="16"/>
  <c r="H6" i="16"/>
  <c r="P6" i="16"/>
  <c r="I6" i="16"/>
  <c r="Q6" i="16"/>
  <c r="D8" i="16"/>
  <c r="C7" i="16"/>
  <c r="B7" i="16" s="1"/>
  <c r="A7" i="16" s="1"/>
  <c r="E7" i="16" l="1"/>
  <c r="M7" i="16"/>
  <c r="F7" i="16"/>
  <c r="N7" i="16"/>
  <c r="G7" i="16"/>
  <c r="O7" i="16"/>
  <c r="H7" i="16"/>
  <c r="P7" i="16"/>
  <c r="I7" i="16"/>
  <c r="Q7" i="16"/>
  <c r="J7" i="16"/>
  <c r="R7" i="16"/>
  <c r="K7" i="16"/>
  <c r="L7" i="16"/>
  <c r="D9" i="16"/>
  <c r="C8" i="16"/>
  <c r="B8" i="16" s="1"/>
  <c r="A8" i="16" s="1"/>
  <c r="G8" i="16" l="1"/>
  <c r="O8" i="16"/>
  <c r="H8" i="16"/>
  <c r="P8" i="16"/>
  <c r="I8" i="16"/>
  <c r="Q8" i="16"/>
  <c r="J8" i="16"/>
  <c r="R8" i="16"/>
  <c r="K8" i="16"/>
  <c r="N8" i="16"/>
  <c r="L8" i="16"/>
  <c r="F8" i="16"/>
  <c r="E8" i="16"/>
  <c r="M8" i="16"/>
  <c r="D10" i="16"/>
  <c r="C9" i="16"/>
  <c r="B9" i="16" s="1"/>
  <c r="A9" i="16" s="1"/>
  <c r="I9" i="16" l="1"/>
  <c r="Q9" i="16"/>
  <c r="J9" i="16"/>
  <c r="R9" i="16"/>
  <c r="K9" i="16"/>
  <c r="L9" i="16"/>
  <c r="H9" i="16"/>
  <c r="E9" i="16"/>
  <c r="M9" i="16"/>
  <c r="F9" i="16"/>
  <c r="N9" i="16"/>
  <c r="G9" i="16"/>
  <c r="O9" i="16"/>
  <c r="P9" i="16"/>
  <c r="D11" i="16"/>
  <c r="C10" i="16"/>
  <c r="B10" i="16" s="1"/>
  <c r="A10" i="16" s="1"/>
  <c r="K10" i="16" l="1"/>
  <c r="L10" i="16"/>
  <c r="E10" i="16"/>
  <c r="M10" i="16"/>
  <c r="F10" i="16"/>
  <c r="N10" i="16"/>
  <c r="G10" i="16"/>
  <c r="O10" i="16"/>
  <c r="R10" i="16"/>
  <c r="H10" i="16"/>
  <c r="P10" i="16"/>
  <c r="J10" i="16"/>
  <c r="I10" i="16"/>
  <c r="Q10" i="16"/>
  <c r="D12" i="16"/>
  <c r="C11" i="16"/>
  <c r="B11" i="16" s="1"/>
  <c r="A11" i="16" s="1"/>
  <c r="E11" i="16" l="1"/>
  <c r="M11" i="16"/>
  <c r="F11" i="16"/>
  <c r="N11" i="16"/>
  <c r="G11" i="16"/>
  <c r="O11" i="16"/>
  <c r="H11" i="16"/>
  <c r="P11" i="16"/>
  <c r="L11" i="16"/>
  <c r="I11" i="16"/>
  <c r="Q11" i="16"/>
  <c r="J11" i="16"/>
  <c r="R11" i="16"/>
  <c r="K11" i="16"/>
  <c r="D13" i="16"/>
  <c r="C12" i="16"/>
  <c r="B12" i="16" s="1"/>
  <c r="A12" i="16" s="1"/>
  <c r="G12" i="16" l="1"/>
  <c r="O12" i="16"/>
  <c r="H12" i="16"/>
  <c r="P12" i="16"/>
  <c r="I12" i="16"/>
  <c r="Q12" i="16"/>
  <c r="J12" i="16"/>
  <c r="R12" i="16"/>
  <c r="K12" i="16"/>
  <c r="N12" i="16"/>
  <c r="L12" i="16"/>
  <c r="F12" i="16"/>
  <c r="E12" i="16"/>
  <c r="M12" i="16"/>
  <c r="D14" i="16"/>
  <c r="C13" i="16"/>
  <c r="B13" i="16" s="1"/>
  <c r="A13" i="16" s="1"/>
  <c r="I13" i="16" l="1"/>
  <c r="Q13" i="16"/>
  <c r="J13" i="16"/>
  <c r="R13" i="16"/>
  <c r="K13" i="16"/>
  <c r="L13" i="16"/>
  <c r="P13" i="16"/>
  <c r="E13" i="16"/>
  <c r="M13" i="16"/>
  <c r="F13" i="16"/>
  <c r="N13" i="16"/>
  <c r="G13" i="16"/>
  <c r="O13" i="16"/>
  <c r="H13" i="16"/>
  <c r="D15" i="16"/>
  <c r="C14" i="16"/>
  <c r="B14" i="16" s="1"/>
  <c r="A14" i="16" s="1"/>
  <c r="F14" i="16" l="1"/>
  <c r="H14" i="16"/>
  <c r="J14" i="16"/>
  <c r="K14" i="16"/>
  <c r="L14" i="16"/>
  <c r="E14" i="16"/>
  <c r="M14" i="16"/>
  <c r="N14" i="16"/>
  <c r="G14" i="16"/>
  <c r="O14" i="16"/>
  <c r="R14" i="16"/>
  <c r="P14" i="16"/>
  <c r="I14" i="16"/>
  <c r="Q14" i="16"/>
  <c r="D16" i="16"/>
  <c r="C15" i="16"/>
  <c r="B15" i="16" s="1"/>
  <c r="A15" i="16" s="1"/>
  <c r="E15" i="16" l="1"/>
  <c r="M15" i="16"/>
  <c r="F15" i="16"/>
  <c r="N15" i="16"/>
  <c r="G15" i="16"/>
  <c r="O15" i="16"/>
  <c r="H15" i="16"/>
  <c r="P15" i="16"/>
  <c r="L15" i="16"/>
  <c r="I15" i="16"/>
  <c r="Q15" i="16"/>
  <c r="J15" i="16"/>
  <c r="R15" i="16"/>
  <c r="K15" i="16"/>
  <c r="D17" i="16"/>
  <c r="C16" i="16"/>
  <c r="B16" i="16" s="1"/>
  <c r="A16" i="16" s="1"/>
  <c r="J16" i="16" s="1"/>
  <c r="G16" i="16" l="1"/>
  <c r="O16" i="16"/>
  <c r="H16" i="16"/>
  <c r="P16" i="16"/>
  <c r="I16" i="16"/>
  <c r="Q16" i="16"/>
  <c r="R16" i="16"/>
  <c r="K16" i="16"/>
  <c r="N16" i="16"/>
  <c r="L16" i="16"/>
  <c r="E16" i="16"/>
  <c r="M16" i="16"/>
  <c r="F16" i="16"/>
  <c r="D18" i="16"/>
  <c r="C17" i="16"/>
  <c r="B17" i="16" s="1"/>
  <c r="A17" i="16" s="1"/>
  <c r="I17" i="16" l="1"/>
  <c r="Q17" i="16"/>
  <c r="J17" i="16"/>
  <c r="R17" i="16"/>
  <c r="K17" i="16"/>
  <c r="L17" i="16"/>
  <c r="P17" i="16"/>
  <c r="E17" i="16"/>
  <c r="M17" i="16"/>
  <c r="F17" i="16"/>
  <c r="N17" i="16"/>
  <c r="H17" i="16"/>
  <c r="G17" i="16"/>
  <c r="O17" i="16"/>
  <c r="D19" i="16"/>
  <c r="C18" i="16"/>
  <c r="B18" i="16" s="1"/>
  <c r="A18" i="16" s="1"/>
  <c r="K18" i="16" l="1"/>
  <c r="L18" i="16"/>
  <c r="E18" i="16"/>
  <c r="M18" i="16"/>
  <c r="F18" i="16"/>
  <c r="N18" i="16"/>
  <c r="G18" i="16"/>
  <c r="O18" i="16"/>
  <c r="J18" i="16"/>
  <c r="H18" i="16"/>
  <c r="P18" i="16"/>
  <c r="I18" i="16"/>
  <c r="Q18" i="16"/>
  <c r="R18" i="16"/>
  <c r="D20" i="16"/>
  <c r="C19" i="16"/>
  <c r="B19" i="16" s="1"/>
  <c r="A19" i="16" s="1"/>
  <c r="E19" i="16" l="1"/>
  <c r="M19" i="16"/>
  <c r="F19" i="16"/>
  <c r="N19" i="16"/>
  <c r="H19" i="16"/>
  <c r="P19" i="16"/>
  <c r="I19" i="16"/>
  <c r="Q19" i="16"/>
  <c r="J19" i="16"/>
  <c r="R19" i="16"/>
  <c r="L19" i="16"/>
  <c r="K19" i="16"/>
  <c r="O19" i="16"/>
  <c r="G19" i="16"/>
  <c r="D21" i="16"/>
  <c r="C20" i="16"/>
  <c r="B20" i="16" s="1"/>
  <c r="A20" i="16" s="1"/>
  <c r="G20" i="16" l="1"/>
  <c r="O20" i="16"/>
  <c r="H20" i="16"/>
  <c r="P20" i="16"/>
  <c r="J20" i="16"/>
  <c r="R20" i="16"/>
  <c r="F20" i="16"/>
  <c r="K20" i="16"/>
  <c r="N20" i="16"/>
  <c r="L20" i="16"/>
  <c r="E20" i="16"/>
  <c r="M20" i="16"/>
  <c r="I20" i="16"/>
  <c r="Q20" i="16"/>
  <c r="D22" i="16"/>
  <c r="C21" i="16"/>
  <c r="B21" i="16" s="1"/>
  <c r="A21" i="16" s="1"/>
  <c r="I21" i="16" l="1"/>
  <c r="Q21" i="16"/>
  <c r="J21" i="16"/>
  <c r="R21" i="16"/>
  <c r="L21" i="16"/>
  <c r="P21" i="16"/>
  <c r="E21" i="16"/>
  <c r="M21" i="16"/>
  <c r="F21" i="16"/>
  <c r="N21" i="16"/>
  <c r="H21" i="16"/>
  <c r="G21" i="16"/>
  <c r="O21" i="16"/>
  <c r="K21" i="16"/>
  <c r="D23" i="16"/>
  <c r="C22" i="16"/>
  <c r="B22" i="16" s="1"/>
  <c r="A22" i="16" s="1"/>
  <c r="K22" i="16" l="1"/>
  <c r="L22" i="16"/>
  <c r="F22" i="16"/>
  <c r="N22" i="16"/>
  <c r="G22" i="16"/>
  <c r="O22" i="16"/>
  <c r="J22" i="16"/>
  <c r="H22" i="16"/>
  <c r="P22" i="16"/>
  <c r="I22" i="16"/>
  <c r="Q22" i="16"/>
  <c r="R22" i="16"/>
  <c r="E22" i="16"/>
  <c r="M22" i="16"/>
  <c r="D24" i="16"/>
  <c r="C23" i="16"/>
  <c r="B23" i="16" s="1"/>
  <c r="A23" i="16" s="1"/>
  <c r="E23" i="16" l="1"/>
  <c r="M23" i="16"/>
  <c r="F23" i="16"/>
  <c r="N23" i="16"/>
  <c r="H23" i="16"/>
  <c r="P23" i="16"/>
  <c r="I23" i="16"/>
  <c r="Q23" i="16"/>
  <c r="J23" i="16"/>
  <c r="R23" i="16"/>
  <c r="L23" i="16"/>
  <c r="K23" i="16"/>
  <c r="O23" i="16"/>
  <c r="G23" i="16"/>
  <c r="D25" i="16"/>
  <c r="C24" i="16"/>
  <c r="B24" i="16" s="1"/>
  <c r="A24" i="16" s="1"/>
  <c r="G24" i="16" l="1"/>
  <c r="O24" i="16"/>
  <c r="H24" i="16"/>
  <c r="P24" i="16"/>
  <c r="J24" i="16"/>
  <c r="R24" i="16"/>
  <c r="N24" i="16"/>
  <c r="K24" i="16"/>
  <c r="F24" i="16"/>
  <c r="L24" i="16"/>
  <c r="E24" i="16"/>
  <c r="M24" i="16"/>
  <c r="I24" i="16"/>
  <c r="Q24" i="16"/>
  <c r="D26" i="16"/>
  <c r="C25" i="16"/>
  <c r="B25" i="16" s="1"/>
  <c r="A25" i="16" s="1"/>
  <c r="I25" i="16" l="1"/>
  <c r="Q25" i="16"/>
  <c r="J25" i="16"/>
  <c r="R25" i="16"/>
  <c r="L25" i="16"/>
  <c r="E25" i="16"/>
  <c r="M25" i="16"/>
  <c r="P25" i="16"/>
  <c r="F25" i="16"/>
  <c r="N25" i="16"/>
  <c r="H25" i="16"/>
  <c r="G25" i="16"/>
  <c r="O25" i="16"/>
  <c r="K25" i="16"/>
  <c r="D27" i="16"/>
  <c r="C26" i="16"/>
  <c r="B26" i="16" s="1"/>
  <c r="A26" i="16" s="1"/>
  <c r="K26" i="16" l="1"/>
  <c r="L26" i="16"/>
  <c r="F26" i="16"/>
  <c r="N26" i="16"/>
  <c r="G26" i="16"/>
  <c r="O26" i="16"/>
  <c r="R26" i="16"/>
  <c r="H26" i="16"/>
  <c r="P26" i="16"/>
  <c r="I26" i="16"/>
  <c r="Q26" i="16"/>
  <c r="J26" i="16"/>
  <c r="E26" i="16"/>
  <c r="M26" i="16"/>
  <c r="D28" i="16"/>
  <c r="C27" i="16"/>
  <c r="B27" i="16" s="1"/>
  <c r="A27" i="16" s="1"/>
  <c r="E27" i="16" l="1"/>
  <c r="M27" i="16"/>
  <c r="F27" i="16"/>
  <c r="N27" i="16"/>
  <c r="H27" i="16"/>
  <c r="P27" i="16"/>
  <c r="I27" i="16"/>
  <c r="Q27" i="16"/>
  <c r="J27" i="16"/>
  <c r="R27" i="16"/>
  <c r="K27" i="16"/>
  <c r="O27" i="16"/>
  <c r="L27" i="16"/>
  <c r="G27" i="16"/>
  <c r="D29" i="16"/>
  <c r="C28" i="16"/>
  <c r="B28" i="16" s="1"/>
  <c r="A28" i="16" s="1"/>
  <c r="G28" i="16" l="1"/>
  <c r="O28" i="16"/>
  <c r="H28" i="16"/>
  <c r="P28" i="16"/>
  <c r="J28" i="16"/>
  <c r="R28" i="16"/>
  <c r="K28" i="16"/>
  <c r="L28" i="16"/>
  <c r="E28" i="16"/>
  <c r="M28" i="16"/>
  <c r="F28" i="16"/>
  <c r="I28" i="16"/>
  <c r="N28" i="16"/>
  <c r="Q28" i="16"/>
  <c r="D30" i="16"/>
  <c r="C29" i="16"/>
  <c r="B29" i="16" s="1"/>
  <c r="A29" i="16" s="1"/>
  <c r="I29" i="16" l="1"/>
  <c r="Q29" i="16"/>
  <c r="J29" i="16"/>
  <c r="R29" i="16"/>
  <c r="L29" i="16"/>
  <c r="O29" i="16"/>
  <c r="E29" i="16"/>
  <c r="M29" i="16"/>
  <c r="G29" i="16"/>
  <c r="F29" i="16"/>
  <c r="N29" i="16"/>
  <c r="P29" i="16"/>
  <c r="H29" i="16"/>
  <c r="K29" i="16"/>
  <c r="D31" i="16"/>
  <c r="D32" i="16" s="1"/>
  <c r="C30" i="16"/>
  <c r="B30" i="16" s="1"/>
  <c r="A30" i="16" s="1"/>
  <c r="K30" i="16" l="1"/>
  <c r="L30" i="16"/>
  <c r="F30" i="16"/>
  <c r="N30" i="16"/>
  <c r="G30" i="16"/>
  <c r="O30" i="16"/>
  <c r="P30" i="16"/>
  <c r="H30" i="16"/>
  <c r="Q30" i="16"/>
  <c r="I30" i="16"/>
  <c r="J30" i="16"/>
  <c r="M30" i="16"/>
  <c r="R30" i="16"/>
  <c r="E30" i="16"/>
  <c r="C31" i="16"/>
  <c r="B31" i="16" s="1"/>
  <c r="A31" i="16" s="1"/>
  <c r="E31" i="16" l="1"/>
  <c r="M31" i="16"/>
  <c r="F31" i="16"/>
  <c r="N31" i="16"/>
  <c r="H31" i="16"/>
  <c r="P31" i="16"/>
  <c r="I31" i="16"/>
  <c r="Q31" i="16"/>
  <c r="R31" i="16"/>
  <c r="J31" i="16"/>
  <c r="K31" i="16"/>
  <c r="G31" i="16"/>
  <c r="L31" i="16"/>
  <c r="O31" i="16"/>
  <c r="C32" i="16"/>
  <c r="B32" i="16" s="1"/>
  <c r="A32" i="16" s="1"/>
  <c r="M32" i="16" l="1"/>
  <c r="O32" i="16"/>
  <c r="R32" i="16"/>
  <c r="N32" i="16"/>
  <c r="F32" i="16"/>
  <c r="L32" i="16"/>
  <c r="E32" i="16"/>
  <c r="G32" i="16"/>
  <c r="H32" i="16"/>
  <c r="J32" i="16"/>
  <c r="P32" i="16"/>
  <c r="K32" i="16"/>
  <c r="Q32" i="16"/>
  <c r="I32" i="16"/>
</calcChain>
</file>

<file path=xl/sharedStrings.xml><?xml version="1.0" encoding="utf-8"?>
<sst xmlns="http://schemas.openxmlformats.org/spreadsheetml/2006/main" count="594" uniqueCount="160">
  <si>
    <t>Date</t>
  </si>
  <si>
    <t>3/5</t>
  </si>
  <si>
    <t>4/5</t>
  </si>
  <si>
    <t>MES CHAUFFEURS</t>
  </si>
  <si>
    <t xml:space="preserve">Email </t>
  </si>
  <si>
    <t>ASR Contacts</t>
  </si>
  <si>
    <t>Adresse du dépôt</t>
  </si>
  <si>
    <t>ANNEE</t>
  </si>
  <si>
    <t>CLE UNIQUE</t>
  </si>
  <si>
    <t>1Mer</t>
  </si>
  <si>
    <t>1Jeu</t>
  </si>
  <si>
    <t>1Ven</t>
  </si>
  <si>
    <t>1Sam</t>
  </si>
  <si>
    <t>1Dim</t>
  </si>
  <si>
    <t>2Lun</t>
  </si>
  <si>
    <t>2Mar</t>
  </si>
  <si>
    <t>2Mer</t>
  </si>
  <si>
    <t>2Jeu</t>
  </si>
  <si>
    <t>2Ven</t>
  </si>
  <si>
    <t>2Sam</t>
  </si>
  <si>
    <t>2Dim</t>
  </si>
  <si>
    <t>3Lun</t>
  </si>
  <si>
    <t>3Mar</t>
  </si>
  <si>
    <t>3Mer</t>
  </si>
  <si>
    <t>3Jeu</t>
  </si>
  <si>
    <t>3Ven</t>
  </si>
  <si>
    <t>3Sam</t>
  </si>
  <si>
    <t>3Dim</t>
  </si>
  <si>
    <t>4Lun</t>
  </si>
  <si>
    <t>4Mar</t>
  </si>
  <si>
    <t>4Mer</t>
  </si>
  <si>
    <t>4Jeu</t>
  </si>
  <si>
    <t>4Ven</t>
  </si>
  <si>
    <t>4Sam</t>
  </si>
  <si>
    <t>4Dim</t>
  </si>
  <si>
    <t>5Lun</t>
  </si>
  <si>
    <t>5Mar</t>
  </si>
  <si>
    <t>5Mer</t>
  </si>
  <si>
    <t>5Jeu</t>
  </si>
  <si>
    <t>5Ven</t>
  </si>
  <si>
    <t>1Mar</t>
  </si>
  <si>
    <t>1Lun</t>
  </si>
  <si>
    <t>5Sam</t>
  </si>
  <si>
    <t>5Dim</t>
  </si>
  <si>
    <t xml:space="preserve"> </t>
  </si>
  <si>
    <t>CONSIGNES D'UTILISATION</t>
  </si>
  <si>
    <t>Chauffeur 1</t>
  </si>
  <si>
    <t>Chauffeur 2</t>
  </si>
  <si>
    <t>Chauffeur 3</t>
  </si>
  <si>
    <t>Chauffeur 4</t>
  </si>
  <si>
    <t>Chauffeur 5</t>
  </si>
  <si>
    <t>Chauffeur 6</t>
  </si>
  <si>
    <t>Chauffeur 7</t>
  </si>
  <si>
    <t>Nom Prénom</t>
  </si>
  <si>
    <t>Adresse 1</t>
  </si>
  <si>
    <t>Adresse 2</t>
  </si>
  <si>
    <t>Adresse 3</t>
  </si>
  <si>
    <t>Adresse 4</t>
  </si>
  <si>
    <t>Adresse 5</t>
  </si>
  <si>
    <t>Adresse 6</t>
  </si>
  <si>
    <t>Adresse 7</t>
  </si>
  <si>
    <t>Immatriculation</t>
  </si>
  <si>
    <t>Immat 123 XX 76</t>
  </si>
  <si>
    <t>Immat 124 XX 77</t>
  </si>
  <si>
    <t>Immat 125 XX 78</t>
  </si>
  <si>
    <t>Immat 126 XX 79</t>
  </si>
  <si>
    <t>Immat 127 XX 80</t>
  </si>
  <si>
    <t>Immat 128 XX 81</t>
  </si>
  <si>
    <t>Immat 129 XX 82</t>
  </si>
  <si>
    <t>Contact 1</t>
  </si>
  <si>
    <t>Contact 2</t>
  </si>
  <si>
    <t>Contact 3</t>
  </si>
  <si>
    <t>Contact 4</t>
  </si>
  <si>
    <t>Contact 5</t>
  </si>
  <si>
    <t>Contact 6</t>
  </si>
  <si>
    <t>Contact 7</t>
  </si>
  <si>
    <t>Secteurs</t>
  </si>
  <si>
    <t>Secteur 1</t>
  </si>
  <si>
    <t>Secteur 2</t>
  </si>
  <si>
    <t>Secteur 3</t>
  </si>
  <si>
    <t>Secteur 4</t>
  </si>
  <si>
    <t>Secteur 5</t>
  </si>
  <si>
    <t>Secteur 6</t>
  </si>
  <si>
    <t>Secteur 7</t>
  </si>
  <si>
    <t>Titulaire</t>
  </si>
  <si>
    <t>OUI</t>
  </si>
  <si>
    <t>NON</t>
  </si>
  <si>
    <t>Matin - Chauffeur 1 - Soir</t>
  </si>
  <si>
    <r>
      <t xml:space="preserve">Matin - </t>
    </r>
    <r>
      <rPr>
        <b/>
        <sz val="10"/>
        <color theme="4"/>
        <rFont val="Arial"/>
        <family val="2"/>
      </rPr>
      <t>Chauffeur 1</t>
    </r>
    <r>
      <rPr>
        <b/>
        <sz val="10"/>
        <rFont val="Arial"/>
        <family val="2"/>
      </rPr>
      <t xml:space="preserve"> - Soir</t>
    </r>
  </si>
  <si>
    <r>
      <t xml:space="preserve">Matin - </t>
    </r>
    <r>
      <rPr>
        <b/>
        <sz val="10"/>
        <color theme="4"/>
        <rFont val="Arial"/>
        <family val="2"/>
      </rPr>
      <t>Chauffeur 2</t>
    </r>
    <r>
      <rPr>
        <b/>
        <sz val="10"/>
        <rFont val="Arial"/>
        <family val="2"/>
      </rPr>
      <t xml:space="preserve"> - Soir</t>
    </r>
  </si>
  <si>
    <r>
      <t xml:space="preserve">Matin - </t>
    </r>
    <r>
      <rPr>
        <b/>
        <sz val="10"/>
        <color theme="4"/>
        <rFont val="Arial"/>
        <family val="2"/>
      </rPr>
      <t>Chauffeur 3</t>
    </r>
    <r>
      <rPr>
        <b/>
        <sz val="10"/>
        <rFont val="Arial"/>
        <family val="2"/>
      </rPr>
      <t xml:space="preserve"> - Soir</t>
    </r>
  </si>
  <si>
    <r>
      <t xml:space="preserve">Matin - </t>
    </r>
    <r>
      <rPr>
        <b/>
        <sz val="10"/>
        <color theme="4"/>
        <rFont val="Arial"/>
        <family val="2"/>
      </rPr>
      <t>Chauffeur 4</t>
    </r>
    <r>
      <rPr>
        <b/>
        <sz val="10"/>
        <rFont val="Arial"/>
        <family val="2"/>
      </rPr>
      <t xml:space="preserve"> - Soir</t>
    </r>
  </si>
  <si>
    <r>
      <t xml:space="preserve">Matin - </t>
    </r>
    <r>
      <rPr>
        <b/>
        <sz val="10"/>
        <color theme="4"/>
        <rFont val="Arial"/>
        <family val="2"/>
      </rPr>
      <t>Chauffeur 5</t>
    </r>
    <r>
      <rPr>
        <b/>
        <sz val="10"/>
        <rFont val="Arial"/>
        <family val="2"/>
      </rPr>
      <t xml:space="preserve"> - Soir</t>
    </r>
  </si>
  <si>
    <r>
      <t xml:space="preserve">Matin - </t>
    </r>
    <r>
      <rPr>
        <b/>
        <sz val="10"/>
        <color theme="4"/>
        <rFont val="Arial"/>
        <family val="2"/>
      </rPr>
      <t>Chauffeur 6</t>
    </r>
    <r>
      <rPr>
        <b/>
        <sz val="10"/>
        <rFont val="Arial"/>
        <family val="2"/>
      </rPr>
      <t xml:space="preserve"> - Soir</t>
    </r>
  </si>
  <si>
    <r>
      <t xml:space="preserve">Matin - </t>
    </r>
    <r>
      <rPr>
        <b/>
        <sz val="10"/>
        <color theme="4"/>
        <rFont val="Arial"/>
        <family val="2"/>
      </rPr>
      <t>Chauffeur 7</t>
    </r>
    <r>
      <rPr>
        <b/>
        <sz val="10"/>
        <rFont val="Arial"/>
        <family val="2"/>
      </rPr>
      <t xml:space="preserve"> - Soir</t>
    </r>
  </si>
  <si>
    <t>Ville AA</t>
  </si>
  <si>
    <t>Ville BB</t>
  </si>
  <si>
    <t>Ville CC</t>
  </si>
  <si>
    <t>Ville DD</t>
  </si>
  <si>
    <t>Ville EE</t>
  </si>
  <si>
    <t>Ville FF</t>
  </si>
  <si>
    <t>Ville GG</t>
  </si>
  <si>
    <t>Ville KK</t>
  </si>
  <si>
    <t>Ville MM</t>
  </si>
  <si>
    <t>Ville LL</t>
  </si>
  <si>
    <t>Ville HH</t>
  </si>
  <si>
    <t>Ville NN</t>
  </si>
  <si>
    <t>Ville OO</t>
  </si>
  <si>
    <t>Ville PP</t>
  </si>
  <si>
    <t>Ville QQ</t>
  </si>
  <si>
    <t>Ville RR</t>
  </si>
  <si>
    <t>Ville SS</t>
  </si>
  <si>
    <t>Ville TT</t>
  </si>
  <si>
    <t>Ville UU</t>
  </si>
  <si>
    <t>Ville VV</t>
  </si>
  <si>
    <t>Ville WW</t>
  </si>
  <si>
    <t>Ville AB</t>
  </si>
  <si>
    <t>Ville AC</t>
  </si>
  <si>
    <t>Ville AD</t>
  </si>
  <si>
    <t>Ville AE</t>
  </si>
  <si>
    <t>Ville AF</t>
  </si>
  <si>
    <t>Ville AT</t>
  </si>
  <si>
    <t>Ville AP</t>
  </si>
  <si>
    <t>Ville AM</t>
  </si>
  <si>
    <t>Ville AQ</t>
  </si>
  <si>
    <t>Ville AR</t>
  </si>
  <si>
    <t>Ville AS</t>
  </si>
  <si>
    <t>Ville AJ</t>
  </si>
  <si>
    <t>Ville AW</t>
  </si>
  <si>
    <t>Ville AV</t>
  </si>
  <si>
    <t>Ville AX</t>
  </si>
  <si>
    <t>Ville BA</t>
  </si>
  <si>
    <t>Ville BC</t>
  </si>
  <si>
    <t>Ville BD</t>
  </si>
  <si>
    <t>Ville BE</t>
  </si>
  <si>
    <t>Ville BF</t>
  </si>
  <si>
    <t>Ville BG</t>
  </si>
  <si>
    <t>Ville BM</t>
  </si>
  <si>
    <t>Ville BN</t>
  </si>
  <si>
    <t>Ville BO</t>
  </si>
  <si>
    <t>Ville BZ</t>
  </si>
  <si>
    <t>Ville BS</t>
  </si>
  <si>
    <t>Ville BP</t>
  </si>
  <si>
    <t>Ville BQ</t>
  </si>
  <si>
    <t>Ville BX</t>
  </si>
  <si>
    <t>Ville BT</t>
  </si>
  <si>
    <t>Ville BH</t>
  </si>
  <si>
    <t>Ville BI</t>
  </si>
  <si>
    <t>Ville BJ</t>
  </si>
  <si>
    <t>Ville BK</t>
  </si>
  <si>
    <t>Ville BL</t>
  </si>
  <si>
    <t>Ville BR</t>
  </si>
  <si>
    <t>Ville BU</t>
  </si>
  <si>
    <t>Matin - Chauffeur 2 - Soir</t>
  </si>
  <si>
    <t>Matin - Chauffeur 3 - Soir</t>
  </si>
  <si>
    <t>Matin - Chauffeur 4 - Soir</t>
  </si>
  <si>
    <t>Matin - Chauffeur 5 - Soir</t>
  </si>
  <si>
    <t>Matin - Chauffeur 6 - Soir</t>
  </si>
  <si>
    <t>Matin - Chauffeur 7 - Soir</t>
  </si>
  <si>
    <t>PLANNING 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</si>
</sst>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m\-yyyy"/>
  </numFmts>
  <fonts count="13" x14ac:knownFonts="1"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b/>
      <sz val="20"/>
      <name val="Agency FB"/>
      <family val="2"/>
    </font>
    <font>
      <sz val="11"/>
      <color theme="1"/>
      <name val="Calibri"/>
      <family val="2"/>
    </font>
    <font>
      <b/>
      <sz val="10"/>
      <color theme="0"/>
      <name val="Arial"/>
      <family val="2"/>
    </font>
    <font>
      <b/>
      <sz val="14"/>
      <color indexed="8"/>
      <name val="Calibri"/>
      <family val="2"/>
    </font>
    <font>
      <b/>
      <sz val="16"/>
      <color rgb="FFFF0000"/>
      <name val="Calibri"/>
      <family val="2"/>
    </font>
    <font>
      <sz val="8"/>
      <name val="Calibri"/>
      <family val="2"/>
    </font>
    <font>
      <sz val="10"/>
      <color theme="1"/>
      <name val="Arial"/>
      <family val="2"/>
    </font>
    <font>
      <b/>
      <sz val="10"/>
      <color theme="4"/>
      <name val="Arial"/>
      <family val="2"/>
    </font>
    <font>
      <b/>
      <sz val="20"/>
      <color theme="4"/>
      <name val="Agency FB"/>
      <family val="2"/>
    </font>
    <font>
      <b/>
      <sz val="16"/>
      <color theme="9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51"/>
      </patternFill>
    </fill>
    <fill>
      <patternFill patternType="solid">
        <fgColor theme="9" tint="0.79998168889431442"/>
        <bgColor indexed="41"/>
      </patternFill>
    </fill>
    <fill>
      <patternFill patternType="solid">
        <fgColor theme="2"/>
        <bgColor indexed="64"/>
      </patternFill>
    </fill>
    <fill>
      <patternFill patternType="solid">
        <fgColor theme="2"/>
        <bgColor indexed="26"/>
      </patternFill>
    </fill>
  </fills>
  <borders count="1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dashed">
        <color auto="1"/>
      </bottom>
      <diagonal/>
    </border>
    <border>
      <left/>
      <right style="thin">
        <color indexed="64"/>
      </right>
      <top style="thin">
        <color indexed="64"/>
      </top>
      <bottom style="dashed">
        <color auto="1"/>
      </bottom>
      <diagonal/>
    </border>
    <border>
      <left/>
      <right/>
      <top style="thin">
        <color indexed="64"/>
      </top>
      <bottom style="dashed">
        <color auto="1"/>
      </bottom>
      <diagonal/>
    </border>
    <border>
      <left style="thin">
        <color indexed="64"/>
      </left>
      <right/>
      <top style="dashed">
        <color auto="1"/>
      </top>
      <bottom style="dashed">
        <color auto="1"/>
      </bottom>
      <diagonal/>
    </border>
    <border>
      <left style="dotted">
        <color auto="1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applyFill="1"/>
    <xf numFmtId="0" fontId="0" fillId="0" borderId="0" xfId="0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49" fontId="0" fillId="6" borderId="8" xfId="0" applyNumberForma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49" fontId="6" fillId="0" borderId="9" xfId="0" applyNumberFormat="1" applyFont="1" applyBorder="1" applyAlignment="1">
      <alignment horizontal="center" vertical="center"/>
    </xf>
    <xf numFmtId="49" fontId="6" fillId="6" borderId="9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4" fillId="0" borderId="0" xfId="0" applyFont="1" applyFill="1"/>
    <xf numFmtId="0" fontId="4" fillId="0" borderId="0" xfId="0" applyFont="1" applyFill="1" applyAlignment="1">
      <alignment horizontal="left"/>
    </xf>
    <xf numFmtId="0" fontId="4" fillId="0" borderId="0" xfId="0" applyFont="1" applyFill="1" applyAlignment="1">
      <alignment horizontal="center"/>
    </xf>
    <xf numFmtId="0" fontId="9" fillId="0" borderId="0" xfId="0" applyFont="1" applyFill="1" applyAlignment="1">
      <alignment horizontal="center"/>
    </xf>
    <xf numFmtId="0" fontId="6" fillId="9" borderId="0" xfId="0" applyFont="1" applyFill="1" applyAlignment="1">
      <alignment horizontal="center" vertical="center"/>
    </xf>
    <xf numFmtId="0" fontId="0" fillId="0" borderId="13" xfId="0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49" fontId="0" fillId="6" borderId="13" xfId="0" applyNumberFormat="1" applyFill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4" xfId="0" applyNumberFormat="1" applyBorder="1" applyAlignment="1">
      <alignment horizontal="center" vertical="center"/>
    </xf>
    <xf numFmtId="49" fontId="0" fillId="6" borderId="14" xfId="0" applyNumberFormat="1" applyFill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6" borderId="15" xfId="0" applyNumberFormat="1" applyFill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 wrapText="1"/>
    </xf>
    <xf numFmtId="0" fontId="2" fillId="5" borderId="0" xfId="0" applyFont="1" applyFill="1" applyAlignment="1">
      <alignment horizontal="center" vertical="center"/>
    </xf>
    <xf numFmtId="16" fontId="1" fillId="14" borderId="17" xfId="0" applyNumberFormat="1" applyFont="1" applyFill="1" applyBorder="1" applyAlignment="1">
      <alignment horizontal="center" vertical="center"/>
    </xf>
    <xf numFmtId="16" fontId="1" fillId="14" borderId="1" xfId="0" applyNumberFormat="1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1" fillId="15" borderId="2" xfId="0" applyFont="1" applyFill="1" applyBorder="1" applyAlignment="1">
      <alignment horizontal="center" vertical="center"/>
    </xf>
    <xf numFmtId="0" fontId="2" fillId="15" borderId="1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  <xf numFmtId="0" fontId="7" fillId="16" borderId="5" xfId="0" applyFont="1" applyFill="1" applyBorder="1" applyAlignment="1" applyProtection="1">
      <alignment horizontal="center" vertical="center"/>
      <protection locked="0"/>
    </xf>
    <xf numFmtId="0" fontId="1" fillId="17" borderId="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6" fillId="16" borderId="0" xfId="0" applyFont="1" applyFill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5" fillId="7" borderId="16" xfId="0" applyFont="1" applyFill="1" applyBorder="1" applyAlignment="1">
      <alignment horizontal="center" vertical="center"/>
    </xf>
    <xf numFmtId="164" fontId="12" fillId="16" borderId="0" xfId="0" applyNumberFormat="1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10" borderId="7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11" borderId="6" xfId="0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5" fillId="12" borderId="6" xfId="0" applyFont="1" applyFill="1" applyBorder="1" applyAlignment="1">
      <alignment horizontal="center" vertical="center"/>
    </xf>
    <xf numFmtId="0" fontId="5" fillId="12" borderId="7" xfId="0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7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/>
    </xf>
  </cellXfs>
  <cellStyles count="1">
    <cellStyle name="Normal" xfId="0" builtinId="0"/>
  </cellStyles>
  <dxfs count="16"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9"/>
        </patternFill>
      </fill>
    </dxf>
    <dxf>
      <font>
        <b val="0"/>
        <i val="0"/>
        <color auto="1"/>
      </font>
      <fill>
        <patternFill>
          <bgColor theme="1" tint="0.499984740745262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theme="8" tint="0.79998168889431442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7F7F4C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CD4D1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00A65D"/>
      <rgbColor rgb="00003300"/>
      <rgbColor rgb="00333300"/>
      <rgbColor rgb="00993300"/>
      <rgbColor rgb="00993366"/>
      <rgbColor rgb="00333399"/>
      <rgbColor rgb="003F3F3F"/>
    </indexedColors>
    <mruColors>
      <color rgb="FFC4BD97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7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'LISTE CHAUFFEURS'!A1"/><Relationship Id="rId5" Type="http://schemas.openxmlformats.org/officeDocument/2006/relationships/hyperlink" Target="#TRAME!A1"/><Relationship Id="rId4" Type="http://schemas.openxmlformats.org/officeDocument/2006/relationships/hyperlink" Target="#'CALENDRIER BASE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svg"/><Relationship Id="rId2" Type="http://schemas.openxmlformats.org/officeDocument/2006/relationships/image" Target="../media/image5.png"/><Relationship Id="rId1" Type="http://schemas.openxmlformats.org/officeDocument/2006/relationships/hyperlink" Target="#MENU!A1"/><Relationship Id="rId5" Type="http://schemas.openxmlformats.org/officeDocument/2006/relationships/hyperlink" Target="https://pixabay.com/da/kalender-ikon-dag-m%C3%A5ned-dato-1487803/" TargetMode="External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svg"/><Relationship Id="rId2" Type="http://schemas.openxmlformats.org/officeDocument/2006/relationships/image" Target="../media/image8.png"/><Relationship Id="rId1" Type="http://schemas.openxmlformats.org/officeDocument/2006/relationships/hyperlink" Target="#MENU!A1"/><Relationship Id="rId6" Type="http://schemas.openxmlformats.org/officeDocument/2006/relationships/hyperlink" Target="https://pixabay.com/da/kalender-ikon-dag-m%C3%A5ned-dato-1487803/" TargetMode="External"/><Relationship Id="rId5" Type="http://schemas.openxmlformats.org/officeDocument/2006/relationships/image" Target="../media/image10.png"/><Relationship Id="rId4" Type="http://schemas.openxmlformats.org/officeDocument/2006/relationships/hyperlink" Target="#TRAM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svg"/><Relationship Id="rId2" Type="http://schemas.openxmlformats.org/officeDocument/2006/relationships/image" Target="../media/image8.png"/><Relationship Id="rId1" Type="http://schemas.openxmlformats.org/officeDocument/2006/relationships/hyperlink" Target="#MENU!A1"/><Relationship Id="rId6" Type="http://schemas.openxmlformats.org/officeDocument/2006/relationships/image" Target="../media/image11.png"/><Relationship Id="rId5" Type="http://schemas.openxmlformats.org/officeDocument/2006/relationships/hyperlink" Target="https://pixabay.com/da/kalender-ikon-dag-m%C3%A5ned-dato-1487803/" TargetMode="External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383179</xdr:colOff>
      <xdr:row>1</xdr:row>
      <xdr:rowOff>98228</xdr:rowOff>
    </xdr:from>
    <xdr:to>
      <xdr:col>18</xdr:col>
      <xdr:colOff>135529</xdr:colOff>
      <xdr:row>6</xdr:row>
      <xdr:rowOff>106393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2669179" y="288728"/>
          <a:ext cx="11182350" cy="960665"/>
        </a:xfrm>
        <a:prstGeom prst="roundRect">
          <a:avLst>
            <a:gd name="adj" fmla="val 50000"/>
          </a:avLst>
        </a:prstGeom>
        <a:solidFill>
          <a:srgbClr val="33CCCC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fr-FR" sz="6000" b="1" cap="none" spc="0">
              <a:ln w="0"/>
              <a:solidFill>
                <a:schemeClr val="accent4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gency FB" panose="020B0804020202020204" pitchFamily="34" charset="0"/>
            </a:rPr>
            <a:t>PLANNING HORAIRE CHAUFFEURS </a:t>
          </a:r>
        </a:p>
      </xdr:txBody>
    </xdr:sp>
    <xdr:clientData/>
  </xdr:twoCellAnchor>
  <xdr:twoCellAnchor editAs="oneCell">
    <xdr:from>
      <xdr:col>0</xdr:col>
      <xdr:colOff>155575</xdr:colOff>
      <xdr:row>1</xdr:row>
      <xdr:rowOff>32933</xdr:rowOff>
    </xdr:from>
    <xdr:to>
      <xdr:col>2</xdr:col>
      <xdr:colOff>754966</xdr:colOff>
      <xdr:row>10</xdr:row>
      <xdr:rowOff>66951</xdr:rowOff>
    </xdr:to>
    <xdr:pic>
      <xdr:nvPicPr>
        <xdr:cNvPr id="3" name="Image 2" descr="Image associé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575" y="223433"/>
          <a:ext cx="2123391" cy="17485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612589</xdr:colOff>
      <xdr:row>1</xdr:row>
      <xdr:rowOff>52916</xdr:rowOff>
    </xdr:from>
    <xdr:to>
      <xdr:col>21</xdr:col>
      <xdr:colOff>447259</xdr:colOff>
      <xdr:row>10</xdr:row>
      <xdr:rowOff>80530</xdr:rowOff>
    </xdr:to>
    <xdr:pic>
      <xdr:nvPicPr>
        <xdr:cNvPr id="4" name="Image 3" descr="Image associé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28589" y="243416"/>
          <a:ext cx="2120670" cy="17421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2117</xdr:colOff>
      <xdr:row>19</xdr:row>
      <xdr:rowOff>123826</xdr:rowOff>
    </xdr:from>
    <xdr:to>
      <xdr:col>6</xdr:col>
      <xdr:colOff>174641</xdr:colOff>
      <xdr:row>34</xdr:row>
      <xdr:rowOff>66675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1526117" y="3743326"/>
          <a:ext cx="3220524" cy="2800349"/>
          <a:chOff x="16848364" y="5527221"/>
          <a:chExt cx="3211239" cy="2800349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16848364" y="5527221"/>
            <a:ext cx="3211239" cy="2800349"/>
            <a:chOff x="704850" y="2950998"/>
            <a:chExt cx="5219700" cy="4165914"/>
          </a:xfrm>
        </xdr:grpSpPr>
        <xdr:sp macro="" textlink="">
          <xdr:nvSpPr>
            <xdr:cNvPr id="11" name="Rectangle : coins arrondis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704850" y="3219449"/>
              <a:ext cx="5219700" cy="3897463"/>
            </a:xfrm>
            <a:prstGeom prst="roundRect">
              <a:avLst/>
            </a:prstGeom>
            <a:noFill/>
            <a:ln w="63500" cmpd="thickThin">
              <a:solidFill>
                <a:srgbClr val="0070C0"/>
              </a:solidFill>
              <a:beve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2" name="ZoneTexte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1219030" y="2950998"/>
              <a:ext cx="3265069" cy="745687"/>
            </a:xfrm>
            <a:prstGeom prst="rect">
              <a:avLst/>
            </a:prstGeom>
            <a:solidFill>
              <a:schemeClr val="bg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200" b="0" cap="none" spc="0">
                  <a:ln w="0"/>
                  <a:solidFill>
                    <a:srgbClr val="7030A0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Arial Black" panose="020B0A04020102020204" pitchFamily="34" charset="0"/>
                </a:rPr>
                <a:t>MON</a:t>
              </a:r>
              <a:r>
                <a:rPr lang="fr-FR" sz="1200" b="0" cap="none" spc="0" baseline="0">
                  <a:ln w="0"/>
                  <a:solidFill>
                    <a:srgbClr val="7030A0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Arial Black" panose="020B0A04020102020204" pitchFamily="34" charset="0"/>
                </a:rPr>
                <a:t> PARAMETRAGE</a:t>
              </a:r>
              <a:endParaRPr lang="fr-FR" sz="1200" b="0" cap="none" spc="0">
                <a:ln w="0"/>
                <a:solidFill>
                  <a:srgbClr val="7030A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Arial Black" panose="020B0A04020102020204" pitchFamily="34" charset="0"/>
              </a:endParaRPr>
            </a:p>
          </xdr:txBody>
        </xdr:sp>
      </xdr:grpSp>
      <xdr:pic>
        <xdr:nvPicPr>
          <xdr:cNvPr id="8" name="Graphique 7" descr="Engrenag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9079983" y="5823904"/>
            <a:ext cx="764627" cy="750175"/>
          </a:xfrm>
          <a:prstGeom prst="rect">
            <a:avLst/>
          </a:prstGeom>
        </xdr:spPr>
      </xdr:pic>
      <xdr:sp macro="[0]!AfficheRuban" textlink="">
        <xdr:nvSpPr>
          <xdr:cNvPr id="9" name="Rectangle : coins arrondis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7318843" y="6606267"/>
            <a:ext cx="2019957" cy="572157"/>
          </a:xfrm>
          <a:prstGeom prst="roundRect">
            <a:avLst/>
          </a:prstGeom>
          <a:solidFill>
            <a:schemeClr val="accent5">
              <a:lumMod val="5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solidFill>
                  <a:schemeClr val="bg1"/>
                </a:solidFill>
                <a:latin typeface="Agency FB" panose="020B0503020202020204" pitchFamily="34" charset="0"/>
              </a:rPr>
              <a:t>Affiche</a:t>
            </a:r>
            <a:r>
              <a:rPr lang="fr-FR" sz="2400" b="1" baseline="0">
                <a:solidFill>
                  <a:schemeClr val="bg1"/>
                </a:solidFill>
                <a:latin typeface="Agency FB" panose="020B0503020202020204" pitchFamily="34" charset="0"/>
              </a:rPr>
              <a:t> RUBAN</a:t>
            </a:r>
            <a:endParaRPr lang="fr-FR" sz="2400" b="1">
              <a:solidFill>
                <a:schemeClr val="bg1"/>
              </a:solidFill>
              <a:latin typeface="Agency FB" panose="020B0503020202020204" pitchFamily="34" charset="0"/>
            </a:endParaRPr>
          </a:p>
        </xdr:txBody>
      </xdr:sp>
      <xdr:sp macro="[0]!MasqueRuban" textlink="">
        <xdr:nvSpPr>
          <xdr:cNvPr id="10" name="Rectangle : coins arrondis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17347418" y="7489793"/>
            <a:ext cx="2019957" cy="543583"/>
          </a:xfrm>
          <a:prstGeom prst="roundRect">
            <a:avLst/>
          </a:prstGeom>
          <a:solidFill>
            <a:schemeClr val="accent5">
              <a:lumMod val="5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solidFill>
                  <a:schemeClr val="bg1"/>
                </a:solidFill>
                <a:latin typeface="Agency FB" panose="020B0503020202020204" pitchFamily="34" charset="0"/>
              </a:rPr>
              <a:t>Masque</a:t>
            </a:r>
            <a:r>
              <a:rPr lang="fr-FR" sz="2400" b="1" baseline="0">
                <a:solidFill>
                  <a:schemeClr val="bg1"/>
                </a:solidFill>
                <a:latin typeface="Agency FB" panose="020B0503020202020204" pitchFamily="34" charset="0"/>
              </a:rPr>
              <a:t> RUBAN</a:t>
            </a:r>
            <a:endParaRPr lang="fr-FR" sz="2400" b="1">
              <a:solidFill>
                <a:schemeClr val="bg1"/>
              </a:solidFill>
              <a:latin typeface="Agency FB" panose="020B0503020202020204" pitchFamily="34" charset="0"/>
            </a:endParaRPr>
          </a:p>
        </xdr:txBody>
      </xdr:sp>
    </xdr:grpSp>
    <xdr:clientData fPrintsWithSheet="0"/>
  </xdr:twoCellAnchor>
  <xdr:twoCellAnchor>
    <xdr:from>
      <xdr:col>4</xdr:col>
      <xdr:colOff>704850</xdr:colOff>
      <xdr:row>9</xdr:row>
      <xdr:rowOff>178858</xdr:rowOff>
    </xdr:from>
    <xdr:to>
      <xdr:col>8</xdr:col>
      <xdr:colOff>57870</xdr:colOff>
      <xdr:row>14</xdr:row>
      <xdr:rowOff>177498</xdr:rowOff>
    </xdr:to>
    <xdr:sp macro="" textlink="">
      <xdr:nvSpPr>
        <xdr:cNvPr id="13" name="Rectangle : coins arrondis 12">
          <a:hlinkClick xmlns:r="http://schemas.openxmlformats.org/officeDocument/2006/relationships" r:id="rId4" tooltip="Accès au Calendrier Base 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 bwMode="auto">
        <a:xfrm>
          <a:off x="3752850" y="1893358"/>
          <a:ext cx="2401020" cy="951140"/>
        </a:xfrm>
        <a:prstGeom prst="roundRect">
          <a:avLst>
            <a:gd name="adj" fmla="val 30769"/>
          </a:avLst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fr-FR" sz="1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CALENDRIER BASE</a:t>
          </a:r>
        </a:p>
      </xdr:txBody>
    </xdr:sp>
    <xdr:clientData/>
  </xdr:twoCellAnchor>
  <xdr:twoCellAnchor>
    <xdr:from>
      <xdr:col>8</xdr:col>
      <xdr:colOff>740833</xdr:colOff>
      <xdr:row>9</xdr:row>
      <xdr:rowOff>161925</xdr:rowOff>
    </xdr:from>
    <xdr:to>
      <xdr:col>12</xdr:col>
      <xdr:colOff>93853</xdr:colOff>
      <xdr:row>14</xdr:row>
      <xdr:rowOff>160565</xdr:rowOff>
    </xdr:to>
    <xdr:sp macro="" textlink="">
      <xdr:nvSpPr>
        <xdr:cNvPr id="14" name="Rectangle : coins arrondis 13">
          <a:hlinkClick xmlns:r="http://schemas.openxmlformats.org/officeDocument/2006/relationships" r:id="rId5" tooltip="Accès au Calendrier Trame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 bwMode="auto">
        <a:xfrm>
          <a:off x="6836833" y="1876425"/>
          <a:ext cx="2401020" cy="951140"/>
        </a:xfrm>
        <a:prstGeom prst="roundRect">
          <a:avLst>
            <a:gd name="adj" fmla="val 30769"/>
          </a:avLst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fr-FR" sz="1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CALENDRIER TRAME</a:t>
          </a:r>
        </a:p>
      </xdr:txBody>
    </xdr:sp>
    <xdr:clientData/>
  </xdr:twoCellAnchor>
  <xdr:twoCellAnchor>
    <xdr:from>
      <xdr:col>12</xdr:col>
      <xdr:colOff>687916</xdr:colOff>
      <xdr:row>9</xdr:row>
      <xdr:rowOff>161925</xdr:rowOff>
    </xdr:from>
    <xdr:to>
      <xdr:col>16</xdr:col>
      <xdr:colOff>40936</xdr:colOff>
      <xdr:row>14</xdr:row>
      <xdr:rowOff>160565</xdr:rowOff>
    </xdr:to>
    <xdr:sp macro="" textlink="">
      <xdr:nvSpPr>
        <xdr:cNvPr id="15" name="Rectangle : coins arrondis 14">
          <a:hlinkClick xmlns:r="http://schemas.openxmlformats.org/officeDocument/2006/relationships" r:id="rId6" tooltip="Accès à la liste des Chauffeurs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 bwMode="auto">
        <a:xfrm>
          <a:off x="9831916" y="1876425"/>
          <a:ext cx="2401020" cy="951140"/>
        </a:xfrm>
        <a:prstGeom prst="roundRect">
          <a:avLst>
            <a:gd name="adj" fmla="val 30769"/>
          </a:avLst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fr-FR" sz="1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LISTE CHAUFFEURS</a:t>
          </a:r>
        </a:p>
      </xdr:txBody>
    </xdr:sp>
    <xdr:clientData/>
  </xdr:twoCellAnchor>
  <xdr:twoCellAnchor editAs="oneCell">
    <xdr:from>
      <xdr:col>14</xdr:col>
      <xdr:colOff>158749</xdr:colOff>
      <xdr:row>19</xdr:row>
      <xdr:rowOff>1861</xdr:rowOff>
    </xdr:from>
    <xdr:to>
      <xdr:col>18</xdr:col>
      <xdr:colOff>21166</xdr:colOff>
      <xdr:row>31</xdr:row>
      <xdr:rowOff>80575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AB5DB212-E004-4D7A-BE00-471BE8487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26749" y="3621361"/>
          <a:ext cx="2910417" cy="2364714"/>
        </a:xfrm>
        <a:prstGeom prst="rect">
          <a:avLst/>
        </a:prstGeom>
      </xdr:spPr>
    </xdr:pic>
    <xdr:clientData/>
  </xdr:twoCellAnchor>
  <xdr:twoCellAnchor>
    <xdr:from>
      <xdr:col>13</xdr:col>
      <xdr:colOff>42332</xdr:colOff>
      <xdr:row>31</xdr:row>
      <xdr:rowOff>63501</xdr:rowOff>
    </xdr:from>
    <xdr:to>
      <xdr:col>19</xdr:col>
      <xdr:colOff>31749</xdr:colOff>
      <xdr:row>36</xdr:row>
      <xdr:rowOff>148167</xdr:rowOff>
    </xdr:to>
    <xdr:sp macro="" textlink="">
      <xdr:nvSpPr>
        <xdr:cNvPr id="18" name="ZoneTexte 17">
          <a:extLst>
            <a:ext uri="{FF2B5EF4-FFF2-40B4-BE49-F238E27FC236}">
              <a16:creationId xmlns:a16="http://schemas.microsoft.com/office/drawing/2014/main" id="{9A63C275-E698-4177-BB09-C9EBBDBA27A0}"/>
            </a:ext>
          </a:extLst>
        </xdr:cNvPr>
        <xdr:cNvSpPr txBox="1"/>
      </xdr:nvSpPr>
      <xdr:spPr>
        <a:xfrm>
          <a:off x="9948332" y="5969001"/>
          <a:ext cx="4561417" cy="1037166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4000" b="1" cap="none" spc="0">
              <a:ln w="0"/>
              <a:solidFill>
                <a:schemeClr val="accent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gency FB" panose="020B0804020202020204" pitchFamily="34" charset="0"/>
            </a:rPr>
            <a:t>WWW.LEARNACCESS.FR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85045</xdr:colOff>
      <xdr:row>0</xdr:row>
      <xdr:rowOff>170090</xdr:rowOff>
    </xdr:from>
    <xdr:to>
      <xdr:col>21</xdr:col>
      <xdr:colOff>665994</xdr:colOff>
      <xdr:row>5</xdr:row>
      <xdr:rowOff>174365</xdr:rowOff>
    </xdr:to>
    <xdr:grpSp>
      <xdr:nvGrpSpPr>
        <xdr:cNvPr id="2" name="Groupe 1">
          <a:hlinkClick xmlns:r="http://schemas.openxmlformats.org/officeDocument/2006/relationships" r:id="rId1" tooltip="Retour au Menu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14117411" y="170090"/>
          <a:ext cx="1312333" cy="1177891"/>
          <a:chOff x="14890749" y="6307666"/>
          <a:chExt cx="1312333" cy="1481670"/>
        </a:xfrm>
      </xdr:grpSpPr>
      <xdr:pic>
        <xdr:nvPicPr>
          <xdr:cNvPr id="3" name="Graphique 2" descr="Calendrier mensuel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4890749" y="6307666"/>
            <a:ext cx="1312333" cy="1312333"/>
          </a:xfrm>
          <a:prstGeom prst="rect">
            <a:avLst/>
          </a:prstGeom>
        </xdr:spPr>
      </xdr:pic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15081251" y="7440086"/>
            <a:ext cx="920750" cy="349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400" b="1">
                <a:solidFill>
                  <a:schemeClr val="accent1">
                    <a:lumMod val="50000"/>
                  </a:schemeClr>
                </a:solidFill>
                <a:latin typeface="Agency FB" panose="020B0503020202020204" pitchFamily="34" charset="0"/>
              </a:rPr>
              <a:t>MENU</a:t>
            </a:r>
          </a:p>
        </xdr:txBody>
      </xdr:sp>
    </xdr:grpSp>
    <xdr:clientData/>
  </xdr:twoCellAnchor>
  <xdr:twoCellAnchor editAs="oneCell">
    <xdr:from>
      <xdr:col>20</xdr:col>
      <xdr:colOff>9925</xdr:colOff>
      <xdr:row>11</xdr:row>
      <xdr:rowOff>17007</xdr:rowOff>
    </xdr:from>
    <xdr:to>
      <xdr:col>22</xdr:col>
      <xdr:colOff>138873</xdr:colOff>
      <xdr:row>18</xdr:row>
      <xdr:rowOff>133349</xdr:rowOff>
    </xdr:to>
    <xdr:pic macro="[0]!ConfigureFeuilleMois">
      <xdr:nvPicPr>
        <xdr:cNvPr id="8" name="Image 7">
          <a:extLst>
            <a:ext uri="{FF2B5EF4-FFF2-40B4-BE49-F238E27FC236}">
              <a16:creationId xmlns:a16="http://schemas.microsoft.com/office/drawing/2014/main" id="{784D4CCF-0667-4583-A3F2-33A8FDFF4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14042291" y="2610869"/>
          <a:ext cx="1591716" cy="172368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371475</xdr:colOff>
      <xdr:row>33</xdr:row>
      <xdr:rowOff>161925</xdr:rowOff>
    </xdr:from>
    <xdr:to>
      <xdr:col>18</xdr:col>
      <xdr:colOff>314325</xdr:colOff>
      <xdr:row>35</xdr:row>
      <xdr:rowOff>66675</xdr:rowOff>
    </xdr:to>
    <xdr:sp macro="" textlink="">
      <xdr:nvSpPr>
        <xdr:cNvPr id="31" name="ZoneTexte 2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>
          <a:spLocks noChangeArrowheads="1"/>
        </xdr:cNvSpPr>
      </xdr:nvSpPr>
      <xdr:spPr bwMode="auto">
        <a:xfrm>
          <a:off x="13439775" y="10401300"/>
          <a:ext cx="933450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16</xdr:col>
      <xdr:colOff>371475</xdr:colOff>
      <xdr:row>19</xdr:row>
      <xdr:rowOff>161925</xdr:rowOff>
    </xdr:from>
    <xdr:to>
      <xdr:col>17</xdr:col>
      <xdr:colOff>314325</xdr:colOff>
      <xdr:row>21</xdr:row>
      <xdr:rowOff>66675</xdr:rowOff>
    </xdr:to>
    <xdr:sp macro="" textlink="">
      <xdr:nvSpPr>
        <xdr:cNvPr id="32" name="ZoneTexte 2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 txBox="1">
          <a:spLocks noChangeArrowheads="1"/>
        </xdr:cNvSpPr>
      </xdr:nvSpPr>
      <xdr:spPr bwMode="auto">
        <a:xfrm>
          <a:off x="13439775" y="10401300"/>
          <a:ext cx="933450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17</xdr:col>
      <xdr:colOff>428625</xdr:colOff>
      <xdr:row>0</xdr:row>
      <xdr:rowOff>152399</xdr:rowOff>
    </xdr:from>
    <xdr:to>
      <xdr:col>21</xdr:col>
      <xdr:colOff>638175</xdr:colOff>
      <xdr:row>7</xdr:row>
      <xdr:rowOff>38099</xdr:rowOff>
    </xdr:to>
    <xdr:sp macro="" textlink="">
      <xdr:nvSpPr>
        <xdr:cNvPr id="53" name="Rectangle : coins arrondis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 bwMode="auto">
        <a:xfrm>
          <a:off x="13792200" y="152399"/>
          <a:ext cx="3257550" cy="2200275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fr-FR" sz="3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gency FB" panose="020B0804020202020204" pitchFamily="34" charset="0"/>
            </a:rPr>
            <a:t>PLANNING DES TOURNEES </a:t>
          </a:r>
          <a:r>
            <a:rPr lang="fr-FR" sz="36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gency FB" panose="020B0804020202020204" pitchFamily="34" charset="0"/>
            </a:rPr>
            <a:t>DES CHAUFFEURS</a:t>
          </a:r>
          <a:endParaRPr lang="fr-FR" sz="3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gency FB" panose="020B0804020202020204" pitchFamily="34" charset="0"/>
          </a:endParaRPr>
        </a:p>
      </xdr:txBody>
    </xdr:sp>
    <xdr:clientData/>
  </xdr:twoCellAnchor>
  <xdr:twoCellAnchor>
    <xdr:from>
      <xdr:col>17</xdr:col>
      <xdr:colOff>238125</xdr:colOff>
      <xdr:row>8</xdr:row>
      <xdr:rowOff>266700</xdr:rowOff>
    </xdr:from>
    <xdr:to>
      <xdr:col>21</xdr:col>
      <xdr:colOff>457200</xdr:colOff>
      <xdr:row>16</xdr:row>
      <xdr:rowOff>323850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13096875" y="2184400"/>
          <a:ext cx="3267075" cy="1947333"/>
          <a:chOff x="13973175" y="3400425"/>
          <a:chExt cx="3267075" cy="2743200"/>
        </a:xfrm>
      </xdr:grpSpPr>
      <xdr:sp macro="" textlink="">
        <xdr:nvSpPr>
          <xdr:cNvPr id="2" name="Flèche : pentagone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 bwMode="auto">
          <a:xfrm rot="10800000">
            <a:off x="13973175" y="3400425"/>
            <a:ext cx="3267075" cy="2743200"/>
          </a:xfrm>
          <a:prstGeom prst="homePlat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18288" tIns="0" rIns="0" bIns="0" rtlCol="0" anchor="ctr" upright="1"/>
          <a:lstStyle/>
          <a:p>
            <a:pPr algn="l"/>
            <a:endParaRPr lang="fr-FR" sz="1100"/>
          </a:p>
        </xdr:txBody>
      </xdr:sp>
      <xdr:sp macro="" textlink="">
        <xdr:nvSpPr>
          <xdr:cNvPr id="3" name="ZoneText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14916150" y="3438525"/>
            <a:ext cx="2295525" cy="26288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fr-FR" sz="2400" b="1">
                <a:latin typeface="Agency FB" panose="020B0804020202020204" pitchFamily="34" charset="0"/>
              </a:rPr>
              <a:t>Veuillez compléter le calendrier</a:t>
            </a:r>
            <a:r>
              <a:rPr lang="fr-FR" sz="2400" b="1" baseline="0">
                <a:latin typeface="Agency FB" panose="020B0804020202020204" pitchFamily="34" charset="0"/>
              </a:rPr>
              <a:t> des tournées normales des chauffeurs </a:t>
            </a:r>
            <a:endParaRPr lang="fr-FR" sz="2400" b="1">
              <a:latin typeface="Agency FB" panose="020B0804020202020204" pitchFamily="34" charset="0"/>
            </a:endParaRPr>
          </a:p>
        </xdr:txBody>
      </xdr:sp>
    </xdr:grpSp>
    <xdr:clientData/>
  </xdr:twoCellAnchor>
  <xdr:twoCellAnchor>
    <xdr:from>
      <xdr:col>22</xdr:col>
      <xdr:colOff>380999</xdr:colOff>
      <xdr:row>1</xdr:row>
      <xdr:rowOff>105832</xdr:rowOff>
    </xdr:from>
    <xdr:to>
      <xdr:col>24</xdr:col>
      <xdr:colOff>169332</xdr:colOff>
      <xdr:row>5</xdr:row>
      <xdr:rowOff>222250</xdr:rowOff>
    </xdr:to>
    <xdr:grpSp>
      <xdr:nvGrpSpPr>
        <xdr:cNvPr id="9" name="Groupe 8">
          <a:hlinkClick xmlns:r="http://schemas.openxmlformats.org/officeDocument/2006/relationships" r:id="rId1" tooltip="Retour au Menu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17049749" y="338665"/>
          <a:ext cx="1312333" cy="1090085"/>
          <a:chOff x="14890749" y="6307666"/>
          <a:chExt cx="1312333" cy="1481670"/>
        </a:xfrm>
      </xdr:grpSpPr>
      <xdr:pic>
        <xdr:nvPicPr>
          <xdr:cNvPr id="7" name="Graphique 6" descr="Calendrier mensuel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4890749" y="6307666"/>
            <a:ext cx="1312333" cy="1312333"/>
          </a:xfrm>
          <a:prstGeom prst="rect">
            <a:avLst/>
          </a:prstGeom>
        </xdr:spPr>
      </xdr:pic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 txBox="1"/>
        </xdr:nvSpPr>
        <xdr:spPr>
          <a:xfrm>
            <a:off x="15081251" y="7440086"/>
            <a:ext cx="920750" cy="349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400" b="1">
                <a:solidFill>
                  <a:schemeClr val="accent1">
                    <a:lumMod val="50000"/>
                  </a:schemeClr>
                </a:solidFill>
                <a:latin typeface="Agency FB" panose="020B0503020202020204" pitchFamily="34" charset="0"/>
              </a:rPr>
              <a:t>MENU</a:t>
            </a:r>
          </a:p>
        </xdr:txBody>
      </xdr:sp>
    </xdr:grpSp>
    <xdr:clientData/>
  </xdr:twoCellAnchor>
  <xdr:twoCellAnchor>
    <xdr:from>
      <xdr:col>21</xdr:col>
      <xdr:colOff>591608</xdr:colOff>
      <xdr:row>9</xdr:row>
      <xdr:rowOff>29632</xdr:rowOff>
    </xdr:from>
    <xdr:to>
      <xdr:col>25</xdr:col>
      <xdr:colOff>476250</xdr:colOff>
      <xdr:row>15</xdr:row>
      <xdr:rowOff>306915</xdr:rowOff>
    </xdr:to>
    <xdr:sp macro="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17006358" y="2950632"/>
          <a:ext cx="2932642" cy="2203450"/>
        </a:xfrm>
        <a:prstGeom prst="roundRect">
          <a:avLst/>
        </a:prstGeom>
        <a:noFill/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fr-FR" sz="2400" b="1">
              <a:solidFill>
                <a:srgbClr val="FF0000"/>
              </a:solidFill>
              <a:latin typeface="Agency FB" panose="020B0804020202020204" pitchFamily="34" charset="0"/>
              <a:ea typeface="+mn-ea"/>
              <a:cs typeface="+mn-cs"/>
            </a:rPr>
            <a:t>Rappel :  </a:t>
          </a:r>
          <a:r>
            <a:rPr lang="fr-FR" sz="2400" b="1">
              <a:solidFill>
                <a:schemeClr val="dk1"/>
              </a:solidFill>
              <a:latin typeface="Agency FB" panose="020B0804020202020204" pitchFamily="34" charset="0"/>
              <a:ea typeface="+mn-ea"/>
              <a:cs typeface="+mn-cs"/>
            </a:rPr>
            <a:t>Pour faire un retour à la ligne dans une cellule, il faut taper les touches : </a:t>
          </a:r>
        </a:p>
        <a:p>
          <a:pPr algn="ctr"/>
          <a:r>
            <a:rPr lang="fr-FR" sz="2400" b="1">
              <a:solidFill>
                <a:srgbClr val="FF0000"/>
              </a:solidFill>
              <a:latin typeface="Agency FB" panose="020B0804020202020204" pitchFamily="34" charset="0"/>
              <a:ea typeface="+mn-ea"/>
              <a:cs typeface="+mn-cs"/>
            </a:rPr>
            <a:t>ALT</a:t>
          </a:r>
          <a:r>
            <a:rPr lang="fr-FR" sz="2400" b="1" baseline="0">
              <a:solidFill>
                <a:srgbClr val="FF0000"/>
              </a:solidFill>
              <a:latin typeface="Agency FB" panose="020B0804020202020204" pitchFamily="34" charset="0"/>
              <a:ea typeface="+mn-ea"/>
              <a:cs typeface="+mn-cs"/>
            </a:rPr>
            <a:t> + ENTREE</a:t>
          </a:r>
          <a:endParaRPr lang="fr-FR" sz="2400" b="1">
            <a:solidFill>
              <a:srgbClr val="FF0000"/>
            </a:solidFill>
            <a:latin typeface="Agency FB" panose="020B0804020202020204" pitchFamily="34" charset="0"/>
            <a:ea typeface="+mn-ea"/>
            <a:cs typeface="+mn-cs"/>
          </a:endParaRPr>
        </a:p>
      </xdr:txBody>
    </xdr:sp>
    <xdr:clientData/>
  </xdr:twoCellAnchor>
  <xdr:twoCellAnchor editAs="oneCell">
    <xdr:from>
      <xdr:col>22</xdr:col>
      <xdr:colOff>264583</xdr:colOff>
      <xdr:row>17</xdr:row>
      <xdr:rowOff>148166</xdr:rowOff>
    </xdr:from>
    <xdr:to>
      <xdr:col>24</xdr:col>
      <xdr:colOff>622872</xdr:colOff>
      <xdr:row>25</xdr:row>
      <xdr:rowOff>239183</xdr:rowOff>
    </xdr:to>
    <xdr:pic>
      <xdr:nvPicPr>
        <xdr:cNvPr id="29" name="Image 28">
          <a:hlinkClick xmlns:r="http://schemas.openxmlformats.org/officeDocument/2006/relationships" r:id="rId4" tooltip="Accès à la Trame"/>
          <a:extLst>
            <a:ext uri="{FF2B5EF4-FFF2-40B4-BE49-F238E27FC236}">
              <a16:creationId xmlns:a16="http://schemas.microsoft.com/office/drawing/2014/main" id="{07F69118-4846-40E8-8D58-5FA875219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16933333" y="5799666"/>
          <a:ext cx="1882289" cy="20383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714375</xdr:colOff>
      <xdr:row>4</xdr:row>
      <xdr:rowOff>180975</xdr:rowOff>
    </xdr:from>
    <xdr:to>
      <xdr:col>13</xdr:col>
      <xdr:colOff>93133</xdr:colOff>
      <xdr:row>12</xdr:row>
      <xdr:rowOff>138645</xdr:rowOff>
    </xdr:to>
    <xdr:grpSp>
      <xdr:nvGrpSpPr>
        <xdr:cNvPr id="2" name="Groupe 1">
          <a:hlinkClick xmlns:r="http://schemas.openxmlformats.org/officeDocument/2006/relationships" r:id="rId1" tooltip="Retour au Menu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3645963" y="1144681"/>
          <a:ext cx="1317376" cy="1481670"/>
          <a:chOff x="14890749" y="6307666"/>
          <a:chExt cx="1312333" cy="1481670"/>
        </a:xfrm>
      </xdr:grpSpPr>
      <xdr:pic>
        <xdr:nvPicPr>
          <xdr:cNvPr id="3" name="Graphique 2" descr="Calendrier mensuel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4890749" y="6307666"/>
            <a:ext cx="1312333" cy="1312333"/>
          </a:xfrm>
          <a:prstGeom prst="rect">
            <a:avLst/>
          </a:prstGeom>
        </xdr:spPr>
      </xdr:pic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 txBox="1"/>
        </xdr:nvSpPr>
        <xdr:spPr>
          <a:xfrm>
            <a:off x="15081251" y="7440086"/>
            <a:ext cx="920750" cy="349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400" b="1">
                <a:solidFill>
                  <a:schemeClr val="accent1">
                    <a:lumMod val="50000"/>
                  </a:schemeClr>
                </a:solidFill>
                <a:latin typeface="Agency FB" panose="020B0503020202020204" pitchFamily="34" charset="0"/>
              </a:rPr>
              <a:t>MENU</a:t>
            </a:r>
          </a:p>
        </xdr:txBody>
      </xdr:sp>
    </xdr:grpSp>
    <xdr:clientData fPrintsWithSheet="0"/>
  </xdr:twoCellAnchor>
  <xdr:twoCellAnchor editAs="oneCell">
    <xdr:from>
      <xdr:col>9</xdr:col>
      <xdr:colOff>552450</xdr:colOff>
      <xdr:row>17</xdr:row>
      <xdr:rowOff>142875</xdr:rowOff>
    </xdr:from>
    <xdr:to>
      <xdr:col>13</xdr:col>
      <xdr:colOff>501164</xdr:colOff>
      <xdr:row>28</xdr:row>
      <xdr:rowOff>85725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13487400" y="3733800"/>
          <a:ext cx="1882289" cy="2038350"/>
        </a:xfrm>
        <a:prstGeom prst="rect">
          <a:avLst/>
        </a:prstGeom>
      </xdr:spPr>
    </xdr:pic>
    <xdr:clientData/>
  </xdr:twoCellAnchor>
  <xdr:twoCellAnchor>
    <xdr:from>
      <xdr:col>0</xdr:col>
      <xdr:colOff>485775</xdr:colOff>
      <xdr:row>17</xdr:row>
      <xdr:rowOff>123825</xdr:rowOff>
    </xdr:from>
    <xdr:to>
      <xdr:col>1</xdr:col>
      <xdr:colOff>876300</xdr:colOff>
      <xdr:row>23</xdr:row>
      <xdr:rowOff>104775</xdr:rowOff>
    </xdr:to>
    <xdr:sp macro="" textlink="">
      <xdr:nvSpPr>
        <xdr:cNvPr id="7" name="Ellips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 bwMode="auto">
        <a:xfrm>
          <a:off x="485775" y="3714750"/>
          <a:ext cx="1028700" cy="1123950"/>
        </a:xfrm>
        <a:prstGeom prst="ellipse">
          <a:avLst/>
        </a:prstGeom>
        <a:solidFill>
          <a:schemeClr val="accent6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fr-FR" sz="6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1</a:t>
          </a:r>
        </a:p>
      </xdr:txBody>
    </xdr:sp>
    <xdr:clientData/>
  </xdr:twoCellAnchor>
  <xdr:twoCellAnchor>
    <xdr:from>
      <xdr:col>0</xdr:col>
      <xdr:colOff>466725</xdr:colOff>
      <xdr:row>29</xdr:row>
      <xdr:rowOff>0</xdr:rowOff>
    </xdr:from>
    <xdr:to>
      <xdr:col>1</xdr:col>
      <xdr:colOff>857250</xdr:colOff>
      <xdr:row>34</xdr:row>
      <xdr:rowOff>171450</xdr:rowOff>
    </xdr:to>
    <xdr:sp macro="" textlink="">
      <xdr:nvSpPr>
        <xdr:cNvPr id="8" name="Ellips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 bwMode="auto">
        <a:xfrm>
          <a:off x="466725" y="5876925"/>
          <a:ext cx="1028700" cy="1123950"/>
        </a:xfrm>
        <a:prstGeom prst="ellipse">
          <a:avLst/>
        </a:prstGeom>
        <a:solidFill>
          <a:schemeClr val="accent6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fr-FR" sz="6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2</a:t>
          </a:r>
        </a:p>
      </xdr:txBody>
    </xdr:sp>
    <xdr:clientData/>
  </xdr:twoCellAnchor>
  <xdr:twoCellAnchor>
    <xdr:from>
      <xdr:col>0</xdr:col>
      <xdr:colOff>409575</xdr:colOff>
      <xdr:row>47</xdr:row>
      <xdr:rowOff>19050</xdr:rowOff>
    </xdr:from>
    <xdr:to>
      <xdr:col>1</xdr:col>
      <xdr:colOff>800100</xdr:colOff>
      <xdr:row>53</xdr:row>
      <xdr:rowOff>0</xdr:rowOff>
    </xdr:to>
    <xdr:sp macro="" textlink="">
      <xdr:nvSpPr>
        <xdr:cNvPr id="9" name="Ellips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 bwMode="auto">
        <a:xfrm>
          <a:off x="409575" y="9324975"/>
          <a:ext cx="1028700" cy="1123950"/>
        </a:xfrm>
        <a:prstGeom prst="ellipse">
          <a:avLst/>
        </a:prstGeom>
        <a:solidFill>
          <a:schemeClr val="accent6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fr-FR" sz="6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3</a:t>
          </a:r>
        </a:p>
      </xdr:txBody>
    </xdr:sp>
    <xdr:clientData/>
  </xdr:twoCellAnchor>
  <xdr:twoCellAnchor>
    <xdr:from>
      <xdr:col>1</xdr:col>
      <xdr:colOff>1095375</xdr:colOff>
      <xdr:row>17</xdr:row>
      <xdr:rowOff>66675</xdr:rowOff>
    </xdr:from>
    <xdr:to>
      <xdr:col>7</xdr:col>
      <xdr:colOff>2371725</xdr:colOff>
      <xdr:row>24</xdr:row>
      <xdr:rowOff>28575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1733550" y="3657600"/>
          <a:ext cx="10725150" cy="129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 cap="none" spc="0">
              <a:ln w="0"/>
              <a:solidFill>
                <a:schemeClr val="accent6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Feuille Calendrier Base</a:t>
          </a:r>
          <a:r>
            <a:rPr lang="fr-FR" sz="1800" b="1" cap="none" spc="0" baseline="0">
              <a:ln w="0"/>
              <a:solidFill>
                <a:schemeClr val="accent6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 :    </a:t>
          </a:r>
          <a:r>
            <a:rPr lang="fr-FR" sz="2400" baseline="0"/>
            <a:t>Le tableau est la référence de base des tournées des chaffeurs semaines par semaines. Cette feuille est à mettre à jour en  priorité  afin de fixer les planning hebdomadaires de chacun des chauffeurs. </a:t>
          </a:r>
          <a:endParaRPr lang="fr-FR" sz="1100"/>
        </a:p>
      </xdr:txBody>
    </xdr:sp>
    <xdr:clientData/>
  </xdr:twoCellAnchor>
  <xdr:twoCellAnchor>
    <xdr:from>
      <xdr:col>1</xdr:col>
      <xdr:colOff>1066800</xdr:colOff>
      <xdr:row>26</xdr:row>
      <xdr:rowOff>9524</xdr:rowOff>
    </xdr:from>
    <xdr:to>
      <xdr:col>7</xdr:col>
      <xdr:colOff>2352675</xdr:colOff>
      <xdr:row>38</xdr:row>
      <xdr:rowOff>133349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1704975" y="5314949"/>
          <a:ext cx="10734675" cy="2409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 cap="none" spc="0">
              <a:ln w="0"/>
              <a:solidFill>
                <a:schemeClr val="accent6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Feuille Trame </a:t>
          </a:r>
          <a:r>
            <a:rPr lang="fr-FR" sz="1800" b="1" cap="none" spc="0" baseline="0">
              <a:ln w="0"/>
              <a:solidFill>
                <a:schemeClr val="accent6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:    </a:t>
          </a:r>
          <a:r>
            <a:rPr lang="fr-FR" sz="2400" baseline="0"/>
            <a:t>Le tableau de cette feuille est protégée et reprend les informations par défaut du calendrier de Base.</a:t>
          </a:r>
        </a:p>
        <a:p>
          <a:r>
            <a:rPr lang="fr-FR" sz="2400" baseline="0"/>
            <a:t>Seule la cellule C1 est autorisée à saisie afin de sélectionner le numéro du mois à créer. </a:t>
          </a:r>
        </a:p>
        <a:p>
          <a:r>
            <a:rPr lang="fr-FR" sz="2400" baseline="0"/>
            <a:t>Le bouton             permet d'exécuter une macros qui paramètre et met en page la feuille.</a:t>
          </a:r>
        </a:p>
      </xdr:txBody>
    </xdr:sp>
    <xdr:clientData/>
  </xdr:twoCellAnchor>
  <xdr:twoCellAnchor>
    <xdr:from>
      <xdr:col>1</xdr:col>
      <xdr:colOff>1085850</xdr:colOff>
      <xdr:row>39</xdr:row>
      <xdr:rowOff>190499</xdr:rowOff>
    </xdr:from>
    <xdr:to>
      <xdr:col>7</xdr:col>
      <xdr:colOff>2333625</xdr:colOff>
      <xdr:row>60</xdr:row>
      <xdr:rowOff>47625</xdr:rowOff>
    </xdr:to>
    <xdr:sp macro="" textlink="">
      <xdr:nvSpPr>
        <xdr:cNvPr id="13" name="ZoneText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1724025" y="7972424"/>
          <a:ext cx="10696575" cy="38576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 cap="none" spc="0">
              <a:ln w="0"/>
              <a:solidFill>
                <a:schemeClr val="accent6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Création d'une</a:t>
          </a:r>
          <a:r>
            <a:rPr lang="fr-FR" sz="1800" b="1" cap="none" spc="0" baseline="0">
              <a:ln w="0"/>
              <a:solidFill>
                <a:schemeClr val="accent6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nouvelle feuille mensuelle :    </a:t>
          </a:r>
        </a:p>
        <a:p>
          <a:r>
            <a:rPr lang="fr-FR" sz="1800" b="1" cap="none" spc="0" baseline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a) Dupliquer la feuille Trame :   </a:t>
          </a:r>
          <a:r>
            <a:rPr lang="fr-FR" sz="2400" baseline="0"/>
            <a:t>Clic droit sur l'onglet Trame / Déplacer ou Copier / Cocher la case "Créer une copie" puis faite OK</a:t>
          </a:r>
        </a:p>
        <a:p>
          <a:r>
            <a:rPr lang="fr-FR" sz="1800" b="1" cap="none" spc="0" baseline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b)  Renommer la nouvelle feuille :  </a:t>
          </a:r>
          <a:r>
            <a:rPr lang="fr-FR" sz="2400" b="0" cap="none" spc="0" baseline="0">
              <a:ln>
                <a:noFill/>
              </a:ln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Renommer la feuille "Trame (2)" en tapant le nom du mois à créer.</a:t>
          </a:r>
          <a:r>
            <a:rPr lang="fr-FR" sz="2400" baseline="0"/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800" b="1" cap="none" spc="0" baseline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c)  Réaliser les modifications </a:t>
          </a:r>
          <a:r>
            <a:rPr lang="fr-FR" sz="1100" b="1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:  </a:t>
          </a:r>
          <a:r>
            <a:rPr lang="fr-FR" sz="2400" b="0" cap="none" spc="0" baseline="0">
              <a:ln>
                <a:noFill/>
              </a:ln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Saisir les nouvelles données, Absnences, Congés, Replaçant du Chauffeur,....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2400" b="0" cap="none" spc="0" baseline="0">
            <a:ln>
              <a:noFill/>
            </a:ln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400" b="0" cap="none" spc="0" baseline="0">
              <a:ln>
                <a:noFill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Attention : Pour la saisie des 4/5, 3/5 , merci de précéder la saisie par une apostrophe (')  - celle sous la touche 4</a:t>
          </a:r>
        </a:p>
        <a:p>
          <a:endParaRPr lang="fr-FR" sz="2400" baseline="0"/>
        </a:p>
      </xdr:txBody>
    </xdr:sp>
    <xdr:clientData/>
  </xdr:twoCellAnchor>
  <xdr:twoCellAnchor editAs="oneCell">
    <xdr:from>
      <xdr:col>2</xdr:col>
      <xdr:colOff>1162050</xdr:colOff>
      <xdr:row>33</xdr:row>
      <xdr:rowOff>28575</xdr:rowOff>
    </xdr:from>
    <xdr:to>
      <xdr:col>3</xdr:col>
      <xdr:colOff>482114</xdr:colOff>
      <xdr:row>36</xdr:row>
      <xdr:rowOff>133882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C219FEF3-5A06-4759-8BD2-EB975794F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3181350" y="6667500"/>
          <a:ext cx="624989" cy="67680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Chauffeur" displayName="TChauffeur" ref="B4:H11" totalsRowShown="0" dataDxfId="7">
  <autoFilter ref="B4:H11" xr:uid="{00000000-0009-0000-0100-000002000000}"/>
  <tableColumns count="7">
    <tableColumn id="1" xr3:uid="{00000000-0010-0000-0000-000001000000}" name="Nom Prénom" dataDxfId="6"/>
    <tableColumn id="2" xr3:uid="{00000000-0010-0000-0000-000002000000}" name="Immatriculation" dataDxfId="5"/>
    <tableColumn id="13" xr3:uid="{00000000-0010-0000-0000-00000D000000}" name="Adresse du dépôt" dataDxfId="4"/>
    <tableColumn id="7" xr3:uid="{00000000-0010-0000-0000-000007000000}" name="ASR Contacts" dataDxfId="3"/>
    <tableColumn id="9" xr3:uid="{00000000-0010-0000-0000-000009000000}" name="Secteurs" dataDxfId="2"/>
    <tableColumn id="10" xr3:uid="{00000000-0010-0000-0000-00000A000000}" name="Titulaire" dataDxfId="1"/>
    <tableColumn id="11" xr3:uid="{00000000-0010-0000-0000-00000B000000}" name="Email " dataDxfId="0">
      <calculatedColumnFormula>TChauffeur[[#This Row],[Nom Prénom]]&amp;"@gmail.com"</calculatedColumnFormula>
    </tableColumn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6"/>
  <dimension ref="A1"/>
  <sheetViews>
    <sheetView showGridLines="0" zoomScale="90" zoomScaleNormal="90"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pageSetUpPr fitToPage="1"/>
  </sheetPr>
  <dimension ref="A1:V32"/>
  <sheetViews>
    <sheetView showGridLines="0" tabSelected="1" zoomScale="112" zoomScaleNormal="112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D6" sqref="D6"/>
    </sheetView>
  </sheetViews>
  <sheetFormatPr baseColWidth="10" defaultColWidth="11" defaultRowHeight="15" x14ac:dyDescent="0.25"/>
  <cols>
    <col min="1" max="1" width="6.7109375" hidden="1" customWidth="1"/>
    <col min="2" max="2" width="3.7109375" style="1" customWidth="1"/>
    <col min="3" max="3" width="5.7109375" style="1" customWidth="1"/>
    <col min="4" max="4" width="8.28515625" style="1" customWidth="1"/>
    <col min="5" max="18" width="13.140625" customWidth="1"/>
    <col min="19" max="19" width="4.7109375" customWidth="1"/>
    <col min="20" max="20" width="4.140625" customWidth="1"/>
  </cols>
  <sheetData>
    <row r="1" spans="1:22" s="3" customFormat="1" ht="20.100000000000001" customHeight="1" x14ac:dyDescent="0.25">
      <c r="B1" s="41"/>
      <c r="C1" s="39">
        <v>1</v>
      </c>
      <c r="D1" s="40" t="s">
        <v>0</v>
      </c>
      <c r="E1" s="47" t="s">
        <v>87</v>
      </c>
      <c r="F1" s="48"/>
      <c r="G1" s="49" t="s">
        <v>153</v>
      </c>
      <c r="H1" s="50"/>
      <c r="I1" s="51" t="s">
        <v>154</v>
      </c>
      <c r="J1" s="52"/>
      <c r="K1" s="53" t="s">
        <v>155</v>
      </c>
      <c r="L1" s="54"/>
      <c r="M1" s="55" t="s">
        <v>156</v>
      </c>
      <c r="N1" s="56"/>
      <c r="O1" s="57" t="s">
        <v>157</v>
      </c>
      <c r="P1" s="58"/>
      <c r="Q1" s="43" t="s">
        <v>158</v>
      </c>
      <c r="R1" s="44"/>
      <c r="S1" s="4"/>
    </row>
    <row r="2" spans="1:22" s="3" customFormat="1" ht="20.100000000000001" customHeight="1" x14ac:dyDescent="0.25">
      <c r="A2" s="36" t="str">
        <f>TEXT(B2,0)&amp;C2</f>
        <v>1Mer</v>
      </c>
      <c r="B2" s="35">
        <f>IF(OR(C2="SAM",C2="Dim"),0,1)</f>
        <v>1</v>
      </c>
      <c r="C2" s="36" t="str">
        <f>PROPER(TEXT(D2,"jjj"))</f>
        <v>Mer</v>
      </c>
      <c r="D2" s="33">
        <f>DATE(ANNEE_ENCOURS,$C$1,1)</f>
        <v>43831</v>
      </c>
      <c r="E2" s="9" t="str">
        <f>IFERROR(VLOOKUP($A2,'CALENDRIER BASE'!$A$1:$O$36,2,0),"")</f>
        <v>Ville AE</v>
      </c>
      <c r="F2" s="9" t="str">
        <f>IFERROR(VLOOKUP($A2,'CALENDRIER BASE'!$A$1:$O$36,2,0),"")</f>
        <v>Ville AE</v>
      </c>
      <c r="G2" s="9" t="str">
        <f>IFERROR(VLOOKUP($A2,'CALENDRIER BASE'!$A$1:$O$36,2,0),"")</f>
        <v>Ville AE</v>
      </c>
      <c r="H2" s="9" t="str">
        <f>IFERROR(VLOOKUP($A2,'CALENDRIER BASE'!$A$1:$O$36,2,0),"")</f>
        <v>Ville AE</v>
      </c>
      <c r="I2" s="9" t="str">
        <f>IFERROR(VLOOKUP($A2,'CALENDRIER BASE'!$A$1:$O$36,2,0),"")</f>
        <v>Ville AE</v>
      </c>
      <c r="J2" s="9" t="str">
        <f>IFERROR(VLOOKUP($A2,'CALENDRIER BASE'!$A$1:$O$36,2,0),"")</f>
        <v>Ville AE</v>
      </c>
      <c r="K2" s="9" t="str">
        <f>IFERROR(VLOOKUP($A2,'CALENDRIER BASE'!$A$1:$O$36,2,0),"")</f>
        <v>Ville AE</v>
      </c>
      <c r="L2" s="9" t="str">
        <f>IFERROR(VLOOKUP($A2,'CALENDRIER BASE'!$A$1:$O$36,2,0),"")</f>
        <v>Ville AE</v>
      </c>
      <c r="M2" s="9" t="str">
        <f>IFERROR(VLOOKUP($A2,'CALENDRIER BASE'!$A$1:$O$36,2,0),"")</f>
        <v>Ville AE</v>
      </c>
      <c r="N2" s="9" t="str">
        <f>IFERROR(VLOOKUP($A2,'CALENDRIER BASE'!$A$1:$O$36,2,0),"")</f>
        <v>Ville AE</v>
      </c>
      <c r="O2" s="9" t="str">
        <f>IFERROR(VLOOKUP($A2,'CALENDRIER BASE'!$A$1:$O$36,2,0),"")</f>
        <v>Ville AE</v>
      </c>
      <c r="P2" s="9" t="str">
        <f>IFERROR(VLOOKUP($A2,'CALENDRIER BASE'!$A$1:$O$36,2,0),"")</f>
        <v>Ville AE</v>
      </c>
      <c r="Q2" s="9" t="str">
        <f>IFERROR(VLOOKUP($A2,'CALENDRIER BASE'!$A$1:$O$36,2,0),"")</f>
        <v>Ville AE</v>
      </c>
      <c r="R2" s="9" t="str">
        <f>IFERROR(VLOOKUP($A2,'CALENDRIER BASE'!$A$1:$O$36,2,0),"")</f>
        <v>Ville AE</v>
      </c>
      <c r="S2" s="4"/>
    </row>
    <row r="3" spans="1:22" s="3" customFormat="1" ht="20.100000000000001" customHeight="1" x14ac:dyDescent="0.25">
      <c r="A3" s="36" t="str">
        <f t="shared" ref="A3:A32" si="0">TEXT(B3,0)&amp;C3</f>
        <v>1Jeu</v>
      </c>
      <c r="B3" s="37">
        <f t="shared" ref="B3:B32" si="1">IF(C3="Lun",B2+1,B2)</f>
        <v>1</v>
      </c>
      <c r="C3" s="38" t="str">
        <f t="shared" ref="C3" si="2">PROPER(TEXT(D3,"jjj"))</f>
        <v>Jeu</v>
      </c>
      <c r="D3" s="34">
        <f t="shared" ref="D3:D32" si="3">D2+1</f>
        <v>43832</v>
      </c>
      <c r="E3" s="9" t="str">
        <f>IFERROR(VLOOKUP($A3,'CALENDRIER BASE'!$A$1:$O$36,2,0),"")</f>
        <v>Ville BA</v>
      </c>
      <c r="F3" s="9" t="str">
        <f>IFERROR(VLOOKUP($A3,'CALENDRIER BASE'!$A$1:$O$36,2,0),"")</f>
        <v>Ville BA</v>
      </c>
      <c r="G3" s="9" t="str">
        <f>IFERROR(VLOOKUP($A3,'CALENDRIER BASE'!$A$1:$O$36,2,0),"")</f>
        <v>Ville BA</v>
      </c>
      <c r="H3" s="9" t="str">
        <f>IFERROR(VLOOKUP($A3,'CALENDRIER BASE'!$A$1:$O$36,2,0),"")</f>
        <v>Ville BA</v>
      </c>
      <c r="I3" s="9" t="str">
        <f>IFERROR(VLOOKUP($A3,'CALENDRIER BASE'!$A$1:$O$36,2,0),"")</f>
        <v>Ville BA</v>
      </c>
      <c r="J3" s="9" t="str">
        <f>IFERROR(VLOOKUP($A3,'CALENDRIER BASE'!$A$1:$O$36,2,0),"")</f>
        <v>Ville BA</v>
      </c>
      <c r="K3" s="9" t="str">
        <f>IFERROR(VLOOKUP($A3,'CALENDRIER BASE'!$A$1:$O$36,2,0),"")</f>
        <v>Ville BA</v>
      </c>
      <c r="L3" s="9" t="str">
        <f>IFERROR(VLOOKUP($A3,'CALENDRIER BASE'!$A$1:$O$36,2,0),"")</f>
        <v>Ville BA</v>
      </c>
      <c r="M3" s="9" t="str">
        <f>IFERROR(VLOOKUP($A3,'CALENDRIER BASE'!$A$1:$O$36,2,0),"")</f>
        <v>Ville BA</v>
      </c>
      <c r="N3" s="9" t="str">
        <f>IFERROR(VLOOKUP($A3,'CALENDRIER BASE'!$A$1:$O$36,2,0),"")</f>
        <v>Ville BA</v>
      </c>
      <c r="O3" s="9" t="str">
        <f>IFERROR(VLOOKUP($A3,'CALENDRIER BASE'!$A$1:$O$36,2,0),"")</f>
        <v>Ville BA</v>
      </c>
      <c r="P3" s="9" t="str">
        <f>IFERROR(VLOOKUP($A3,'CALENDRIER BASE'!$A$1:$O$36,2,0),"")</f>
        <v>Ville BA</v>
      </c>
      <c r="Q3" s="9" t="str">
        <f>IFERROR(VLOOKUP($A3,'CALENDRIER BASE'!$A$1:$O$36,2,0),"")</f>
        <v>Ville BA</v>
      </c>
      <c r="R3" s="9" t="str">
        <f>IFERROR(VLOOKUP($A3,'CALENDRIER BASE'!$A$1:$O$36,2,0),"")</f>
        <v>Ville BA</v>
      </c>
      <c r="S3" s="4"/>
    </row>
    <row r="4" spans="1:22" s="3" customFormat="1" ht="20.100000000000001" customHeight="1" x14ac:dyDescent="0.25">
      <c r="A4" s="36" t="str">
        <f t="shared" si="0"/>
        <v>1Ven</v>
      </c>
      <c r="B4" s="37">
        <f t="shared" si="1"/>
        <v>1</v>
      </c>
      <c r="C4" s="38" t="str">
        <f t="shared" ref="C4" si="4">PROPER(TEXT(D4,"jjj"))</f>
        <v>Ven</v>
      </c>
      <c r="D4" s="34">
        <f t="shared" si="3"/>
        <v>43833</v>
      </c>
      <c r="E4" s="9" t="str">
        <f>VLOOKUP($A4,'CALENDRIER BASE'!$A$1:$O$36,2,0)</f>
        <v>4/5</v>
      </c>
      <c r="F4" s="10" t="str">
        <f>VLOOKUP($A4,'CALENDRIER BASE'!$A$1:$O$36,3,0)</f>
        <v>4/5</v>
      </c>
      <c r="G4" s="9" t="str">
        <f>VLOOKUP($A4,'CALENDRIER BASE'!$A$1:$O$36,4,0)</f>
        <v>3/5</v>
      </c>
      <c r="H4" s="10" t="str">
        <f>VLOOKUP($A4,'CALENDRIER BASE'!$A$1:$O$36,5,0)</f>
        <v>3/5</v>
      </c>
      <c r="I4" s="9" t="str">
        <f>VLOOKUP($A4,'CALENDRIER BASE'!$A$1:$O$36,6,0)</f>
        <v>Ville BZ</v>
      </c>
      <c r="J4" s="10" t="str">
        <f>VLOOKUP($A4,'CALENDRIER BASE'!$A$1:$O$36,7,0)</f>
        <v>Ville BX</v>
      </c>
      <c r="K4" s="9" t="str">
        <f>VLOOKUP($A4,'CALENDRIER BASE'!$A$1:$O$36,8,0)</f>
        <v>Ville BT</v>
      </c>
      <c r="L4" s="10" t="str">
        <f>VLOOKUP($A4,'CALENDRIER BASE'!$A$1:$O$36,9,0)</f>
        <v>Ville BH</v>
      </c>
      <c r="M4" s="9" t="str">
        <f>VLOOKUP($A4,'CALENDRIER BASE'!$A$1:$O$36,10,0)</f>
        <v>Ville BI</v>
      </c>
      <c r="N4" s="10" t="str">
        <f>VLOOKUP($A4,'CALENDRIER BASE'!$A$1:$O$36,11,0)</f>
        <v>Ville BJ</v>
      </c>
      <c r="O4" s="9" t="str">
        <f>VLOOKUP($A4,'CALENDRIER BASE'!$A$1:$O$36,12,0)</f>
        <v>Ville BK</v>
      </c>
      <c r="P4" s="10" t="str">
        <f>VLOOKUP($A4,'CALENDRIER BASE'!$A$1:$O$36,13,0)</f>
        <v>Ville BL</v>
      </c>
      <c r="Q4" s="9" t="str">
        <f>VLOOKUP($A4,'CALENDRIER BASE'!$A$1:$O$36,14,0)</f>
        <v>Ville BR</v>
      </c>
      <c r="R4" s="10" t="str">
        <f>VLOOKUP($A4,'CALENDRIER BASE'!$A$1:$O$36,15,0)</f>
        <v>Ville BU</v>
      </c>
      <c r="S4" s="4"/>
    </row>
    <row r="5" spans="1:22" s="3" customFormat="1" ht="15" customHeight="1" x14ac:dyDescent="0.25">
      <c r="A5" s="36" t="str">
        <f t="shared" si="0"/>
        <v>1Sam</v>
      </c>
      <c r="B5" s="37">
        <f t="shared" si="1"/>
        <v>1</v>
      </c>
      <c r="C5" s="38" t="str">
        <f t="shared" ref="C5" si="5">PROPER(TEXT(D5,"jjj"))</f>
        <v>Sam</v>
      </c>
      <c r="D5" s="34">
        <f t="shared" si="3"/>
        <v>43834</v>
      </c>
      <c r="E5" s="9" t="str">
        <f>VLOOKUP($A5,'CALENDRIER BASE'!$A$1:$O$36,2,0)</f>
        <v xml:space="preserve"> </v>
      </c>
      <c r="F5" s="10" t="str">
        <f>VLOOKUP($A5,'CALENDRIER BASE'!$A$1:$O$36,3,0)</f>
        <v xml:space="preserve"> </v>
      </c>
      <c r="G5" s="9" t="str">
        <f>VLOOKUP($A5,'CALENDRIER BASE'!$A$1:$O$36,4,0)</f>
        <v xml:space="preserve"> </v>
      </c>
      <c r="H5" s="10" t="str">
        <f>VLOOKUP($A5,'CALENDRIER BASE'!$A$1:$O$36,5,0)</f>
        <v xml:space="preserve"> </v>
      </c>
      <c r="I5" s="9" t="str">
        <f>VLOOKUP($A5,'CALENDRIER BASE'!$A$1:$O$36,6,0)</f>
        <v xml:space="preserve"> </v>
      </c>
      <c r="J5" s="10" t="str">
        <f>VLOOKUP($A5,'CALENDRIER BASE'!$A$1:$O$36,7,0)</f>
        <v xml:space="preserve"> </v>
      </c>
      <c r="K5" s="9" t="str">
        <f>VLOOKUP($A5,'CALENDRIER BASE'!$A$1:$O$36,8,0)</f>
        <v xml:space="preserve"> </v>
      </c>
      <c r="L5" s="10" t="str">
        <f>VLOOKUP($A5,'CALENDRIER BASE'!$A$1:$O$36,9,0)</f>
        <v xml:space="preserve"> </v>
      </c>
      <c r="M5" s="9" t="str">
        <f>VLOOKUP($A5,'CALENDRIER BASE'!$A$1:$O$36,10,0)</f>
        <v xml:space="preserve"> </v>
      </c>
      <c r="N5" s="10" t="str">
        <f>VLOOKUP($A5,'CALENDRIER BASE'!$A$1:$O$36,11,0)</f>
        <v xml:space="preserve"> </v>
      </c>
      <c r="O5" s="9" t="str">
        <f>VLOOKUP($A5,'CALENDRIER BASE'!$A$1:$O$36,12,0)</f>
        <v xml:space="preserve"> </v>
      </c>
      <c r="P5" s="10" t="str">
        <f>VLOOKUP($A5,'CALENDRIER BASE'!$A$1:$O$36,13,0)</f>
        <v xml:space="preserve"> </v>
      </c>
      <c r="Q5" s="9" t="str">
        <f>VLOOKUP($A5,'CALENDRIER BASE'!$A$1:$O$36,14,0)</f>
        <v xml:space="preserve"> </v>
      </c>
      <c r="R5" s="10" t="str">
        <f>VLOOKUP($A5,'CALENDRIER BASE'!$A$1:$O$36,15,0)</f>
        <v xml:space="preserve"> </v>
      </c>
      <c r="S5" s="4"/>
    </row>
    <row r="6" spans="1:22" s="3" customFormat="1" ht="15" customHeight="1" x14ac:dyDescent="0.25">
      <c r="A6" s="36" t="str">
        <f t="shared" si="0"/>
        <v>1Dim</v>
      </c>
      <c r="B6" s="37">
        <f t="shared" si="1"/>
        <v>1</v>
      </c>
      <c r="C6" s="38" t="str">
        <f t="shared" ref="C6" si="6">PROPER(TEXT(D6,"jjj"))</f>
        <v>Dim</v>
      </c>
      <c r="D6" s="34">
        <f t="shared" si="3"/>
        <v>43835</v>
      </c>
      <c r="E6" s="9" t="str">
        <f>VLOOKUP($A6,'CALENDRIER BASE'!$A$1:$O$36,2,0)</f>
        <v xml:space="preserve"> </v>
      </c>
      <c r="F6" s="10" t="str">
        <f>VLOOKUP($A6,'CALENDRIER BASE'!$A$1:$O$36,3,0)</f>
        <v xml:space="preserve"> </v>
      </c>
      <c r="G6" s="9" t="str">
        <f>VLOOKUP($A6,'CALENDRIER BASE'!$A$1:$O$36,4,0)</f>
        <v xml:space="preserve"> </v>
      </c>
      <c r="H6" s="10" t="str">
        <f>VLOOKUP($A6,'CALENDRIER BASE'!$A$1:$O$36,5,0)</f>
        <v xml:space="preserve"> </v>
      </c>
      <c r="I6" s="9" t="str">
        <f>VLOOKUP($A6,'CALENDRIER BASE'!$A$1:$O$36,6,0)</f>
        <v xml:space="preserve"> </v>
      </c>
      <c r="J6" s="10" t="str">
        <f>VLOOKUP($A6,'CALENDRIER BASE'!$A$1:$O$36,7,0)</f>
        <v xml:space="preserve"> </v>
      </c>
      <c r="K6" s="9" t="str">
        <f>VLOOKUP($A6,'CALENDRIER BASE'!$A$1:$O$36,8,0)</f>
        <v xml:space="preserve"> </v>
      </c>
      <c r="L6" s="10" t="str">
        <f>VLOOKUP($A6,'CALENDRIER BASE'!$A$1:$O$36,9,0)</f>
        <v xml:space="preserve"> </v>
      </c>
      <c r="M6" s="9" t="str">
        <f>VLOOKUP($A6,'CALENDRIER BASE'!$A$1:$O$36,10,0)</f>
        <v xml:space="preserve"> </v>
      </c>
      <c r="N6" s="10" t="str">
        <f>VLOOKUP($A6,'CALENDRIER BASE'!$A$1:$O$36,11,0)</f>
        <v xml:space="preserve"> </v>
      </c>
      <c r="O6" s="9" t="str">
        <f>VLOOKUP($A6,'CALENDRIER BASE'!$A$1:$O$36,12,0)</f>
        <v xml:space="preserve"> </v>
      </c>
      <c r="P6" s="10" t="str">
        <f>VLOOKUP($A6,'CALENDRIER BASE'!$A$1:$O$36,13,0)</f>
        <v xml:space="preserve"> </v>
      </c>
      <c r="Q6" s="9" t="str">
        <f>VLOOKUP($A6,'CALENDRIER BASE'!$A$1:$O$36,14,0)</f>
        <v xml:space="preserve"> </v>
      </c>
      <c r="R6" s="10" t="str">
        <f>VLOOKUP($A6,'CALENDRIER BASE'!$A$1:$O$36,15,0)</f>
        <v xml:space="preserve"> </v>
      </c>
      <c r="S6" s="4"/>
    </row>
    <row r="7" spans="1:22" s="3" customFormat="1" ht="20.100000000000001" customHeight="1" x14ac:dyDescent="0.25">
      <c r="A7" s="36" t="str">
        <f t="shared" si="0"/>
        <v>2Lun</v>
      </c>
      <c r="B7" s="37">
        <f t="shared" si="1"/>
        <v>2</v>
      </c>
      <c r="C7" s="38" t="str">
        <f t="shared" ref="C7" si="7">PROPER(TEXT(D7,"jjj"))</f>
        <v>Lun</v>
      </c>
      <c r="D7" s="34">
        <f t="shared" si="3"/>
        <v>43836</v>
      </c>
      <c r="E7" s="9" t="str">
        <f>VLOOKUP($A7,'CALENDRIER BASE'!$A$1:$O$36,2,0)</f>
        <v>Ville AA</v>
      </c>
      <c r="F7" s="10" t="str">
        <f>VLOOKUP($A7,'CALENDRIER BASE'!$A$1:$O$36,3,0)</f>
        <v>Ville BB</v>
      </c>
      <c r="G7" s="9" t="str">
        <f>VLOOKUP($A7,'CALENDRIER BASE'!$A$1:$O$36,4,0)</f>
        <v>Ville CC</v>
      </c>
      <c r="H7" s="10" t="str">
        <f>VLOOKUP($A7,'CALENDRIER BASE'!$A$1:$O$36,5,0)</f>
        <v>Ville DD</v>
      </c>
      <c r="I7" s="9" t="str">
        <f>VLOOKUP($A7,'CALENDRIER BASE'!$A$1:$O$36,6,0)</f>
        <v>Ville EE</v>
      </c>
      <c r="J7" s="10" t="str">
        <f>VLOOKUP($A7,'CALENDRIER BASE'!$A$1:$O$36,7,0)</f>
        <v>Ville FF</v>
      </c>
      <c r="K7" s="9" t="str">
        <f>VLOOKUP($A7,'CALENDRIER BASE'!$A$1:$O$36,8,0)</f>
        <v>Ville GG</v>
      </c>
      <c r="L7" s="10" t="str">
        <f>VLOOKUP($A7,'CALENDRIER BASE'!$A$1:$O$36,9,0)</f>
        <v>Ville HH</v>
      </c>
      <c r="M7" s="9" t="str">
        <f>VLOOKUP($A7,'CALENDRIER BASE'!$A$1:$O$36,10,0)</f>
        <v>3/5</v>
      </c>
      <c r="N7" s="10" t="str">
        <f>VLOOKUP($A7,'CALENDRIER BASE'!$A$1:$O$36,11,0)</f>
        <v>3/5</v>
      </c>
      <c r="O7" s="9" t="str">
        <f>VLOOKUP($A7,'CALENDRIER BASE'!$A$1:$O$36,12,0)</f>
        <v>Ville KK</v>
      </c>
      <c r="P7" s="10" t="str">
        <f>VLOOKUP($A7,'CALENDRIER BASE'!$A$1:$O$36,13,0)</f>
        <v>Ville LL</v>
      </c>
      <c r="Q7" s="9" t="str">
        <f>VLOOKUP($A7,'CALENDRIER BASE'!$A$1:$O$36,14,0)</f>
        <v>Ville MM</v>
      </c>
      <c r="R7" s="10" t="str">
        <f>VLOOKUP($A7,'CALENDRIER BASE'!$A$1:$O$36,15,0)</f>
        <v>Ville NN</v>
      </c>
      <c r="S7" s="4"/>
    </row>
    <row r="8" spans="1:22" s="3" customFormat="1" ht="20.100000000000001" customHeight="1" x14ac:dyDescent="0.25">
      <c r="A8" s="36" t="str">
        <f t="shared" si="0"/>
        <v>2Mar</v>
      </c>
      <c r="B8" s="37">
        <f t="shared" si="1"/>
        <v>2</v>
      </c>
      <c r="C8" s="38" t="str">
        <f t="shared" ref="C8" si="8">PROPER(TEXT(D8,"jjj"))</f>
        <v>Mar</v>
      </c>
      <c r="D8" s="34">
        <f t="shared" si="3"/>
        <v>43837</v>
      </c>
      <c r="E8" s="9" t="str">
        <f>VLOOKUP($A8,'CALENDRIER BASE'!$A$1:$O$36,2,0)</f>
        <v>Ville OO</v>
      </c>
      <c r="F8" s="10" t="str">
        <f>VLOOKUP($A8,'CALENDRIER BASE'!$A$1:$O$36,3,0)</f>
        <v>Ville PP</v>
      </c>
      <c r="G8" s="9" t="str">
        <f>VLOOKUP($A8,'CALENDRIER BASE'!$A$1:$O$36,4,0)</f>
        <v>Ville QQ</v>
      </c>
      <c r="H8" s="10" t="str">
        <f>VLOOKUP($A8,'CALENDRIER BASE'!$A$1:$O$36,5,0)</f>
        <v>Ville RR</v>
      </c>
      <c r="I8" s="9" t="str">
        <f>VLOOKUP($A8,'CALENDRIER BASE'!$A$1:$O$36,6,0)</f>
        <v>Ville SS</v>
      </c>
      <c r="J8" s="10" t="str">
        <f>VLOOKUP($A8,'CALENDRIER BASE'!$A$1:$O$36,7,0)</f>
        <v>Ville TT</v>
      </c>
      <c r="K8" s="9" t="str">
        <f>VLOOKUP($A8,'CALENDRIER BASE'!$A$1:$O$36,8,0)</f>
        <v>Ville UU</v>
      </c>
      <c r="L8" s="10" t="str">
        <f>VLOOKUP($A8,'CALENDRIER BASE'!$A$1:$O$36,9,0)</f>
        <v>Ville VV</v>
      </c>
      <c r="M8" s="9" t="str">
        <f>VLOOKUP($A8,'CALENDRIER BASE'!$A$1:$O$36,10,0)</f>
        <v>3/5</v>
      </c>
      <c r="N8" s="10" t="str">
        <f>VLOOKUP($A8,'CALENDRIER BASE'!$A$1:$O$36,11,0)</f>
        <v>3/5</v>
      </c>
      <c r="O8" s="9" t="str">
        <f>VLOOKUP($A8,'CALENDRIER BASE'!$A$1:$O$36,12,0)</f>
        <v>Ville WW</v>
      </c>
      <c r="P8" s="10" t="str">
        <f>VLOOKUP($A8,'CALENDRIER BASE'!$A$1:$O$36,13,0)</f>
        <v>Ville AB</v>
      </c>
      <c r="Q8" s="9" t="str">
        <f>VLOOKUP($A8,'CALENDRIER BASE'!$A$1:$O$36,14,0)</f>
        <v>Ville AC</v>
      </c>
      <c r="R8" s="10" t="str">
        <f>VLOOKUP($A8,'CALENDRIER BASE'!$A$1:$O$36,15,0)</f>
        <v>Ville AD</v>
      </c>
      <c r="S8" s="4"/>
    </row>
    <row r="9" spans="1:22" s="3" customFormat="1" ht="20.100000000000001" customHeight="1" x14ac:dyDescent="0.25">
      <c r="A9" s="36" t="str">
        <f t="shared" si="0"/>
        <v>2Mer</v>
      </c>
      <c r="B9" s="37">
        <f t="shared" si="1"/>
        <v>2</v>
      </c>
      <c r="C9" s="38" t="str">
        <f t="shared" ref="C9" si="9">PROPER(TEXT(D9,"jjj"))</f>
        <v>Mer</v>
      </c>
      <c r="D9" s="34">
        <f t="shared" si="3"/>
        <v>43838</v>
      </c>
      <c r="E9" s="9" t="str">
        <f>VLOOKUP($A9,'CALENDRIER BASE'!$A$1:$O$36,2,0)</f>
        <v>Ville AE</v>
      </c>
      <c r="F9" s="10" t="str">
        <f>VLOOKUP($A9,'CALENDRIER BASE'!$A$1:$O$36,3,0)</f>
        <v>Ville AF</v>
      </c>
      <c r="G9" s="9" t="str">
        <f>VLOOKUP($A9,'CALENDRIER BASE'!$A$1:$O$36,4,0)</f>
        <v>Ville AT</v>
      </c>
      <c r="H9" s="10" t="str">
        <f>VLOOKUP($A9,'CALENDRIER BASE'!$A$1:$O$36,5,0)</f>
        <v>Ville AP</v>
      </c>
      <c r="I9" s="9" t="str">
        <f>VLOOKUP($A9,'CALENDRIER BASE'!$A$1:$O$36,6,0)</f>
        <v>Ville AM</v>
      </c>
      <c r="J9" s="10" t="str">
        <f>VLOOKUP($A9,'CALENDRIER BASE'!$A$1:$O$36,7,0)</f>
        <v>Ville AQ</v>
      </c>
      <c r="K9" s="9" t="str">
        <f>VLOOKUP($A9,'CALENDRIER BASE'!$A$1:$O$36,8,0)</f>
        <v>Ville AR</v>
      </c>
      <c r="L9" s="10" t="str">
        <f>VLOOKUP($A9,'CALENDRIER BASE'!$A$1:$O$36,9,0)</f>
        <v>Ville AS</v>
      </c>
      <c r="M9" s="9" t="str">
        <f>VLOOKUP($A9,'CALENDRIER BASE'!$A$1:$O$36,10,0)</f>
        <v>Ville AJ</v>
      </c>
      <c r="N9" s="10" t="str">
        <f>VLOOKUP($A9,'CALENDRIER BASE'!$A$1:$O$36,11,0)</f>
        <v>Ville AW</v>
      </c>
      <c r="O9" s="9" t="str">
        <f>VLOOKUP($A9,'CALENDRIER BASE'!$A$1:$O$36,12,0)</f>
        <v>Ville AV</v>
      </c>
      <c r="P9" s="10" t="str">
        <f>VLOOKUP($A9,'CALENDRIER BASE'!$A$1:$O$36,13,0)</f>
        <v>Ville AX</v>
      </c>
      <c r="Q9" s="9" t="str">
        <f>VLOOKUP($A9,'CALENDRIER BASE'!$A$1:$O$36,14,0)</f>
        <v>4/5</v>
      </c>
      <c r="R9" s="10" t="str">
        <f>VLOOKUP($A9,'CALENDRIER BASE'!$A$1:$O$36,15,0)</f>
        <v>4/5</v>
      </c>
      <c r="S9" s="4"/>
      <c r="U9" s="46" t="s">
        <v>159</v>
      </c>
      <c r="V9" s="46"/>
    </row>
    <row r="10" spans="1:22" s="3" customFormat="1" ht="20.100000000000001" customHeight="1" x14ac:dyDescent="0.25">
      <c r="A10" s="36" t="str">
        <f t="shared" si="0"/>
        <v>2Jeu</v>
      </c>
      <c r="B10" s="37">
        <f t="shared" si="1"/>
        <v>2</v>
      </c>
      <c r="C10" s="38" t="str">
        <f t="shared" ref="C10" si="10">PROPER(TEXT(D10,"jjj"))</f>
        <v>Jeu</v>
      </c>
      <c r="D10" s="34">
        <f t="shared" si="3"/>
        <v>43839</v>
      </c>
      <c r="E10" s="9" t="str">
        <f>VLOOKUP($A10,'CALENDRIER BASE'!$A$1:$O$36,2,0)</f>
        <v>Ville BA</v>
      </c>
      <c r="F10" s="10" t="str">
        <f>VLOOKUP($A10,'CALENDRIER BASE'!$A$1:$O$36,3,0)</f>
        <v>Ville BC</v>
      </c>
      <c r="G10" s="9" t="str">
        <f>VLOOKUP($A10,'CALENDRIER BASE'!$A$1:$O$36,4,0)</f>
        <v>3/5</v>
      </c>
      <c r="H10" s="10" t="str">
        <f>VLOOKUP($A10,'CALENDRIER BASE'!$A$1:$O$36,5,0)</f>
        <v>3/5</v>
      </c>
      <c r="I10" s="9" t="str">
        <f>VLOOKUP($A10,'CALENDRIER BASE'!$A$1:$O$36,6,0)</f>
        <v>Ville BD</v>
      </c>
      <c r="J10" s="10" t="str">
        <f>VLOOKUP($A10,'CALENDRIER BASE'!$A$1:$O$36,7,0)</f>
        <v>Ville BE</v>
      </c>
      <c r="K10" s="9" t="str">
        <f>VLOOKUP($A10,'CALENDRIER BASE'!$A$1:$O$36,8,0)</f>
        <v>Ville BF</v>
      </c>
      <c r="L10" s="10" t="str">
        <f>VLOOKUP($A10,'CALENDRIER BASE'!$A$1:$O$36,9,0)</f>
        <v>Ville BG</v>
      </c>
      <c r="M10" s="9" t="str">
        <f>VLOOKUP($A10,'CALENDRIER BASE'!$A$1:$O$36,10,0)</f>
        <v>Ville BM</v>
      </c>
      <c r="N10" s="10" t="str">
        <f>VLOOKUP($A10,'CALENDRIER BASE'!$A$1:$O$36,11,0)</f>
        <v>Ville BN</v>
      </c>
      <c r="O10" s="9" t="str">
        <f>VLOOKUP($A10,'CALENDRIER BASE'!$A$1:$O$36,12,0)</f>
        <v>Ville BO</v>
      </c>
      <c r="P10" s="10" t="str">
        <f>VLOOKUP($A10,'CALENDRIER BASE'!$A$1:$O$36,13,0)</f>
        <v>Ville BP</v>
      </c>
      <c r="Q10" s="9" t="str">
        <f>VLOOKUP($A10,'CALENDRIER BASE'!$A$1:$O$36,14,0)</f>
        <v>Ville BQ</v>
      </c>
      <c r="R10" s="10" t="str">
        <f>VLOOKUP($A10,'CALENDRIER BASE'!$A$1:$O$36,15,0)</f>
        <v>Ville BS</v>
      </c>
      <c r="S10" s="4"/>
      <c r="U10" s="45">
        <f>D2</f>
        <v>43831</v>
      </c>
      <c r="V10" s="45"/>
    </row>
    <row r="11" spans="1:22" s="3" customFormat="1" ht="20.100000000000001" customHeight="1" x14ac:dyDescent="0.25">
      <c r="A11" s="36" t="str">
        <f t="shared" si="0"/>
        <v>2Ven</v>
      </c>
      <c r="B11" s="37">
        <f t="shared" si="1"/>
        <v>2</v>
      </c>
      <c r="C11" s="38" t="str">
        <f t="shared" ref="C11" si="11">PROPER(TEXT(D11,"jjj"))</f>
        <v>Ven</v>
      </c>
      <c r="D11" s="34">
        <f t="shared" si="3"/>
        <v>43840</v>
      </c>
      <c r="E11" s="9" t="str">
        <f>VLOOKUP($A11,'CALENDRIER BASE'!$A$1:$O$36,2,0)</f>
        <v>4/5</v>
      </c>
      <c r="F11" s="10" t="str">
        <f>VLOOKUP($A11,'CALENDRIER BASE'!$A$1:$O$36,3,0)</f>
        <v>4/5</v>
      </c>
      <c r="G11" s="9" t="str">
        <f>VLOOKUP($A11,'CALENDRIER BASE'!$A$1:$O$36,4,0)</f>
        <v>3/5</v>
      </c>
      <c r="H11" s="10" t="str">
        <f>VLOOKUP($A11,'CALENDRIER BASE'!$A$1:$O$36,5,0)</f>
        <v>3/5</v>
      </c>
      <c r="I11" s="9" t="str">
        <f>VLOOKUP($A11,'CALENDRIER BASE'!$A$1:$O$36,6,0)</f>
        <v>Ville BZ</v>
      </c>
      <c r="J11" s="10" t="str">
        <f>VLOOKUP($A11,'CALENDRIER BASE'!$A$1:$O$36,7,0)</f>
        <v>Ville BX</v>
      </c>
      <c r="K11" s="9" t="str">
        <f>VLOOKUP($A11,'CALENDRIER BASE'!$A$1:$O$36,8,0)</f>
        <v>Ville BT</v>
      </c>
      <c r="L11" s="10" t="str">
        <f>VLOOKUP($A11,'CALENDRIER BASE'!$A$1:$O$36,9,0)</f>
        <v>Ville BH</v>
      </c>
      <c r="M11" s="9" t="str">
        <f>VLOOKUP($A11,'CALENDRIER BASE'!$A$1:$O$36,10,0)</f>
        <v>Ville BI</v>
      </c>
      <c r="N11" s="10" t="str">
        <f>VLOOKUP($A11,'CALENDRIER BASE'!$A$1:$O$36,11,0)</f>
        <v>Ville BJ</v>
      </c>
      <c r="O11" s="9" t="str">
        <f>VLOOKUP($A11,'CALENDRIER BASE'!$A$1:$O$36,12,0)</f>
        <v>Ville BK</v>
      </c>
      <c r="P11" s="10" t="str">
        <f>VLOOKUP($A11,'CALENDRIER BASE'!$A$1:$O$36,13,0)</f>
        <v>Ville BL</v>
      </c>
      <c r="Q11" s="9" t="str">
        <f>VLOOKUP($A11,'CALENDRIER BASE'!$A$1:$O$36,14,0)</f>
        <v>Ville BR</v>
      </c>
      <c r="R11" s="10" t="str">
        <f>VLOOKUP($A11,'CALENDRIER BASE'!$A$1:$O$36,15,0)</f>
        <v>Ville BU</v>
      </c>
      <c r="S11" s="4"/>
    </row>
    <row r="12" spans="1:22" s="3" customFormat="1" ht="15" customHeight="1" x14ac:dyDescent="0.25">
      <c r="A12" s="36" t="str">
        <f t="shared" si="0"/>
        <v>2Sam</v>
      </c>
      <c r="B12" s="37">
        <f t="shared" si="1"/>
        <v>2</v>
      </c>
      <c r="C12" s="38" t="str">
        <f t="shared" ref="C12" si="12">PROPER(TEXT(D12,"jjj"))</f>
        <v>Sam</v>
      </c>
      <c r="D12" s="34">
        <f t="shared" si="3"/>
        <v>43841</v>
      </c>
      <c r="E12" s="9" t="str">
        <f>VLOOKUP($A12,'CALENDRIER BASE'!$A$1:$O$36,2,0)</f>
        <v xml:space="preserve"> </v>
      </c>
      <c r="F12" s="10" t="str">
        <f>VLOOKUP($A12,'CALENDRIER BASE'!$A$1:$O$36,3,0)</f>
        <v xml:space="preserve"> </v>
      </c>
      <c r="G12" s="9" t="str">
        <f>VLOOKUP($A12,'CALENDRIER BASE'!$A$1:$O$36,4,0)</f>
        <v xml:space="preserve"> </v>
      </c>
      <c r="H12" s="10" t="str">
        <f>VLOOKUP($A12,'CALENDRIER BASE'!$A$1:$O$36,5,0)</f>
        <v xml:space="preserve"> </v>
      </c>
      <c r="I12" s="9" t="str">
        <f>VLOOKUP($A12,'CALENDRIER BASE'!$A$1:$O$36,6,0)</f>
        <v xml:space="preserve"> </v>
      </c>
      <c r="J12" s="10" t="str">
        <f>VLOOKUP($A12,'CALENDRIER BASE'!$A$1:$O$36,7,0)</f>
        <v xml:space="preserve"> </v>
      </c>
      <c r="K12" s="9" t="str">
        <f>VLOOKUP($A12,'CALENDRIER BASE'!$A$1:$O$36,8,0)</f>
        <v xml:space="preserve"> </v>
      </c>
      <c r="L12" s="10" t="str">
        <f>VLOOKUP($A12,'CALENDRIER BASE'!$A$1:$O$36,9,0)</f>
        <v xml:space="preserve"> </v>
      </c>
      <c r="M12" s="9" t="str">
        <f>VLOOKUP($A12,'CALENDRIER BASE'!$A$1:$O$36,10,0)</f>
        <v xml:space="preserve"> </v>
      </c>
      <c r="N12" s="10" t="str">
        <f>VLOOKUP($A12,'CALENDRIER BASE'!$A$1:$O$36,11,0)</f>
        <v xml:space="preserve"> </v>
      </c>
      <c r="O12" s="9" t="str">
        <f>VLOOKUP($A12,'CALENDRIER BASE'!$A$1:$O$36,12,0)</f>
        <v xml:space="preserve"> </v>
      </c>
      <c r="P12" s="10" t="str">
        <f>VLOOKUP($A12,'CALENDRIER BASE'!$A$1:$O$36,13,0)</f>
        <v xml:space="preserve"> </v>
      </c>
      <c r="Q12" s="9" t="str">
        <f>VLOOKUP($A12,'CALENDRIER BASE'!$A$1:$O$36,14,0)</f>
        <v xml:space="preserve"> </v>
      </c>
      <c r="R12" s="10" t="str">
        <f>VLOOKUP($A12,'CALENDRIER BASE'!$A$1:$O$36,15,0)</f>
        <v xml:space="preserve"> </v>
      </c>
      <c r="S12" s="4"/>
    </row>
    <row r="13" spans="1:22" s="3" customFormat="1" ht="15" customHeight="1" x14ac:dyDescent="0.25">
      <c r="A13" s="36" t="str">
        <f t="shared" si="0"/>
        <v>2Dim</v>
      </c>
      <c r="B13" s="37">
        <f t="shared" si="1"/>
        <v>2</v>
      </c>
      <c r="C13" s="38" t="str">
        <f t="shared" ref="C13" si="13">PROPER(TEXT(D13,"jjj"))</f>
        <v>Dim</v>
      </c>
      <c r="D13" s="34">
        <f t="shared" si="3"/>
        <v>43842</v>
      </c>
      <c r="E13" s="9" t="str">
        <f>VLOOKUP($A13,'CALENDRIER BASE'!$A$1:$O$36,2,0)</f>
        <v xml:space="preserve"> </v>
      </c>
      <c r="F13" s="10" t="str">
        <f>VLOOKUP($A13,'CALENDRIER BASE'!$A$1:$O$36,3,0)</f>
        <v xml:space="preserve"> </v>
      </c>
      <c r="G13" s="9" t="str">
        <f>VLOOKUP($A13,'CALENDRIER BASE'!$A$1:$O$36,4,0)</f>
        <v xml:space="preserve"> </v>
      </c>
      <c r="H13" s="10" t="str">
        <f>VLOOKUP($A13,'CALENDRIER BASE'!$A$1:$O$36,5,0)</f>
        <v xml:space="preserve"> </v>
      </c>
      <c r="I13" s="9" t="str">
        <f>VLOOKUP($A13,'CALENDRIER BASE'!$A$1:$O$36,6,0)</f>
        <v xml:space="preserve"> </v>
      </c>
      <c r="J13" s="10" t="str">
        <f>VLOOKUP($A13,'CALENDRIER BASE'!$A$1:$O$36,7,0)</f>
        <v xml:space="preserve"> </v>
      </c>
      <c r="K13" s="9" t="str">
        <f>VLOOKUP($A13,'CALENDRIER BASE'!$A$1:$O$36,8,0)</f>
        <v xml:space="preserve"> </v>
      </c>
      <c r="L13" s="10" t="str">
        <f>VLOOKUP($A13,'CALENDRIER BASE'!$A$1:$O$36,9,0)</f>
        <v xml:space="preserve"> </v>
      </c>
      <c r="M13" s="9" t="str">
        <f>VLOOKUP($A13,'CALENDRIER BASE'!$A$1:$O$36,10,0)</f>
        <v xml:space="preserve"> </v>
      </c>
      <c r="N13" s="10" t="str">
        <f>VLOOKUP($A13,'CALENDRIER BASE'!$A$1:$O$36,11,0)</f>
        <v xml:space="preserve"> </v>
      </c>
      <c r="O13" s="9" t="str">
        <f>VLOOKUP($A13,'CALENDRIER BASE'!$A$1:$O$36,12,0)</f>
        <v xml:space="preserve"> </v>
      </c>
      <c r="P13" s="10" t="str">
        <f>VLOOKUP($A13,'CALENDRIER BASE'!$A$1:$O$36,13,0)</f>
        <v xml:space="preserve"> </v>
      </c>
      <c r="Q13" s="9" t="str">
        <f>VLOOKUP($A13,'CALENDRIER BASE'!$A$1:$O$36,14,0)</f>
        <v xml:space="preserve"> </v>
      </c>
      <c r="R13" s="10" t="str">
        <f>VLOOKUP($A13,'CALENDRIER BASE'!$A$1:$O$36,15,0)</f>
        <v xml:space="preserve"> </v>
      </c>
      <c r="S13" s="4"/>
    </row>
    <row r="14" spans="1:22" s="3" customFormat="1" ht="20.100000000000001" customHeight="1" x14ac:dyDescent="0.25">
      <c r="A14" s="36" t="str">
        <f t="shared" si="0"/>
        <v>3Lun</v>
      </c>
      <c r="B14" s="37">
        <f t="shared" si="1"/>
        <v>3</v>
      </c>
      <c r="C14" s="38" t="str">
        <f t="shared" ref="C14" si="14">PROPER(TEXT(D14,"jjj"))</f>
        <v>Lun</v>
      </c>
      <c r="D14" s="34">
        <f t="shared" si="3"/>
        <v>43843</v>
      </c>
      <c r="E14" s="9" t="str">
        <f>VLOOKUP($A14,'CALENDRIER BASE'!$A$1:$O$36,2,0)</f>
        <v>Ville AA</v>
      </c>
      <c r="F14" s="10" t="str">
        <f>VLOOKUP($A14,'CALENDRIER BASE'!$A$1:$O$36,3,0)</f>
        <v>Ville BB</v>
      </c>
      <c r="G14" s="9" t="str">
        <f>VLOOKUP($A14,'CALENDRIER BASE'!$A$1:$O$36,4,0)</f>
        <v>Ville CC</v>
      </c>
      <c r="H14" s="10" t="str">
        <f>VLOOKUP($A14,'CALENDRIER BASE'!$A$1:$O$36,5,0)</f>
        <v>Ville DD</v>
      </c>
      <c r="I14" s="9" t="str">
        <f>VLOOKUP($A14,'CALENDRIER BASE'!$A$1:$O$36,6,0)</f>
        <v>Ville EE</v>
      </c>
      <c r="J14" s="10" t="str">
        <f>VLOOKUP($A14,'CALENDRIER BASE'!$A$1:$O$36,7,0)</f>
        <v>Ville FF</v>
      </c>
      <c r="K14" s="9" t="str">
        <f>VLOOKUP($A14,'CALENDRIER BASE'!$A$1:$O$36,8,0)</f>
        <v>Ville GG</v>
      </c>
      <c r="L14" s="10" t="str">
        <f>VLOOKUP($A14,'CALENDRIER BASE'!$A$1:$O$36,9,0)</f>
        <v>Ville HH</v>
      </c>
      <c r="M14" s="9" t="str">
        <f>VLOOKUP($A14,'CALENDRIER BASE'!$A$1:$O$36,10,0)</f>
        <v>3/5</v>
      </c>
      <c r="N14" s="10" t="str">
        <f>VLOOKUP($A14,'CALENDRIER BASE'!$A$1:$O$36,11,0)</f>
        <v>3/5</v>
      </c>
      <c r="O14" s="9" t="str">
        <f>VLOOKUP($A14,'CALENDRIER BASE'!$A$1:$O$36,12,0)</f>
        <v>Ville KK</v>
      </c>
      <c r="P14" s="10" t="str">
        <f>VLOOKUP($A14,'CALENDRIER BASE'!$A$1:$O$36,13,0)</f>
        <v>Ville LL</v>
      </c>
      <c r="Q14" s="9" t="str">
        <f>VLOOKUP($A14,'CALENDRIER BASE'!$A$1:$O$36,14,0)</f>
        <v>Ville MM</v>
      </c>
      <c r="R14" s="10" t="str">
        <f>VLOOKUP($A14,'CALENDRIER BASE'!$A$1:$O$36,15,0)</f>
        <v>Ville NN</v>
      </c>
      <c r="S14" s="4"/>
    </row>
    <row r="15" spans="1:22" s="3" customFormat="1" ht="20.100000000000001" customHeight="1" x14ac:dyDescent="0.25">
      <c r="A15" s="36" t="str">
        <f t="shared" si="0"/>
        <v>3Mar</v>
      </c>
      <c r="B15" s="37">
        <f t="shared" si="1"/>
        <v>3</v>
      </c>
      <c r="C15" s="38" t="str">
        <f t="shared" ref="C15" si="15">PROPER(TEXT(D15,"jjj"))</f>
        <v>Mar</v>
      </c>
      <c r="D15" s="34">
        <f t="shared" si="3"/>
        <v>43844</v>
      </c>
      <c r="E15" s="9" t="str">
        <f>VLOOKUP($A15,'CALENDRIER BASE'!$A$1:$O$36,2,0)</f>
        <v>Ville OO</v>
      </c>
      <c r="F15" s="10" t="str">
        <f>VLOOKUP($A15,'CALENDRIER BASE'!$A$1:$O$36,3,0)</f>
        <v>Ville PP</v>
      </c>
      <c r="G15" s="9" t="str">
        <f>VLOOKUP($A15,'CALENDRIER BASE'!$A$1:$O$36,4,0)</f>
        <v>Ville QQ</v>
      </c>
      <c r="H15" s="10" t="str">
        <f>VLOOKUP($A15,'CALENDRIER BASE'!$A$1:$O$36,5,0)</f>
        <v>Ville RR</v>
      </c>
      <c r="I15" s="9" t="str">
        <f>VLOOKUP($A15,'CALENDRIER BASE'!$A$1:$O$36,6,0)</f>
        <v>Ville SS</v>
      </c>
      <c r="J15" s="10" t="str">
        <f>VLOOKUP($A15,'CALENDRIER BASE'!$A$1:$O$36,7,0)</f>
        <v>Ville TT</v>
      </c>
      <c r="K15" s="9" t="str">
        <f>VLOOKUP($A15,'CALENDRIER BASE'!$A$1:$O$36,8,0)</f>
        <v>Ville UU</v>
      </c>
      <c r="L15" s="10" t="str">
        <f>VLOOKUP($A15,'CALENDRIER BASE'!$A$1:$O$36,9,0)</f>
        <v>Ville VV</v>
      </c>
      <c r="M15" s="9" t="str">
        <f>VLOOKUP($A15,'CALENDRIER BASE'!$A$1:$O$36,10,0)</f>
        <v>3/5</v>
      </c>
      <c r="N15" s="10" t="str">
        <f>VLOOKUP($A15,'CALENDRIER BASE'!$A$1:$O$36,11,0)</f>
        <v>3/5</v>
      </c>
      <c r="O15" s="9" t="str">
        <f>VLOOKUP($A15,'CALENDRIER BASE'!$A$1:$O$36,12,0)</f>
        <v>Ville WW</v>
      </c>
      <c r="P15" s="10" t="str">
        <f>VLOOKUP($A15,'CALENDRIER BASE'!$A$1:$O$36,13,0)</f>
        <v>Ville AB</v>
      </c>
      <c r="Q15" s="9" t="str">
        <f>VLOOKUP($A15,'CALENDRIER BASE'!$A$1:$O$36,14,0)</f>
        <v>Ville AC</v>
      </c>
      <c r="R15" s="10" t="str">
        <f>VLOOKUP($A15,'CALENDRIER BASE'!$A$1:$O$36,15,0)</f>
        <v>Ville AD</v>
      </c>
      <c r="S15" s="4"/>
    </row>
    <row r="16" spans="1:22" s="3" customFormat="1" ht="20.100000000000001" customHeight="1" x14ac:dyDescent="0.25">
      <c r="A16" s="36" t="str">
        <f t="shared" si="0"/>
        <v>3Mer</v>
      </c>
      <c r="B16" s="37">
        <f t="shared" si="1"/>
        <v>3</v>
      </c>
      <c r="C16" s="38" t="str">
        <f t="shared" ref="C16" si="16">PROPER(TEXT(D16,"jjj"))</f>
        <v>Mer</v>
      </c>
      <c r="D16" s="34">
        <f t="shared" si="3"/>
        <v>43845</v>
      </c>
      <c r="E16" s="9" t="str">
        <f>VLOOKUP($A16,'CALENDRIER BASE'!$A$1:$O$36,2,0)</f>
        <v>Ville AE</v>
      </c>
      <c r="F16" s="10" t="str">
        <f>VLOOKUP($A16,'CALENDRIER BASE'!$A$1:$O$36,3,0)</f>
        <v>Ville AF</v>
      </c>
      <c r="G16" s="9" t="str">
        <f>VLOOKUP($A16,'CALENDRIER BASE'!$A$1:$O$36,4,0)</f>
        <v>Ville AT</v>
      </c>
      <c r="H16" s="10" t="str">
        <f>VLOOKUP($A16,'CALENDRIER BASE'!$A$1:$O$36,5,0)</f>
        <v>Ville AP</v>
      </c>
      <c r="I16" s="9" t="str">
        <f>VLOOKUP($A16,'CALENDRIER BASE'!$A$1:$O$36,6,0)</f>
        <v>Ville AM</v>
      </c>
      <c r="J16" s="10" t="str">
        <f>VLOOKUP($A16,'CALENDRIER BASE'!$A$1:$O$36,7,0)</f>
        <v>Ville AQ</v>
      </c>
      <c r="K16" s="9" t="str">
        <f>VLOOKUP($A16,'CALENDRIER BASE'!$A$1:$O$36,8,0)</f>
        <v>Ville AR</v>
      </c>
      <c r="L16" s="10" t="str">
        <f>VLOOKUP($A16,'CALENDRIER BASE'!$A$1:$O$36,9,0)</f>
        <v>Ville AS</v>
      </c>
      <c r="M16" s="9" t="str">
        <f>VLOOKUP($A16,'CALENDRIER BASE'!$A$1:$O$36,10,0)</f>
        <v>Ville AJ</v>
      </c>
      <c r="N16" s="10" t="str">
        <f>VLOOKUP($A16,'CALENDRIER BASE'!$A$1:$O$36,11,0)</f>
        <v>Ville AW</v>
      </c>
      <c r="O16" s="9" t="str">
        <f>VLOOKUP($A16,'CALENDRIER BASE'!$A$1:$O$36,12,0)</f>
        <v>Ville AV</v>
      </c>
      <c r="P16" s="10" t="str">
        <f>VLOOKUP($A16,'CALENDRIER BASE'!$A$1:$O$36,13,0)</f>
        <v>Ville AX</v>
      </c>
      <c r="Q16" s="9" t="str">
        <f>VLOOKUP($A16,'CALENDRIER BASE'!$A$1:$O$36,14,0)</f>
        <v>4/5</v>
      </c>
      <c r="R16" s="10" t="str">
        <f>VLOOKUP($A16,'CALENDRIER BASE'!$A$1:$O$36,15,0)</f>
        <v>4/5</v>
      </c>
      <c r="S16" s="4"/>
    </row>
    <row r="17" spans="1:19" s="3" customFormat="1" ht="20.100000000000001" customHeight="1" x14ac:dyDescent="0.25">
      <c r="A17" s="36" t="str">
        <f t="shared" si="0"/>
        <v>3Jeu</v>
      </c>
      <c r="B17" s="37">
        <f t="shared" si="1"/>
        <v>3</v>
      </c>
      <c r="C17" s="38" t="str">
        <f t="shared" ref="C17" si="17">PROPER(TEXT(D17,"jjj"))</f>
        <v>Jeu</v>
      </c>
      <c r="D17" s="34">
        <f t="shared" si="3"/>
        <v>43846</v>
      </c>
      <c r="E17" s="9" t="str">
        <f>VLOOKUP($A17,'CALENDRIER BASE'!$A$1:$O$36,2,0)</f>
        <v>Ville BA</v>
      </c>
      <c r="F17" s="10" t="str">
        <f>VLOOKUP($A17,'CALENDRIER BASE'!$A$1:$O$36,3,0)</f>
        <v>Ville BC</v>
      </c>
      <c r="G17" s="9" t="str">
        <f>VLOOKUP($A17,'CALENDRIER BASE'!$A$1:$O$36,4,0)</f>
        <v>3/5</v>
      </c>
      <c r="H17" s="10" t="str">
        <f>VLOOKUP($A17,'CALENDRIER BASE'!$A$1:$O$36,5,0)</f>
        <v>3/5</v>
      </c>
      <c r="I17" s="9" t="str">
        <f>VLOOKUP($A17,'CALENDRIER BASE'!$A$1:$O$36,6,0)</f>
        <v>Ville BD</v>
      </c>
      <c r="J17" s="10" t="str">
        <f>VLOOKUP($A17,'CALENDRIER BASE'!$A$1:$O$36,7,0)</f>
        <v>Ville BE</v>
      </c>
      <c r="K17" s="9" t="str">
        <f>VLOOKUP($A17,'CALENDRIER BASE'!$A$1:$O$36,8,0)</f>
        <v>Ville BF</v>
      </c>
      <c r="L17" s="10" t="str">
        <f>VLOOKUP($A17,'CALENDRIER BASE'!$A$1:$O$36,9,0)</f>
        <v>Ville BG</v>
      </c>
      <c r="M17" s="9" t="str">
        <f>VLOOKUP($A17,'CALENDRIER BASE'!$A$1:$O$36,10,0)</f>
        <v>Ville BM</v>
      </c>
      <c r="N17" s="10" t="str">
        <f>VLOOKUP($A17,'CALENDRIER BASE'!$A$1:$O$36,11,0)</f>
        <v>Ville BN</v>
      </c>
      <c r="O17" s="9" t="str">
        <f>VLOOKUP($A17,'CALENDRIER BASE'!$A$1:$O$36,12,0)</f>
        <v>Ville BO</v>
      </c>
      <c r="P17" s="10" t="str">
        <f>VLOOKUP($A17,'CALENDRIER BASE'!$A$1:$O$36,13,0)</f>
        <v>Ville BP</v>
      </c>
      <c r="Q17" s="9" t="str">
        <f>VLOOKUP($A17,'CALENDRIER BASE'!$A$1:$O$36,14,0)</f>
        <v>Ville BQ</v>
      </c>
      <c r="R17" s="10" t="str">
        <f>VLOOKUP($A17,'CALENDRIER BASE'!$A$1:$O$36,15,0)</f>
        <v>Ville BS</v>
      </c>
      <c r="S17" s="4"/>
    </row>
    <row r="18" spans="1:19" s="3" customFormat="1" ht="20.100000000000001" customHeight="1" x14ac:dyDescent="0.25">
      <c r="A18" s="36" t="str">
        <f t="shared" si="0"/>
        <v>3Ven</v>
      </c>
      <c r="B18" s="37">
        <f t="shared" si="1"/>
        <v>3</v>
      </c>
      <c r="C18" s="38" t="str">
        <f t="shared" ref="C18" si="18">PROPER(TEXT(D18,"jjj"))</f>
        <v>Ven</v>
      </c>
      <c r="D18" s="34">
        <f t="shared" si="3"/>
        <v>43847</v>
      </c>
      <c r="E18" s="9" t="str">
        <f>VLOOKUP($A18,'CALENDRIER BASE'!$A$1:$O$36,2,0)</f>
        <v>4/5</v>
      </c>
      <c r="F18" s="10" t="str">
        <f>VLOOKUP($A18,'CALENDRIER BASE'!$A$1:$O$36,3,0)</f>
        <v>4/5</v>
      </c>
      <c r="G18" s="9" t="str">
        <f>VLOOKUP($A18,'CALENDRIER BASE'!$A$1:$O$36,4,0)</f>
        <v>3/5</v>
      </c>
      <c r="H18" s="10" t="str">
        <f>VLOOKUP($A18,'CALENDRIER BASE'!$A$1:$O$36,5,0)</f>
        <v>3/5</v>
      </c>
      <c r="I18" s="9" t="str">
        <f>VLOOKUP($A18,'CALENDRIER BASE'!$A$1:$O$36,6,0)</f>
        <v>Ville BZ</v>
      </c>
      <c r="J18" s="10" t="str">
        <f>VLOOKUP($A18,'CALENDRIER BASE'!$A$1:$O$36,7,0)</f>
        <v>Ville BX</v>
      </c>
      <c r="K18" s="9" t="str">
        <f>VLOOKUP($A18,'CALENDRIER BASE'!$A$1:$O$36,8,0)</f>
        <v>Ville BT</v>
      </c>
      <c r="L18" s="10" t="str">
        <f>VLOOKUP($A18,'CALENDRIER BASE'!$A$1:$O$36,9,0)</f>
        <v>Ville BH</v>
      </c>
      <c r="M18" s="9" t="str">
        <f>VLOOKUP($A18,'CALENDRIER BASE'!$A$1:$O$36,10,0)</f>
        <v>Ville BI</v>
      </c>
      <c r="N18" s="10" t="str">
        <f>VLOOKUP($A18,'CALENDRIER BASE'!$A$1:$O$36,11,0)</f>
        <v>Ville BJ</v>
      </c>
      <c r="O18" s="9" t="str">
        <f>VLOOKUP($A18,'CALENDRIER BASE'!$A$1:$O$36,12,0)</f>
        <v>Ville BK</v>
      </c>
      <c r="P18" s="10" t="str">
        <f>VLOOKUP($A18,'CALENDRIER BASE'!$A$1:$O$36,13,0)</f>
        <v>Ville BL</v>
      </c>
      <c r="Q18" s="9" t="str">
        <f>VLOOKUP($A18,'CALENDRIER BASE'!$A$1:$O$36,14,0)</f>
        <v>Ville BR</v>
      </c>
      <c r="R18" s="10" t="str">
        <f>VLOOKUP($A18,'CALENDRIER BASE'!$A$1:$O$36,15,0)</f>
        <v>Ville BU</v>
      </c>
      <c r="S18" s="4"/>
    </row>
    <row r="19" spans="1:19" s="3" customFormat="1" ht="15" customHeight="1" x14ac:dyDescent="0.25">
      <c r="A19" s="36" t="str">
        <f t="shared" si="0"/>
        <v>3Sam</v>
      </c>
      <c r="B19" s="37">
        <f t="shared" si="1"/>
        <v>3</v>
      </c>
      <c r="C19" s="38" t="str">
        <f t="shared" ref="C19" si="19">PROPER(TEXT(D19,"jjj"))</f>
        <v>Sam</v>
      </c>
      <c r="D19" s="34">
        <f t="shared" si="3"/>
        <v>43848</v>
      </c>
      <c r="E19" s="9" t="str">
        <f>VLOOKUP($A19,'CALENDRIER BASE'!$A$1:$O$36,2,0)</f>
        <v xml:space="preserve"> </v>
      </c>
      <c r="F19" s="10" t="str">
        <f>VLOOKUP($A19,'CALENDRIER BASE'!$A$1:$O$36,3,0)</f>
        <v xml:space="preserve"> </v>
      </c>
      <c r="G19" s="9" t="str">
        <f>VLOOKUP($A19,'CALENDRIER BASE'!$A$1:$O$36,4,0)</f>
        <v xml:space="preserve"> </v>
      </c>
      <c r="H19" s="10" t="str">
        <f>VLOOKUP($A19,'CALENDRIER BASE'!$A$1:$O$36,5,0)</f>
        <v xml:space="preserve"> </v>
      </c>
      <c r="I19" s="9" t="str">
        <f>VLOOKUP($A19,'CALENDRIER BASE'!$A$1:$O$36,6,0)</f>
        <v xml:space="preserve"> </v>
      </c>
      <c r="J19" s="10" t="str">
        <f>VLOOKUP($A19,'CALENDRIER BASE'!$A$1:$O$36,7,0)</f>
        <v xml:space="preserve"> </v>
      </c>
      <c r="K19" s="9" t="str">
        <f>VLOOKUP($A19,'CALENDRIER BASE'!$A$1:$O$36,8,0)</f>
        <v xml:space="preserve"> </v>
      </c>
      <c r="L19" s="10" t="str">
        <f>VLOOKUP($A19,'CALENDRIER BASE'!$A$1:$O$36,9,0)</f>
        <v xml:space="preserve"> </v>
      </c>
      <c r="M19" s="9" t="str">
        <f>VLOOKUP($A19,'CALENDRIER BASE'!$A$1:$O$36,10,0)</f>
        <v xml:space="preserve"> </v>
      </c>
      <c r="N19" s="10" t="str">
        <f>VLOOKUP($A19,'CALENDRIER BASE'!$A$1:$O$36,11,0)</f>
        <v xml:space="preserve"> </v>
      </c>
      <c r="O19" s="9" t="str">
        <f>VLOOKUP($A19,'CALENDRIER BASE'!$A$1:$O$36,12,0)</f>
        <v xml:space="preserve"> </v>
      </c>
      <c r="P19" s="10" t="str">
        <f>VLOOKUP($A19,'CALENDRIER BASE'!$A$1:$O$36,13,0)</f>
        <v xml:space="preserve"> </v>
      </c>
      <c r="Q19" s="9" t="str">
        <f>VLOOKUP($A19,'CALENDRIER BASE'!$A$1:$O$36,14,0)</f>
        <v xml:space="preserve"> </v>
      </c>
      <c r="R19" s="10" t="str">
        <f>VLOOKUP($A19,'CALENDRIER BASE'!$A$1:$O$36,15,0)</f>
        <v xml:space="preserve"> </v>
      </c>
      <c r="S19" s="4"/>
    </row>
    <row r="20" spans="1:19" s="3" customFormat="1" ht="15" customHeight="1" x14ac:dyDescent="0.25">
      <c r="A20" s="36" t="str">
        <f t="shared" si="0"/>
        <v>3Dim</v>
      </c>
      <c r="B20" s="37">
        <f t="shared" si="1"/>
        <v>3</v>
      </c>
      <c r="C20" s="38" t="str">
        <f t="shared" ref="C20" si="20">PROPER(TEXT(D20,"jjj"))</f>
        <v>Dim</v>
      </c>
      <c r="D20" s="34">
        <f t="shared" si="3"/>
        <v>43849</v>
      </c>
      <c r="E20" s="9" t="str">
        <f>VLOOKUP($A20,'CALENDRIER BASE'!$A$1:$O$36,2,0)</f>
        <v xml:space="preserve"> </v>
      </c>
      <c r="F20" s="10" t="str">
        <f>VLOOKUP($A20,'CALENDRIER BASE'!$A$1:$O$36,3,0)</f>
        <v xml:space="preserve"> </v>
      </c>
      <c r="G20" s="9" t="str">
        <f>VLOOKUP($A20,'CALENDRIER BASE'!$A$1:$O$36,4,0)</f>
        <v xml:space="preserve"> </v>
      </c>
      <c r="H20" s="10" t="str">
        <f>VLOOKUP($A20,'CALENDRIER BASE'!$A$1:$O$36,5,0)</f>
        <v xml:space="preserve"> </v>
      </c>
      <c r="I20" s="9" t="str">
        <f>VLOOKUP($A20,'CALENDRIER BASE'!$A$1:$O$36,6,0)</f>
        <v xml:space="preserve"> </v>
      </c>
      <c r="J20" s="10" t="str">
        <f>VLOOKUP($A20,'CALENDRIER BASE'!$A$1:$O$36,7,0)</f>
        <v xml:space="preserve"> </v>
      </c>
      <c r="K20" s="9" t="str">
        <f>VLOOKUP($A20,'CALENDRIER BASE'!$A$1:$O$36,8,0)</f>
        <v xml:space="preserve"> </v>
      </c>
      <c r="L20" s="10" t="str">
        <f>VLOOKUP($A20,'CALENDRIER BASE'!$A$1:$O$36,9,0)</f>
        <v xml:space="preserve"> </v>
      </c>
      <c r="M20" s="9" t="str">
        <f>VLOOKUP($A20,'CALENDRIER BASE'!$A$1:$O$36,10,0)</f>
        <v xml:space="preserve"> </v>
      </c>
      <c r="N20" s="10" t="str">
        <f>VLOOKUP($A20,'CALENDRIER BASE'!$A$1:$O$36,11,0)</f>
        <v xml:space="preserve"> </v>
      </c>
      <c r="O20" s="9" t="str">
        <f>VLOOKUP($A20,'CALENDRIER BASE'!$A$1:$O$36,12,0)</f>
        <v xml:space="preserve"> </v>
      </c>
      <c r="P20" s="10" t="str">
        <f>VLOOKUP($A20,'CALENDRIER BASE'!$A$1:$O$36,13,0)</f>
        <v xml:space="preserve"> </v>
      </c>
      <c r="Q20" s="9" t="str">
        <f>VLOOKUP($A20,'CALENDRIER BASE'!$A$1:$O$36,14,0)</f>
        <v xml:space="preserve"> </v>
      </c>
      <c r="R20" s="10" t="str">
        <f>VLOOKUP($A20,'CALENDRIER BASE'!$A$1:$O$36,15,0)</f>
        <v xml:space="preserve"> </v>
      </c>
      <c r="S20" s="4"/>
    </row>
    <row r="21" spans="1:19" s="3" customFormat="1" ht="20.100000000000001" customHeight="1" x14ac:dyDescent="0.25">
      <c r="A21" s="36" t="str">
        <f t="shared" si="0"/>
        <v>4Lun</v>
      </c>
      <c r="B21" s="37">
        <f t="shared" si="1"/>
        <v>4</v>
      </c>
      <c r="C21" s="38" t="str">
        <f t="shared" ref="C21" si="21">PROPER(TEXT(D21,"jjj"))</f>
        <v>Lun</v>
      </c>
      <c r="D21" s="34">
        <f t="shared" si="3"/>
        <v>43850</v>
      </c>
      <c r="E21" s="9" t="str">
        <f>VLOOKUP($A21,'CALENDRIER BASE'!$A$1:$O$36,2,0)</f>
        <v>Ville AA</v>
      </c>
      <c r="F21" s="10" t="str">
        <f>VLOOKUP($A21,'CALENDRIER BASE'!$A$1:$O$36,3,0)</f>
        <v>Ville BB</v>
      </c>
      <c r="G21" s="9" t="str">
        <f>VLOOKUP($A21,'CALENDRIER BASE'!$A$1:$O$36,4,0)</f>
        <v>Ville CC</v>
      </c>
      <c r="H21" s="10" t="str">
        <f>VLOOKUP($A21,'CALENDRIER BASE'!$A$1:$O$36,5,0)</f>
        <v>Ville DD</v>
      </c>
      <c r="I21" s="9" t="str">
        <f>VLOOKUP($A21,'CALENDRIER BASE'!$A$1:$O$36,6,0)</f>
        <v>Ville EE</v>
      </c>
      <c r="J21" s="10" t="str">
        <f>VLOOKUP($A21,'CALENDRIER BASE'!$A$1:$O$36,7,0)</f>
        <v>Ville FF</v>
      </c>
      <c r="K21" s="9" t="str">
        <f>VLOOKUP($A21,'CALENDRIER BASE'!$A$1:$O$36,8,0)</f>
        <v>Ville GG</v>
      </c>
      <c r="L21" s="10" t="str">
        <f>VLOOKUP($A21,'CALENDRIER BASE'!$A$1:$O$36,9,0)</f>
        <v>Ville HH</v>
      </c>
      <c r="M21" s="9" t="str">
        <f>VLOOKUP($A21,'CALENDRIER BASE'!$A$1:$O$36,10,0)</f>
        <v>3/5</v>
      </c>
      <c r="N21" s="10" t="str">
        <f>VLOOKUP($A21,'CALENDRIER BASE'!$A$1:$O$36,11,0)</f>
        <v>3/5</v>
      </c>
      <c r="O21" s="9" t="str">
        <f>VLOOKUP($A21,'CALENDRIER BASE'!$A$1:$O$36,12,0)</f>
        <v>Ville KK</v>
      </c>
      <c r="P21" s="10" t="str">
        <f>VLOOKUP($A21,'CALENDRIER BASE'!$A$1:$O$36,13,0)</f>
        <v>Ville LL</v>
      </c>
      <c r="Q21" s="9" t="str">
        <f>VLOOKUP($A21,'CALENDRIER BASE'!$A$1:$O$36,14,0)</f>
        <v>Ville MM</v>
      </c>
      <c r="R21" s="10" t="str">
        <f>VLOOKUP($A21,'CALENDRIER BASE'!$A$1:$O$36,15,0)</f>
        <v>Ville NN</v>
      </c>
      <c r="S21" s="4"/>
    </row>
    <row r="22" spans="1:19" s="3" customFormat="1" ht="20.100000000000001" customHeight="1" x14ac:dyDescent="0.25">
      <c r="A22" s="36" t="str">
        <f t="shared" si="0"/>
        <v>4Mar</v>
      </c>
      <c r="B22" s="37">
        <f t="shared" si="1"/>
        <v>4</v>
      </c>
      <c r="C22" s="38" t="str">
        <f t="shared" ref="C22" si="22">PROPER(TEXT(D22,"jjj"))</f>
        <v>Mar</v>
      </c>
      <c r="D22" s="34">
        <f t="shared" si="3"/>
        <v>43851</v>
      </c>
      <c r="E22" s="9" t="str">
        <f>VLOOKUP($A22,'CALENDRIER BASE'!$A$1:$O$36,2,0)</f>
        <v>Ville OO</v>
      </c>
      <c r="F22" s="10" t="str">
        <f>VLOOKUP($A22,'CALENDRIER BASE'!$A$1:$O$36,3,0)</f>
        <v>Ville PP</v>
      </c>
      <c r="G22" s="9" t="str">
        <f>VLOOKUP($A22,'CALENDRIER BASE'!$A$1:$O$36,4,0)</f>
        <v>Ville QQ</v>
      </c>
      <c r="H22" s="10" t="str">
        <f>VLOOKUP($A22,'CALENDRIER BASE'!$A$1:$O$36,5,0)</f>
        <v>Ville RR</v>
      </c>
      <c r="I22" s="9" t="str">
        <f>VLOOKUP($A22,'CALENDRIER BASE'!$A$1:$O$36,6,0)</f>
        <v>Ville SS</v>
      </c>
      <c r="J22" s="10" t="str">
        <f>VLOOKUP($A22,'CALENDRIER BASE'!$A$1:$O$36,7,0)</f>
        <v>Ville TT</v>
      </c>
      <c r="K22" s="9" t="str">
        <f>VLOOKUP($A22,'CALENDRIER BASE'!$A$1:$O$36,8,0)</f>
        <v>Ville UU</v>
      </c>
      <c r="L22" s="10" t="str">
        <f>VLOOKUP($A22,'CALENDRIER BASE'!$A$1:$O$36,9,0)</f>
        <v>Ville VV</v>
      </c>
      <c r="M22" s="9" t="str">
        <f>VLOOKUP($A22,'CALENDRIER BASE'!$A$1:$O$36,10,0)</f>
        <v>3/5</v>
      </c>
      <c r="N22" s="10" t="str">
        <f>VLOOKUP($A22,'CALENDRIER BASE'!$A$1:$O$36,11,0)</f>
        <v>3/5</v>
      </c>
      <c r="O22" s="9" t="str">
        <f>VLOOKUP($A22,'CALENDRIER BASE'!$A$1:$O$36,12,0)</f>
        <v>Ville WW</v>
      </c>
      <c r="P22" s="10" t="str">
        <f>VLOOKUP($A22,'CALENDRIER BASE'!$A$1:$O$36,13,0)</f>
        <v>Ville AB</v>
      </c>
      <c r="Q22" s="9" t="str">
        <f>VLOOKUP($A22,'CALENDRIER BASE'!$A$1:$O$36,14,0)</f>
        <v>Ville AC</v>
      </c>
      <c r="R22" s="10" t="str">
        <f>VLOOKUP($A22,'CALENDRIER BASE'!$A$1:$O$36,15,0)</f>
        <v>Ville AD</v>
      </c>
      <c r="S22" s="4"/>
    </row>
    <row r="23" spans="1:19" s="3" customFormat="1" ht="20.100000000000001" customHeight="1" x14ac:dyDescent="0.25">
      <c r="A23" s="36" t="str">
        <f t="shared" si="0"/>
        <v>4Mer</v>
      </c>
      <c r="B23" s="37">
        <f t="shared" si="1"/>
        <v>4</v>
      </c>
      <c r="C23" s="38" t="str">
        <f t="shared" ref="C23" si="23">PROPER(TEXT(D23,"jjj"))</f>
        <v>Mer</v>
      </c>
      <c r="D23" s="34">
        <f t="shared" si="3"/>
        <v>43852</v>
      </c>
      <c r="E23" s="9" t="str">
        <f>VLOOKUP($A23,'CALENDRIER BASE'!$A$1:$O$36,2,0)</f>
        <v>Ville AE</v>
      </c>
      <c r="F23" s="10" t="str">
        <f>VLOOKUP($A23,'CALENDRIER BASE'!$A$1:$O$36,3,0)</f>
        <v>Ville AF</v>
      </c>
      <c r="G23" s="9" t="str">
        <f>VLOOKUP($A23,'CALENDRIER BASE'!$A$1:$O$36,4,0)</f>
        <v>Ville AT</v>
      </c>
      <c r="H23" s="10" t="str">
        <f>VLOOKUP($A23,'CALENDRIER BASE'!$A$1:$O$36,5,0)</f>
        <v>Ville AP</v>
      </c>
      <c r="I23" s="9" t="str">
        <f>VLOOKUP($A23,'CALENDRIER BASE'!$A$1:$O$36,6,0)</f>
        <v>Ville AM</v>
      </c>
      <c r="J23" s="10" t="str">
        <f>VLOOKUP($A23,'CALENDRIER BASE'!$A$1:$O$36,7,0)</f>
        <v>Ville AQ</v>
      </c>
      <c r="K23" s="9" t="str">
        <f>VLOOKUP($A23,'CALENDRIER BASE'!$A$1:$O$36,8,0)</f>
        <v>Ville AR</v>
      </c>
      <c r="L23" s="10" t="str">
        <f>VLOOKUP($A23,'CALENDRIER BASE'!$A$1:$O$36,9,0)</f>
        <v>Ville AS</v>
      </c>
      <c r="M23" s="9" t="str">
        <f>VLOOKUP($A23,'CALENDRIER BASE'!$A$1:$O$36,10,0)</f>
        <v>Ville AJ</v>
      </c>
      <c r="N23" s="10" t="str">
        <f>VLOOKUP($A23,'CALENDRIER BASE'!$A$1:$O$36,11,0)</f>
        <v>Ville AW</v>
      </c>
      <c r="O23" s="9" t="str">
        <f>VLOOKUP($A23,'CALENDRIER BASE'!$A$1:$O$36,12,0)</f>
        <v>Ville AV</v>
      </c>
      <c r="P23" s="10" t="str">
        <f>VLOOKUP($A23,'CALENDRIER BASE'!$A$1:$O$36,13,0)</f>
        <v>Ville AX</v>
      </c>
      <c r="Q23" s="9" t="str">
        <f>VLOOKUP($A23,'CALENDRIER BASE'!$A$1:$O$36,14,0)</f>
        <v>4/5</v>
      </c>
      <c r="R23" s="10" t="str">
        <f>VLOOKUP($A23,'CALENDRIER BASE'!$A$1:$O$36,15,0)</f>
        <v>4/5</v>
      </c>
      <c r="S23" s="4"/>
    </row>
    <row r="24" spans="1:19" s="3" customFormat="1" ht="20.100000000000001" customHeight="1" x14ac:dyDescent="0.25">
      <c r="A24" s="36" t="str">
        <f t="shared" si="0"/>
        <v>4Jeu</v>
      </c>
      <c r="B24" s="37">
        <f t="shared" si="1"/>
        <v>4</v>
      </c>
      <c r="C24" s="38" t="str">
        <f t="shared" ref="C24" si="24">PROPER(TEXT(D24,"jjj"))</f>
        <v>Jeu</v>
      </c>
      <c r="D24" s="34">
        <f t="shared" si="3"/>
        <v>43853</v>
      </c>
      <c r="E24" s="9" t="str">
        <f>VLOOKUP($A24,'CALENDRIER BASE'!$A$1:$O$36,2,0)</f>
        <v>Ville BA</v>
      </c>
      <c r="F24" s="10" t="str">
        <f>VLOOKUP($A24,'CALENDRIER BASE'!$A$1:$O$36,3,0)</f>
        <v>Ville BC</v>
      </c>
      <c r="G24" s="9" t="str">
        <f>VLOOKUP($A24,'CALENDRIER BASE'!$A$1:$O$36,4,0)</f>
        <v>3/5</v>
      </c>
      <c r="H24" s="10" t="str">
        <f>VLOOKUP($A24,'CALENDRIER BASE'!$A$1:$O$36,5,0)</f>
        <v>3/5</v>
      </c>
      <c r="I24" s="9" t="str">
        <f>VLOOKUP($A24,'CALENDRIER BASE'!$A$1:$O$36,6,0)</f>
        <v>Ville BD</v>
      </c>
      <c r="J24" s="10" t="str">
        <f>VLOOKUP($A24,'CALENDRIER BASE'!$A$1:$O$36,7,0)</f>
        <v>Ville BE</v>
      </c>
      <c r="K24" s="9" t="str">
        <f>VLOOKUP($A24,'CALENDRIER BASE'!$A$1:$O$36,8,0)</f>
        <v>Ville BF</v>
      </c>
      <c r="L24" s="10" t="str">
        <f>VLOOKUP($A24,'CALENDRIER BASE'!$A$1:$O$36,9,0)</f>
        <v>Ville BG</v>
      </c>
      <c r="M24" s="9" t="str">
        <f>VLOOKUP($A24,'CALENDRIER BASE'!$A$1:$O$36,10,0)</f>
        <v>Ville BM</v>
      </c>
      <c r="N24" s="10" t="str">
        <f>VLOOKUP($A24,'CALENDRIER BASE'!$A$1:$O$36,11,0)</f>
        <v>Ville BN</v>
      </c>
      <c r="O24" s="9" t="str">
        <f>VLOOKUP($A24,'CALENDRIER BASE'!$A$1:$O$36,12,0)</f>
        <v>Ville BO</v>
      </c>
      <c r="P24" s="10" t="str">
        <f>VLOOKUP($A24,'CALENDRIER BASE'!$A$1:$O$36,13,0)</f>
        <v>Ville BP</v>
      </c>
      <c r="Q24" s="9" t="str">
        <f>VLOOKUP($A24,'CALENDRIER BASE'!$A$1:$O$36,14,0)</f>
        <v>Ville BQ</v>
      </c>
      <c r="R24" s="10" t="str">
        <f>VLOOKUP($A24,'CALENDRIER BASE'!$A$1:$O$36,15,0)</f>
        <v>Ville BS</v>
      </c>
      <c r="S24" s="4"/>
    </row>
    <row r="25" spans="1:19" s="3" customFormat="1" ht="20.100000000000001" customHeight="1" x14ac:dyDescent="0.25">
      <c r="A25" s="36" t="str">
        <f t="shared" si="0"/>
        <v>4Ven</v>
      </c>
      <c r="B25" s="37">
        <f t="shared" si="1"/>
        <v>4</v>
      </c>
      <c r="C25" s="38" t="str">
        <f t="shared" ref="C25" si="25">PROPER(TEXT(D25,"jjj"))</f>
        <v>Ven</v>
      </c>
      <c r="D25" s="34">
        <f t="shared" si="3"/>
        <v>43854</v>
      </c>
      <c r="E25" s="9" t="str">
        <f>VLOOKUP($A25,'CALENDRIER BASE'!$A$1:$O$36,2,0)</f>
        <v>4/5</v>
      </c>
      <c r="F25" s="10" t="str">
        <f>VLOOKUP($A25,'CALENDRIER BASE'!$A$1:$O$36,3,0)</f>
        <v>4/5</v>
      </c>
      <c r="G25" s="9" t="str">
        <f>VLOOKUP($A25,'CALENDRIER BASE'!$A$1:$O$36,4,0)</f>
        <v>3/5</v>
      </c>
      <c r="H25" s="10" t="str">
        <f>VLOOKUP($A25,'CALENDRIER BASE'!$A$1:$O$36,5,0)</f>
        <v>3/5</v>
      </c>
      <c r="I25" s="9" t="str">
        <f>VLOOKUP($A25,'CALENDRIER BASE'!$A$1:$O$36,6,0)</f>
        <v>Ville BZ</v>
      </c>
      <c r="J25" s="10" t="str">
        <f>VLOOKUP($A25,'CALENDRIER BASE'!$A$1:$O$36,7,0)</f>
        <v>Ville BX</v>
      </c>
      <c r="K25" s="9" t="str">
        <f>VLOOKUP($A25,'CALENDRIER BASE'!$A$1:$O$36,8,0)</f>
        <v>Ville BT</v>
      </c>
      <c r="L25" s="10" t="str">
        <f>VLOOKUP($A25,'CALENDRIER BASE'!$A$1:$O$36,9,0)</f>
        <v>Ville BH</v>
      </c>
      <c r="M25" s="9" t="str">
        <f>VLOOKUP($A25,'CALENDRIER BASE'!$A$1:$O$36,10,0)</f>
        <v>Ville BI</v>
      </c>
      <c r="N25" s="10" t="str">
        <f>VLOOKUP($A25,'CALENDRIER BASE'!$A$1:$O$36,11,0)</f>
        <v>Ville BJ</v>
      </c>
      <c r="O25" s="9" t="str">
        <f>VLOOKUP($A25,'CALENDRIER BASE'!$A$1:$O$36,12,0)</f>
        <v>Ville BK</v>
      </c>
      <c r="P25" s="10" t="str">
        <f>VLOOKUP($A25,'CALENDRIER BASE'!$A$1:$O$36,13,0)</f>
        <v>Ville BL</v>
      </c>
      <c r="Q25" s="9" t="str">
        <f>VLOOKUP($A25,'CALENDRIER BASE'!$A$1:$O$36,14,0)</f>
        <v>Ville BR</v>
      </c>
      <c r="R25" s="10" t="str">
        <f>VLOOKUP($A25,'CALENDRIER BASE'!$A$1:$O$36,15,0)</f>
        <v>Ville BU</v>
      </c>
      <c r="S25" s="4"/>
    </row>
    <row r="26" spans="1:19" s="3" customFormat="1" ht="15" customHeight="1" x14ac:dyDescent="0.25">
      <c r="A26" s="36" t="str">
        <f t="shared" si="0"/>
        <v>4Sam</v>
      </c>
      <c r="B26" s="37">
        <f t="shared" si="1"/>
        <v>4</v>
      </c>
      <c r="C26" s="38" t="str">
        <f t="shared" ref="C26" si="26">PROPER(TEXT(D26,"jjj"))</f>
        <v>Sam</v>
      </c>
      <c r="D26" s="34">
        <f t="shared" si="3"/>
        <v>43855</v>
      </c>
      <c r="E26" s="9" t="str">
        <f>VLOOKUP($A26,'CALENDRIER BASE'!$A$1:$O$36,2,0)</f>
        <v xml:space="preserve"> </v>
      </c>
      <c r="F26" s="10" t="str">
        <f>VLOOKUP($A26,'CALENDRIER BASE'!$A$1:$O$36,3,0)</f>
        <v xml:space="preserve"> </v>
      </c>
      <c r="G26" s="9" t="str">
        <f>VLOOKUP($A26,'CALENDRIER BASE'!$A$1:$O$36,4,0)</f>
        <v xml:space="preserve"> </v>
      </c>
      <c r="H26" s="10" t="str">
        <f>VLOOKUP($A26,'CALENDRIER BASE'!$A$1:$O$36,5,0)</f>
        <v xml:space="preserve"> </v>
      </c>
      <c r="I26" s="9" t="str">
        <f>VLOOKUP($A26,'CALENDRIER BASE'!$A$1:$O$36,6,0)</f>
        <v xml:space="preserve"> </v>
      </c>
      <c r="J26" s="10" t="str">
        <f>VLOOKUP($A26,'CALENDRIER BASE'!$A$1:$O$36,7,0)</f>
        <v xml:space="preserve"> </v>
      </c>
      <c r="K26" s="9" t="str">
        <f>VLOOKUP($A26,'CALENDRIER BASE'!$A$1:$O$36,8,0)</f>
        <v xml:space="preserve"> </v>
      </c>
      <c r="L26" s="10" t="str">
        <f>VLOOKUP($A26,'CALENDRIER BASE'!$A$1:$O$36,9,0)</f>
        <v xml:space="preserve"> </v>
      </c>
      <c r="M26" s="9" t="str">
        <f>VLOOKUP($A26,'CALENDRIER BASE'!$A$1:$O$36,10,0)</f>
        <v xml:space="preserve"> </v>
      </c>
      <c r="N26" s="10" t="str">
        <f>VLOOKUP($A26,'CALENDRIER BASE'!$A$1:$O$36,11,0)</f>
        <v xml:space="preserve"> </v>
      </c>
      <c r="O26" s="9" t="str">
        <f>VLOOKUP($A26,'CALENDRIER BASE'!$A$1:$O$36,12,0)</f>
        <v xml:space="preserve"> </v>
      </c>
      <c r="P26" s="10" t="str">
        <f>VLOOKUP($A26,'CALENDRIER BASE'!$A$1:$O$36,13,0)</f>
        <v xml:space="preserve"> </v>
      </c>
      <c r="Q26" s="9" t="str">
        <f>VLOOKUP($A26,'CALENDRIER BASE'!$A$1:$O$36,14,0)</f>
        <v xml:space="preserve"> </v>
      </c>
      <c r="R26" s="10" t="str">
        <f>VLOOKUP($A26,'CALENDRIER BASE'!$A$1:$O$36,15,0)</f>
        <v xml:space="preserve"> </v>
      </c>
      <c r="S26" s="4"/>
    </row>
    <row r="27" spans="1:19" s="3" customFormat="1" ht="15" customHeight="1" x14ac:dyDescent="0.25">
      <c r="A27" s="36" t="str">
        <f t="shared" si="0"/>
        <v>4Dim</v>
      </c>
      <c r="B27" s="37">
        <f t="shared" si="1"/>
        <v>4</v>
      </c>
      <c r="C27" s="38" t="str">
        <f t="shared" ref="C27" si="27">PROPER(TEXT(D27,"jjj"))</f>
        <v>Dim</v>
      </c>
      <c r="D27" s="34">
        <f t="shared" si="3"/>
        <v>43856</v>
      </c>
      <c r="E27" s="9" t="str">
        <f>VLOOKUP($A27,'CALENDRIER BASE'!$A$1:$O$36,2,0)</f>
        <v xml:space="preserve"> </v>
      </c>
      <c r="F27" s="10" t="str">
        <f>VLOOKUP($A27,'CALENDRIER BASE'!$A$1:$O$36,3,0)</f>
        <v xml:space="preserve"> </v>
      </c>
      <c r="G27" s="9" t="str">
        <f>VLOOKUP($A27,'CALENDRIER BASE'!$A$1:$O$36,4,0)</f>
        <v xml:space="preserve"> </v>
      </c>
      <c r="H27" s="10" t="str">
        <f>VLOOKUP($A27,'CALENDRIER BASE'!$A$1:$O$36,5,0)</f>
        <v xml:space="preserve"> </v>
      </c>
      <c r="I27" s="9" t="str">
        <f>VLOOKUP($A27,'CALENDRIER BASE'!$A$1:$O$36,6,0)</f>
        <v xml:space="preserve"> </v>
      </c>
      <c r="J27" s="10" t="str">
        <f>VLOOKUP($A27,'CALENDRIER BASE'!$A$1:$O$36,7,0)</f>
        <v xml:space="preserve"> </v>
      </c>
      <c r="K27" s="9" t="str">
        <f>VLOOKUP($A27,'CALENDRIER BASE'!$A$1:$O$36,8,0)</f>
        <v xml:space="preserve"> </v>
      </c>
      <c r="L27" s="10" t="str">
        <f>VLOOKUP($A27,'CALENDRIER BASE'!$A$1:$O$36,9,0)</f>
        <v xml:space="preserve"> </v>
      </c>
      <c r="M27" s="9" t="str">
        <f>VLOOKUP($A27,'CALENDRIER BASE'!$A$1:$O$36,10,0)</f>
        <v xml:space="preserve"> </v>
      </c>
      <c r="N27" s="10" t="str">
        <f>VLOOKUP($A27,'CALENDRIER BASE'!$A$1:$O$36,11,0)</f>
        <v xml:space="preserve"> </v>
      </c>
      <c r="O27" s="9" t="str">
        <f>VLOOKUP($A27,'CALENDRIER BASE'!$A$1:$O$36,12,0)</f>
        <v xml:space="preserve"> </v>
      </c>
      <c r="P27" s="10" t="str">
        <f>VLOOKUP($A27,'CALENDRIER BASE'!$A$1:$O$36,13,0)</f>
        <v xml:space="preserve"> </v>
      </c>
      <c r="Q27" s="9" t="str">
        <f>VLOOKUP($A27,'CALENDRIER BASE'!$A$1:$O$36,14,0)</f>
        <v xml:space="preserve"> </v>
      </c>
      <c r="R27" s="10" t="str">
        <f>VLOOKUP($A27,'CALENDRIER BASE'!$A$1:$O$36,15,0)</f>
        <v xml:space="preserve"> </v>
      </c>
      <c r="S27" s="4"/>
    </row>
    <row r="28" spans="1:19" s="3" customFormat="1" ht="20.100000000000001" customHeight="1" x14ac:dyDescent="0.25">
      <c r="A28" s="36" t="str">
        <f t="shared" si="0"/>
        <v>5Lun</v>
      </c>
      <c r="B28" s="37">
        <f t="shared" si="1"/>
        <v>5</v>
      </c>
      <c r="C28" s="38" t="str">
        <f t="shared" ref="C28" si="28">PROPER(TEXT(D28,"jjj"))</f>
        <v>Lun</v>
      </c>
      <c r="D28" s="34">
        <f t="shared" si="3"/>
        <v>43857</v>
      </c>
      <c r="E28" s="9" t="str">
        <f>VLOOKUP($A28,'CALENDRIER BASE'!$A$1:$O$36,2,0)</f>
        <v>Ville AA</v>
      </c>
      <c r="F28" s="10" t="str">
        <f>VLOOKUP($A28,'CALENDRIER BASE'!$A$1:$O$36,3,0)</f>
        <v>Ville BB</v>
      </c>
      <c r="G28" s="9" t="str">
        <f>VLOOKUP($A28,'CALENDRIER BASE'!$A$1:$O$36,4,0)</f>
        <v>Ville CC</v>
      </c>
      <c r="H28" s="10" t="str">
        <f>VLOOKUP($A28,'CALENDRIER BASE'!$A$1:$O$36,5,0)</f>
        <v>Ville DD</v>
      </c>
      <c r="I28" s="9" t="str">
        <f>VLOOKUP($A28,'CALENDRIER BASE'!$A$1:$O$36,6,0)</f>
        <v>Ville EE</v>
      </c>
      <c r="J28" s="10" t="str">
        <f>VLOOKUP($A28,'CALENDRIER BASE'!$A$1:$O$36,7,0)</f>
        <v>Ville FF</v>
      </c>
      <c r="K28" s="9" t="str">
        <f>VLOOKUP($A28,'CALENDRIER BASE'!$A$1:$O$36,8,0)</f>
        <v>Ville GG</v>
      </c>
      <c r="L28" s="10" t="str">
        <f>VLOOKUP($A28,'CALENDRIER BASE'!$A$1:$O$36,9,0)</f>
        <v>Ville HH</v>
      </c>
      <c r="M28" s="9" t="str">
        <f>VLOOKUP($A28,'CALENDRIER BASE'!$A$1:$O$36,10,0)</f>
        <v>3/5</v>
      </c>
      <c r="N28" s="10" t="str">
        <f>VLOOKUP($A28,'CALENDRIER BASE'!$A$1:$O$36,11,0)</f>
        <v>3/5</v>
      </c>
      <c r="O28" s="9" t="str">
        <f>VLOOKUP($A28,'CALENDRIER BASE'!$A$1:$O$36,12,0)</f>
        <v>Ville KK</v>
      </c>
      <c r="P28" s="10" t="str">
        <f>VLOOKUP($A28,'CALENDRIER BASE'!$A$1:$O$36,13,0)</f>
        <v>Ville LL</v>
      </c>
      <c r="Q28" s="9" t="str">
        <f>VLOOKUP($A28,'CALENDRIER BASE'!$A$1:$O$36,14,0)</f>
        <v>Ville MM</v>
      </c>
      <c r="R28" s="10" t="str">
        <f>VLOOKUP($A28,'CALENDRIER BASE'!$A$1:$O$36,15,0)</f>
        <v>Ville NN</v>
      </c>
      <c r="S28" s="4"/>
    </row>
    <row r="29" spans="1:19" s="3" customFormat="1" ht="20.100000000000001" customHeight="1" x14ac:dyDescent="0.25">
      <c r="A29" s="36" t="str">
        <f t="shared" si="0"/>
        <v>5Mar</v>
      </c>
      <c r="B29" s="37">
        <f t="shared" si="1"/>
        <v>5</v>
      </c>
      <c r="C29" s="38" t="str">
        <f t="shared" ref="C29" si="29">PROPER(TEXT(D29,"jjj"))</f>
        <v>Mar</v>
      </c>
      <c r="D29" s="34">
        <f t="shared" si="3"/>
        <v>43858</v>
      </c>
      <c r="E29" s="9" t="str">
        <f>VLOOKUP($A29,'CALENDRIER BASE'!$A$1:$O$36,2,0)</f>
        <v>Ville OO</v>
      </c>
      <c r="F29" s="10" t="str">
        <f>VLOOKUP($A29,'CALENDRIER BASE'!$A$1:$O$36,3,0)</f>
        <v>Ville PP</v>
      </c>
      <c r="G29" s="9" t="str">
        <f>VLOOKUP($A29,'CALENDRIER BASE'!$A$1:$O$36,4,0)</f>
        <v>Ville QQ</v>
      </c>
      <c r="H29" s="10" t="str">
        <f>VLOOKUP($A29,'CALENDRIER BASE'!$A$1:$O$36,5,0)</f>
        <v>Ville RR</v>
      </c>
      <c r="I29" s="9" t="str">
        <f>VLOOKUP($A29,'CALENDRIER BASE'!$A$1:$O$36,6,0)</f>
        <v>Ville SS</v>
      </c>
      <c r="J29" s="10" t="str">
        <f>VLOOKUP($A29,'CALENDRIER BASE'!$A$1:$O$36,7,0)</f>
        <v>Ville TT</v>
      </c>
      <c r="K29" s="9" t="str">
        <f>VLOOKUP($A29,'CALENDRIER BASE'!$A$1:$O$36,8,0)</f>
        <v>Ville UU</v>
      </c>
      <c r="L29" s="10" t="str">
        <f>VLOOKUP($A29,'CALENDRIER BASE'!$A$1:$O$36,9,0)</f>
        <v>Ville VV</v>
      </c>
      <c r="M29" s="9" t="str">
        <f>VLOOKUP($A29,'CALENDRIER BASE'!$A$1:$O$36,10,0)</f>
        <v>3/5</v>
      </c>
      <c r="N29" s="10" t="str">
        <f>VLOOKUP($A29,'CALENDRIER BASE'!$A$1:$O$36,11,0)</f>
        <v>3/5</v>
      </c>
      <c r="O29" s="9" t="str">
        <f>VLOOKUP($A29,'CALENDRIER BASE'!$A$1:$O$36,12,0)</f>
        <v>Ville WW</v>
      </c>
      <c r="P29" s="10" t="str">
        <f>VLOOKUP($A29,'CALENDRIER BASE'!$A$1:$O$36,13,0)</f>
        <v>Ville AB</v>
      </c>
      <c r="Q29" s="9" t="str">
        <f>VLOOKUP($A29,'CALENDRIER BASE'!$A$1:$O$36,14,0)</f>
        <v>Ville AC</v>
      </c>
      <c r="R29" s="10" t="str">
        <f>VLOOKUP($A29,'CALENDRIER BASE'!$A$1:$O$36,15,0)</f>
        <v>Ville AD</v>
      </c>
      <c r="S29" s="4"/>
    </row>
    <row r="30" spans="1:19" s="3" customFormat="1" ht="20.100000000000001" customHeight="1" x14ac:dyDescent="0.25">
      <c r="A30" s="36" t="str">
        <f t="shared" si="0"/>
        <v>5Mer</v>
      </c>
      <c r="B30" s="37">
        <f t="shared" si="1"/>
        <v>5</v>
      </c>
      <c r="C30" s="38" t="str">
        <f t="shared" ref="C30" si="30">PROPER(TEXT(D30,"jjj"))</f>
        <v>Mer</v>
      </c>
      <c r="D30" s="34">
        <f t="shared" si="3"/>
        <v>43859</v>
      </c>
      <c r="E30" s="9" t="str">
        <f>VLOOKUP($A30,'CALENDRIER BASE'!$A$1:$O$36,2,0)</f>
        <v>Ville AE</v>
      </c>
      <c r="F30" s="10" t="str">
        <f>VLOOKUP($A30,'CALENDRIER BASE'!$A$1:$O$36,3,0)</f>
        <v>Ville AF</v>
      </c>
      <c r="G30" s="9" t="str">
        <f>VLOOKUP($A30,'CALENDRIER BASE'!$A$1:$O$36,4,0)</f>
        <v>Ville AT</v>
      </c>
      <c r="H30" s="10" t="str">
        <f>VLOOKUP($A30,'CALENDRIER BASE'!$A$1:$O$36,5,0)</f>
        <v>Ville AP</v>
      </c>
      <c r="I30" s="9" t="str">
        <f>VLOOKUP($A30,'CALENDRIER BASE'!$A$1:$O$36,6,0)</f>
        <v>Ville AM</v>
      </c>
      <c r="J30" s="10" t="str">
        <f>VLOOKUP($A30,'CALENDRIER BASE'!$A$1:$O$36,7,0)</f>
        <v>Ville AQ</v>
      </c>
      <c r="K30" s="9" t="str">
        <f>VLOOKUP($A30,'CALENDRIER BASE'!$A$1:$O$36,8,0)</f>
        <v>Ville AR</v>
      </c>
      <c r="L30" s="10" t="str">
        <f>VLOOKUP($A30,'CALENDRIER BASE'!$A$1:$O$36,9,0)</f>
        <v>Ville AS</v>
      </c>
      <c r="M30" s="9" t="str">
        <f>VLOOKUP($A30,'CALENDRIER BASE'!$A$1:$O$36,10,0)</f>
        <v>Ville AJ</v>
      </c>
      <c r="N30" s="10" t="str">
        <f>VLOOKUP($A30,'CALENDRIER BASE'!$A$1:$O$36,11,0)</f>
        <v>Ville AW</v>
      </c>
      <c r="O30" s="9" t="str">
        <f>VLOOKUP($A30,'CALENDRIER BASE'!$A$1:$O$36,12,0)</f>
        <v>Ville AV</v>
      </c>
      <c r="P30" s="10" t="str">
        <f>VLOOKUP($A30,'CALENDRIER BASE'!$A$1:$O$36,13,0)</f>
        <v>Ville AX</v>
      </c>
      <c r="Q30" s="9" t="str">
        <f>VLOOKUP($A30,'CALENDRIER BASE'!$A$1:$O$36,14,0)</f>
        <v>4/5</v>
      </c>
      <c r="R30" s="10" t="str">
        <f>VLOOKUP($A30,'CALENDRIER BASE'!$A$1:$O$36,15,0)</f>
        <v>4/5</v>
      </c>
      <c r="S30" s="4"/>
    </row>
    <row r="31" spans="1:19" s="3" customFormat="1" ht="20.100000000000001" customHeight="1" x14ac:dyDescent="0.25">
      <c r="A31" s="36" t="str">
        <f t="shared" si="0"/>
        <v>5Jeu</v>
      </c>
      <c r="B31" s="37">
        <f t="shared" si="1"/>
        <v>5</v>
      </c>
      <c r="C31" s="38" t="str">
        <f t="shared" ref="C31" si="31">PROPER(TEXT(D31,"jjj"))</f>
        <v>Jeu</v>
      </c>
      <c r="D31" s="34">
        <f t="shared" si="3"/>
        <v>43860</v>
      </c>
      <c r="E31" s="9" t="str">
        <f>VLOOKUP($A31,'CALENDRIER BASE'!$A$1:$O$36,2,0)</f>
        <v>Ville BA</v>
      </c>
      <c r="F31" s="10" t="str">
        <f>VLOOKUP($A31,'CALENDRIER BASE'!$A$1:$O$36,3,0)</f>
        <v>Ville BC</v>
      </c>
      <c r="G31" s="9" t="str">
        <f>VLOOKUP($A31,'CALENDRIER BASE'!$A$1:$O$36,4,0)</f>
        <v>3/5</v>
      </c>
      <c r="H31" s="10" t="str">
        <f>VLOOKUP($A31,'CALENDRIER BASE'!$A$1:$O$36,5,0)</f>
        <v>3/5</v>
      </c>
      <c r="I31" s="9" t="str">
        <f>VLOOKUP($A31,'CALENDRIER BASE'!$A$1:$O$36,6,0)</f>
        <v>Ville BD</v>
      </c>
      <c r="J31" s="10" t="str">
        <f>VLOOKUP($A31,'CALENDRIER BASE'!$A$1:$O$36,7,0)</f>
        <v>Ville BE</v>
      </c>
      <c r="K31" s="9" t="str">
        <f>VLOOKUP($A31,'CALENDRIER BASE'!$A$1:$O$36,8,0)</f>
        <v>Ville BF</v>
      </c>
      <c r="L31" s="10" t="str">
        <f>VLOOKUP($A31,'CALENDRIER BASE'!$A$1:$O$36,9,0)</f>
        <v>Ville BG</v>
      </c>
      <c r="M31" s="9" t="str">
        <f>VLOOKUP($A31,'CALENDRIER BASE'!$A$1:$O$36,10,0)</f>
        <v>Ville BM</v>
      </c>
      <c r="N31" s="10" t="str">
        <f>VLOOKUP($A31,'CALENDRIER BASE'!$A$1:$O$36,11,0)</f>
        <v>Ville BN</v>
      </c>
      <c r="O31" s="9" t="str">
        <f>VLOOKUP($A31,'CALENDRIER BASE'!$A$1:$O$36,12,0)</f>
        <v>Ville BO</v>
      </c>
      <c r="P31" s="10" t="str">
        <f>VLOOKUP($A31,'CALENDRIER BASE'!$A$1:$O$36,13,0)</f>
        <v>Ville BP</v>
      </c>
      <c r="Q31" s="9" t="str">
        <f>VLOOKUP($A31,'CALENDRIER BASE'!$A$1:$O$36,14,0)</f>
        <v>Ville BQ</v>
      </c>
      <c r="R31" s="10" t="str">
        <f>VLOOKUP($A31,'CALENDRIER BASE'!$A$1:$O$36,15,0)</f>
        <v>Ville BS</v>
      </c>
      <c r="S31" s="4"/>
    </row>
    <row r="32" spans="1:19" s="3" customFormat="1" ht="20.100000000000001" customHeight="1" x14ac:dyDescent="0.25">
      <c r="A32" s="36" t="str">
        <f t="shared" si="0"/>
        <v>5Ven</v>
      </c>
      <c r="B32" s="37">
        <f t="shared" si="1"/>
        <v>5</v>
      </c>
      <c r="C32" s="38" t="str">
        <f t="shared" ref="C32" si="32">PROPER(TEXT(D32,"jjj"))</f>
        <v>Ven</v>
      </c>
      <c r="D32" s="34">
        <f t="shared" si="3"/>
        <v>43861</v>
      </c>
      <c r="E32" s="9" t="str">
        <f>VLOOKUP($A32,'CALENDRIER BASE'!$A$1:$O$36,2,0)</f>
        <v>4/5</v>
      </c>
      <c r="F32" s="10" t="str">
        <f>VLOOKUP($A32,'CALENDRIER BASE'!$A$1:$O$36,3,0)</f>
        <v>4/5</v>
      </c>
      <c r="G32" s="9" t="str">
        <f>VLOOKUP($A32,'CALENDRIER BASE'!$A$1:$O$36,4,0)</f>
        <v>3/5</v>
      </c>
      <c r="H32" s="10" t="str">
        <f>VLOOKUP($A32,'CALENDRIER BASE'!$A$1:$O$36,5,0)</f>
        <v>3/5</v>
      </c>
      <c r="I32" s="9" t="str">
        <f>VLOOKUP($A32,'CALENDRIER BASE'!$A$1:$O$36,6,0)</f>
        <v>Ville BZ</v>
      </c>
      <c r="J32" s="10" t="str">
        <f>VLOOKUP($A32,'CALENDRIER BASE'!$A$1:$O$36,7,0)</f>
        <v>Ville BX</v>
      </c>
      <c r="K32" s="9" t="str">
        <f>VLOOKUP($A32,'CALENDRIER BASE'!$A$1:$O$36,8,0)</f>
        <v>Ville BT</v>
      </c>
      <c r="L32" s="10" t="str">
        <f>VLOOKUP($A32,'CALENDRIER BASE'!$A$1:$O$36,9,0)</f>
        <v>Ville BH</v>
      </c>
      <c r="M32" s="9" t="str">
        <f>VLOOKUP($A32,'CALENDRIER BASE'!$A$1:$O$36,10,0)</f>
        <v>Ville BI</v>
      </c>
      <c r="N32" s="10" t="str">
        <f>VLOOKUP($A32,'CALENDRIER BASE'!$A$1:$O$36,11,0)</f>
        <v>Ville BJ</v>
      </c>
      <c r="O32" s="9" t="str">
        <f>VLOOKUP($A32,'CALENDRIER BASE'!$A$1:$O$36,12,0)</f>
        <v>Ville BK</v>
      </c>
      <c r="P32" s="10" t="str">
        <f>VLOOKUP($A32,'CALENDRIER BASE'!$A$1:$O$36,13,0)</f>
        <v>Ville BL</v>
      </c>
      <c r="Q32" s="9" t="str">
        <f>VLOOKUP($A32,'CALENDRIER BASE'!$A$1:$O$36,14,0)</f>
        <v>Ville BR</v>
      </c>
      <c r="R32" s="10" t="str">
        <f>VLOOKUP($A32,'CALENDRIER BASE'!$A$1:$O$36,15,0)</f>
        <v>Ville BU</v>
      </c>
      <c r="S32" s="4"/>
    </row>
  </sheetData>
  <mergeCells count="9">
    <mergeCell ref="Q1:R1"/>
    <mergeCell ref="U10:V10"/>
    <mergeCell ref="U9:V9"/>
    <mergeCell ref="E1:F1"/>
    <mergeCell ref="G1:H1"/>
    <mergeCell ref="I1:J1"/>
    <mergeCell ref="K1:L1"/>
    <mergeCell ref="M1:N1"/>
    <mergeCell ref="O1:P1"/>
  </mergeCells>
  <phoneticPr fontId="8" type="noConversion"/>
  <conditionalFormatting sqref="B2:B32">
    <cfRule type="expression" dxfId="15" priority="41">
      <formula>OR($C2="SAM",$C2="DIM")</formula>
    </cfRule>
  </conditionalFormatting>
  <conditionalFormatting sqref="E2:R32">
    <cfRule type="cellIs" dxfId="14" priority="4" operator="equal">
      <formula>"3/5"</formula>
    </cfRule>
    <cfRule type="cellIs" dxfId="13" priority="26" operator="equal">
      <formula>"4/5"</formula>
    </cfRule>
    <cfRule type="cellIs" dxfId="12" priority="36" operator="equal">
      <formula>0</formula>
    </cfRule>
    <cfRule type="expression" dxfId="11" priority="39">
      <formula>OR($C2="SAM",$C2="DIM")</formula>
    </cfRule>
    <cfRule type="cellIs" dxfId="10" priority="3" operator="equal">
      <formula>"CP"</formula>
    </cfRule>
    <cfRule type="cellIs" dxfId="9" priority="2" operator="equal">
      <formula>"MA"</formula>
    </cfRule>
  </conditionalFormatting>
  <conditionalFormatting sqref="B32:R32">
    <cfRule type="expression" dxfId="8" priority="1" stopIfTrue="1">
      <formula>MONTH($D$32)&gt;MONTH($D$31)</formula>
    </cfRule>
  </conditionalFormatting>
  <dataValidations count="1">
    <dataValidation allowBlank="1" showInputMessage="1" showErrorMessage="1" promptTitle="Sélection du mois" prompt="Veuillez saisir le numéro du mois à afficher." sqref="C1" xr:uid="{00000000-0002-0000-0100-000000000000}"/>
  </dataValidations>
  <printOptions horizontalCentered="1"/>
  <pageMargins left="0.31496062992125984" right="0.31496062992125984" top="0.15748031496062992" bottom="0.15748031496062992" header="0" footer="0"/>
  <pageSetup paperSize="9" scale="67" firstPageNumber="0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U38"/>
  <sheetViews>
    <sheetView showGridLines="0" zoomScale="90" zoomScaleNormal="90" workbookViewId="0">
      <selection activeCell="S33" sqref="S33:T33"/>
    </sheetView>
  </sheetViews>
  <sheetFormatPr baseColWidth="10" defaultRowHeight="15" x14ac:dyDescent="0.25"/>
  <cols>
    <col min="2" max="15" width="12.28515625" customWidth="1"/>
    <col min="16" max="16" width="5.7109375" customWidth="1"/>
    <col min="17" max="17" width="4.5703125" customWidth="1"/>
  </cols>
  <sheetData>
    <row r="1" spans="1:21" ht="18" customHeight="1" x14ac:dyDescent="0.25">
      <c r="A1" s="32" t="s">
        <v>8</v>
      </c>
      <c r="B1" s="59" t="s">
        <v>88</v>
      </c>
      <c r="C1" s="61"/>
      <c r="D1" s="59" t="s">
        <v>89</v>
      </c>
      <c r="E1" s="61"/>
      <c r="F1" s="59" t="s">
        <v>90</v>
      </c>
      <c r="G1" s="61"/>
      <c r="H1" s="59" t="s">
        <v>91</v>
      </c>
      <c r="I1" s="61"/>
      <c r="J1" s="59" t="s">
        <v>92</v>
      </c>
      <c r="K1" s="61"/>
      <c r="L1" s="59" t="s">
        <v>93</v>
      </c>
      <c r="M1" s="61"/>
      <c r="N1" s="59" t="s">
        <v>94</v>
      </c>
      <c r="O1" s="60"/>
      <c r="Q1" s="5"/>
    </row>
    <row r="2" spans="1:21" s="6" customFormat="1" ht="19.5" customHeight="1" x14ac:dyDescent="0.25">
      <c r="A2" s="14" t="s">
        <v>41</v>
      </c>
      <c r="B2" s="8" t="s">
        <v>95</v>
      </c>
      <c r="C2" s="26" t="s">
        <v>96</v>
      </c>
      <c r="D2" s="22" t="s">
        <v>97</v>
      </c>
      <c r="E2" s="29" t="s">
        <v>98</v>
      </c>
      <c r="F2" s="22" t="s">
        <v>99</v>
      </c>
      <c r="G2" s="31" t="s">
        <v>100</v>
      </c>
      <c r="H2" s="23" t="s">
        <v>101</v>
      </c>
      <c r="I2" s="29" t="s">
        <v>105</v>
      </c>
      <c r="J2" s="29" t="s">
        <v>1</v>
      </c>
      <c r="K2" s="29" t="s">
        <v>1</v>
      </c>
      <c r="L2" s="7" t="s">
        <v>102</v>
      </c>
      <c r="M2" s="29" t="s">
        <v>104</v>
      </c>
      <c r="N2" s="7" t="s">
        <v>103</v>
      </c>
      <c r="O2" s="29" t="s">
        <v>106</v>
      </c>
      <c r="Q2" s="11"/>
      <c r="R2"/>
      <c r="S2"/>
      <c r="T2"/>
      <c r="U2"/>
    </row>
    <row r="3" spans="1:21" s="6" customFormat="1" ht="19.5" customHeight="1" x14ac:dyDescent="0.25">
      <c r="A3" s="14" t="s">
        <v>40</v>
      </c>
      <c r="B3" s="8" t="s">
        <v>107</v>
      </c>
      <c r="C3" s="26" t="s">
        <v>108</v>
      </c>
      <c r="D3" s="22" t="s">
        <v>109</v>
      </c>
      <c r="E3" s="29" t="s">
        <v>110</v>
      </c>
      <c r="F3" s="22" t="s">
        <v>111</v>
      </c>
      <c r="G3" s="31" t="s">
        <v>112</v>
      </c>
      <c r="H3" s="23" t="s">
        <v>113</v>
      </c>
      <c r="I3" s="31" t="s">
        <v>114</v>
      </c>
      <c r="J3" s="23" t="s">
        <v>1</v>
      </c>
      <c r="K3" s="29" t="s">
        <v>1</v>
      </c>
      <c r="L3" s="7" t="s">
        <v>115</v>
      </c>
      <c r="M3" s="29" t="s">
        <v>116</v>
      </c>
      <c r="N3" s="7" t="s">
        <v>117</v>
      </c>
      <c r="O3" s="29" t="s">
        <v>118</v>
      </c>
      <c r="Q3" s="11"/>
      <c r="R3"/>
      <c r="S3"/>
      <c r="T3"/>
      <c r="U3"/>
    </row>
    <row r="4" spans="1:21" s="6" customFormat="1" ht="19.5" customHeight="1" x14ac:dyDescent="0.25">
      <c r="A4" s="14" t="s">
        <v>9</v>
      </c>
      <c r="B4" s="8" t="s">
        <v>119</v>
      </c>
      <c r="C4" s="27" t="s">
        <v>120</v>
      </c>
      <c r="D4" s="22" t="s">
        <v>121</v>
      </c>
      <c r="E4" s="29" t="s">
        <v>122</v>
      </c>
      <c r="F4" s="22" t="s">
        <v>123</v>
      </c>
      <c r="G4" s="29" t="s">
        <v>124</v>
      </c>
      <c r="H4" s="23" t="s">
        <v>125</v>
      </c>
      <c r="I4" s="29" t="s">
        <v>126</v>
      </c>
      <c r="J4" s="7" t="s">
        <v>127</v>
      </c>
      <c r="K4" s="29" t="s">
        <v>128</v>
      </c>
      <c r="L4" s="7" t="s">
        <v>129</v>
      </c>
      <c r="M4" s="29" t="s">
        <v>130</v>
      </c>
      <c r="N4" s="7" t="s">
        <v>2</v>
      </c>
      <c r="O4" s="27" t="s">
        <v>2</v>
      </c>
      <c r="Q4" s="11"/>
      <c r="R4"/>
      <c r="S4"/>
      <c r="T4"/>
      <c r="U4"/>
    </row>
    <row r="5" spans="1:21" s="6" customFormat="1" ht="19.5" customHeight="1" x14ac:dyDescent="0.25">
      <c r="A5" s="14" t="s">
        <v>10</v>
      </c>
      <c r="B5" s="8" t="s">
        <v>131</v>
      </c>
      <c r="C5" s="27" t="s">
        <v>132</v>
      </c>
      <c r="D5" s="29" t="s">
        <v>1</v>
      </c>
      <c r="E5" s="29" t="s">
        <v>1</v>
      </c>
      <c r="F5" s="22" t="s">
        <v>133</v>
      </c>
      <c r="G5" s="29" t="s">
        <v>134</v>
      </c>
      <c r="H5" s="23" t="s">
        <v>135</v>
      </c>
      <c r="I5" s="29" t="s">
        <v>136</v>
      </c>
      <c r="J5" s="7" t="s">
        <v>137</v>
      </c>
      <c r="K5" s="29" t="s">
        <v>138</v>
      </c>
      <c r="L5" s="7" t="s">
        <v>139</v>
      </c>
      <c r="M5" s="29" t="s">
        <v>142</v>
      </c>
      <c r="N5" s="7" t="s">
        <v>143</v>
      </c>
      <c r="O5" s="29" t="s">
        <v>141</v>
      </c>
      <c r="Q5" s="11"/>
      <c r="R5"/>
      <c r="S5"/>
      <c r="T5"/>
      <c r="U5"/>
    </row>
    <row r="6" spans="1:21" s="6" customFormat="1" ht="19.5" customHeight="1" x14ac:dyDescent="0.25">
      <c r="A6" s="14" t="s">
        <v>11</v>
      </c>
      <c r="B6" s="7" t="s">
        <v>2</v>
      </c>
      <c r="C6" s="27" t="s">
        <v>2</v>
      </c>
      <c r="D6" s="23" t="s">
        <v>1</v>
      </c>
      <c r="E6" s="29" t="s">
        <v>1</v>
      </c>
      <c r="F6" s="22" t="s">
        <v>140</v>
      </c>
      <c r="G6" s="29" t="s">
        <v>144</v>
      </c>
      <c r="H6" s="23" t="s">
        <v>145</v>
      </c>
      <c r="I6" s="29" t="s">
        <v>146</v>
      </c>
      <c r="J6" s="7" t="s">
        <v>147</v>
      </c>
      <c r="K6" s="31" t="s">
        <v>148</v>
      </c>
      <c r="L6" s="7" t="s">
        <v>149</v>
      </c>
      <c r="M6" s="29" t="s">
        <v>150</v>
      </c>
      <c r="N6" s="7" t="s">
        <v>151</v>
      </c>
      <c r="O6" s="29" t="s">
        <v>152</v>
      </c>
      <c r="Q6" s="11"/>
      <c r="R6"/>
      <c r="S6"/>
      <c r="T6"/>
      <c r="U6"/>
    </row>
    <row r="7" spans="1:21" s="6" customFormat="1" ht="19.5" customHeight="1" x14ac:dyDescent="0.25">
      <c r="A7" s="15" t="s">
        <v>12</v>
      </c>
      <c r="B7" s="13" t="s">
        <v>44</v>
      </c>
      <c r="C7" s="28" t="s">
        <v>44</v>
      </c>
      <c r="D7" s="24" t="s">
        <v>44</v>
      </c>
      <c r="E7" s="30" t="s">
        <v>44</v>
      </c>
      <c r="F7" s="24" t="s">
        <v>44</v>
      </c>
      <c r="G7" s="30" t="s">
        <v>44</v>
      </c>
      <c r="H7" s="25" t="s">
        <v>44</v>
      </c>
      <c r="I7" s="30" t="s">
        <v>44</v>
      </c>
      <c r="J7" s="12" t="s">
        <v>44</v>
      </c>
      <c r="K7" s="30" t="s">
        <v>44</v>
      </c>
      <c r="L7" s="12" t="s">
        <v>44</v>
      </c>
      <c r="M7" s="30" t="s">
        <v>44</v>
      </c>
      <c r="N7" s="12" t="s">
        <v>44</v>
      </c>
      <c r="O7" s="30" t="s">
        <v>44</v>
      </c>
      <c r="Q7" s="11"/>
      <c r="R7"/>
      <c r="S7"/>
      <c r="T7"/>
      <c r="U7"/>
    </row>
    <row r="8" spans="1:21" s="6" customFormat="1" ht="19.5" customHeight="1" x14ac:dyDescent="0.25">
      <c r="A8" s="15" t="s">
        <v>13</v>
      </c>
      <c r="B8" s="13" t="s">
        <v>44</v>
      </c>
      <c r="C8" s="28" t="s">
        <v>44</v>
      </c>
      <c r="D8" s="24" t="s">
        <v>44</v>
      </c>
      <c r="E8" s="30" t="s">
        <v>44</v>
      </c>
      <c r="F8" s="24" t="s">
        <v>44</v>
      </c>
      <c r="G8" s="30" t="s">
        <v>44</v>
      </c>
      <c r="H8" s="25" t="s">
        <v>44</v>
      </c>
      <c r="I8" s="30" t="s">
        <v>44</v>
      </c>
      <c r="J8" s="12" t="s">
        <v>44</v>
      </c>
      <c r="K8" s="30" t="s">
        <v>44</v>
      </c>
      <c r="L8" s="12" t="s">
        <v>44</v>
      </c>
      <c r="M8" s="30" t="s">
        <v>44</v>
      </c>
      <c r="N8" s="12" t="s">
        <v>44</v>
      </c>
      <c r="O8" s="30" t="s">
        <v>44</v>
      </c>
      <c r="Q8" s="11"/>
      <c r="R8"/>
      <c r="S8"/>
      <c r="T8"/>
      <c r="U8"/>
    </row>
    <row r="9" spans="1:21" s="6" customFormat="1" ht="19.5" customHeight="1" x14ac:dyDescent="0.25">
      <c r="A9" s="14" t="s">
        <v>14</v>
      </c>
      <c r="B9" s="8" t="s">
        <v>95</v>
      </c>
      <c r="C9" s="26" t="s">
        <v>96</v>
      </c>
      <c r="D9" s="22" t="s">
        <v>97</v>
      </c>
      <c r="E9" s="29" t="s">
        <v>98</v>
      </c>
      <c r="F9" s="22" t="s">
        <v>99</v>
      </c>
      <c r="G9" s="31" t="s">
        <v>100</v>
      </c>
      <c r="H9" s="23" t="s">
        <v>101</v>
      </c>
      <c r="I9" s="29" t="s">
        <v>105</v>
      </c>
      <c r="J9" s="29" t="s">
        <v>1</v>
      </c>
      <c r="K9" s="29" t="s">
        <v>1</v>
      </c>
      <c r="L9" s="7" t="s">
        <v>102</v>
      </c>
      <c r="M9" s="29" t="s">
        <v>104</v>
      </c>
      <c r="N9" s="7" t="s">
        <v>103</v>
      </c>
      <c r="O9" s="29" t="s">
        <v>106</v>
      </c>
      <c r="Q9" s="11"/>
      <c r="R9"/>
      <c r="S9"/>
      <c r="T9"/>
      <c r="U9"/>
    </row>
    <row r="10" spans="1:21" s="6" customFormat="1" ht="19.5" customHeight="1" x14ac:dyDescent="0.25">
      <c r="A10" s="14" t="s">
        <v>15</v>
      </c>
      <c r="B10" s="8" t="s">
        <v>107</v>
      </c>
      <c r="C10" s="26" t="s">
        <v>108</v>
      </c>
      <c r="D10" s="22" t="s">
        <v>109</v>
      </c>
      <c r="E10" s="29" t="s">
        <v>110</v>
      </c>
      <c r="F10" s="22" t="s">
        <v>111</v>
      </c>
      <c r="G10" s="31" t="s">
        <v>112</v>
      </c>
      <c r="H10" s="23" t="s">
        <v>113</v>
      </c>
      <c r="I10" s="31" t="s">
        <v>114</v>
      </c>
      <c r="J10" s="23" t="s">
        <v>1</v>
      </c>
      <c r="K10" s="29" t="s">
        <v>1</v>
      </c>
      <c r="L10" s="7" t="s">
        <v>115</v>
      </c>
      <c r="M10" s="29" t="s">
        <v>116</v>
      </c>
      <c r="N10" s="7" t="s">
        <v>117</v>
      </c>
      <c r="O10" s="29" t="s">
        <v>118</v>
      </c>
      <c r="Q10" s="11"/>
      <c r="R10"/>
      <c r="S10"/>
      <c r="T10"/>
      <c r="U10"/>
    </row>
    <row r="11" spans="1:21" s="6" customFormat="1" ht="19.5" customHeight="1" x14ac:dyDescent="0.25">
      <c r="A11" s="14" t="s">
        <v>16</v>
      </c>
      <c r="B11" s="8" t="s">
        <v>119</v>
      </c>
      <c r="C11" s="27" t="s">
        <v>120</v>
      </c>
      <c r="D11" s="22" t="s">
        <v>121</v>
      </c>
      <c r="E11" s="29" t="s">
        <v>122</v>
      </c>
      <c r="F11" s="22" t="s">
        <v>123</v>
      </c>
      <c r="G11" s="29" t="s">
        <v>124</v>
      </c>
      <c r="H11" s="23" t="s">
        <v>125</v>
      </c>
      <c r="I11" s="29" t="s">
        <v>126</v>
      </c>
      <c r="J11" s="7" t="s">
        <v>127</v>
      </c>
      <c r="K11" s="29" t="s">
        <v>128</v>
      </c>
      <c r="L11" s="7" t="s">
        <v>129</v>
      </c>
      <c r="M11" s="29" t="s">
        <v>130</v>
      </c>
      <c r="N11" s="7" t="s">
        <v>2</v>
      </c>
      <c r="O11" s="27" t="s">
        <v>2</v>
      </c>
      <c r="Q11" s="11"/>
      <c r="R11"/>
      <c r="S11"/>
      <c r="T11"/>
      <c r="U11"/>
    </row>
    <row r="12" spans="1:21" s="6" customFormat="1" ht="19.5" customHeight="1" x14ac:dyDescent="0.25">
      <c r="A12" s="14" t="s">
        <v>17</v>
      </c>
      <c r="B12" s="8" t="s">
        <v>131</v>
      </c>
      <c r="C12" s="27" t="s">
        <v>132</v>
      </c>
      <c r="D12" s="29" t="s">
        <v>1</v>
      </c>
      <c r="E12" s="29" t="s">
        <v>1</v>
      </c>
      <c r="F12" s="22" t="s">
        <v>133</v>
      </c>
      <c r="G12" s="29" t="s">
        <v>134</v>
      </c>
      <c r="H12" s="23" t="s">
        <v>135</v>
      </c>
      <c r="I12" s="29" t="s">
        <v>136</v>
      </c>
      <c r="J12" s="7" t="s">
        <v>137</v>
      </c>
      <c r="K12" s="29" t="s">
        <v>138</v>
      </c>
      <c r="L12" s="7" t="s">
        <v>139</v>
      </c>
      <c r="M12" s="29" t="s">
        <v>142</v>
      </c>
      <c r="N12" s="7" t="s">
        <v>143</v>
      </c>
      <c r="O12" s="29" t="s">
        <v>141</v>
      </c>
      <c r="Q12" s="11"/>
      <c r="R12"/>
      <c r="S12"/>
      <c r="T12"/>
      <c r="U12"/>
    </row>
    <row r="13" spans="1:21" s="6" customFormat="1" ht="19.5" customHeight="1" x14ac:dyDescent="0.25">
      <c r="A13" s="14" t="s">
        <v>18</v>
      </c>
      <c r="B13" s="7" t="s">
        <v>2</v>
      </c>
      <c r="C13" s="27" t="s">
        <v>2</v>
      </c>
      <c r="D13" s="23" t="s">
        <v>1</v>
      </c>
      <c r="E13" s="29" t="s">
        <v>1</v>
      </c>
      <c r="F13" s="22" t="s">
        <v>140</v>
      </c>
      <c r="G13" s="29" t="s">
        <v>144</v>
      </c>
      <c r="H13" s="23" t="s">
        <v>145</v>
      </c>
      <c r="I13" s="29" t="s">
        <v>146</v>
      </c>
      <c r="J13" s="7" t="s">
        <v>147</v>
      </c>
      <c r="K13" s="31" t="s">
        <v>148</v>
      </c>
      <c r="L13" s="7" t="s">
        <v>149</v>
      </c>
      <c r="M13" s="29" t="s">
        <v>150</v>
      </c>
      <c r="N13" s="7" t="s">
        <v>151</v>
      </c>
      <c r="O13" s="29" t="s">
        <v>152</v>
      </c>
      <c r="Q13" s="11"/>
      <c r="R13"/>
      <c r="S13"/>
      <c r="T13"/>
      <c r="U13"/>
    </row>
    <row r="14" spans="1:21" s="6" customFormat="1" ht="19.5" customHeight="1" x14ac:dyDescent="0.25">
      <c r="A14" s="15" t="s">
        <v>19</v>
      </c>
      <c r="B14" s="13" t="s">
        <v>44</v>
      </c>
      <c r="C14" s="28" t="s">
        <v>44</v>
      </c>
      <c r="D14" s="24" t="s">
        <v>44</v>
      </c>
      <c r="E14" s="30" t="s">
        <v>44</v>
      </c>
      <c r="F14" s="24" t="s">
        <v>44</v>
      </c>
      <c r="G14" s="30" t="s">
        <v>44</v>
      </c>
      <c r="H14" s="25" t="s">
        <v>44</v>
      </c>
      <c r="I14" s="30" t="s">
        <v>44</v>
      </c>
      <c r="J14" s="12" t="s">
        <v>44</v>
      </c>
      <c r="K14" s="30" t="s">
        <v>44</v>
      </c>
      <c r="L14" s="12" t="s">
        <v>44</v>
      </c>
      <c r="M14" s="30" t="s">
        <v>44</v>
      </c>
      <c r="N14" s="12" t="s">
        <v>44</v>
      </c>
      <c r="O14" s="30" t="s">
        <v>44</v>
      </c>
      <c r="Q14" s="11"/>
      <c r="R14"/>
      <c r="S14"/>
      <c r="T14"/>
      <c r="U14"/>
    </row>
    <row r="15" spans="1:21" s="6" customFormat="1" ht="19.5" customHeight="1" x14ac:dyDescent="0.25">
      <c r="A15" s="15" t="s">
        <v>20</v>
      </c>
      <c r="B15" s="13" t="s">
        <v>44</v>
      </c>
      <c r="C15" s="28" t="s">
        <v>44</v>
      </c>
      <c r="D15" s="24" t="s">
        <v>44</v>
      </c>
      <c r="E15" s="30" t="s">
        <v>44</v>
      </c>
      <c r="F15" s="24" t="s">
        <v>44</v>
      </c>
      <c r="G15" s="30" t="s">
        <v>44</v>
      </c>
      <c r="H15" s="25" t="s">
        <v>44</v>
      </c>
      <c r="I15" s="30" t="s">
        <v>44</v>
      </c>
      <c r="J15" s="12" t="s">
        <v>44</v>
      </c>
      <c r="K15" s="30" t="s">
        <v>44</v>
      </c>
      <c r="L15" s="12" t="s">
        <v>44</v>
      </c>
      <c r="M15" s="30" t="s">
        <v>44</v>
      </c>
      <c r="N15" s="12" t="s">
        <v>44</v>
      </c>
      <c r="O15" s="30" t="s">
        <v>44</v>
      </c>
      <c r="Q15" s="11"/>
      <c r="R15"/>
      <c r="S15"/>
      <c r="T15"/>
      <c r="U15"/>
    </row>
    <row r="16" spans="1:21" s="6" customFormat="1" ht="19.5" customHeight="1" x14ac:dyDescent="0.25">
      <c r="A16" s="14" t="s">
        <v>21</v>
      </c>
      <c r="B16" s="8" t="s">
        <v>95</v>
      </c>
      <c r="C16" s="26" t="s">
        <v>96</v>
      </c>
      <c r="D16" s="22" t="s">
        <v>97</v>
      </c>
      <c r="E16" s="29" t="s">
        <v>98</v>
      </c>
      <c r="F16" s="22" t="s">
        <v>99</v>
      </c>
      <c r="G16" s="31" t="s">
        <v>100</v>
      </c>
      <c r="H16" s="23" t="s">
        <v>101</v>
      </c>
      <c r="I16" s="29" t="s">
        <v>105</v>
      </c>
      <c r="J16" s="29" t="s">
        <v>1</v>
      </c>
      <c r="K16" s="29" t="s">
        <v>1</v>
      </c>
      <c r="L16" s="7" t="s">
        <v>102</v>
      </c>
      <c r="M16" s="29" t="s">
        <v>104</v>
      </c>
      <c r="N16" s="7" t="s">
        <v>103</v>
      </c>
      <c r="O16" s="29" t="s">
        <v>106</v>
      </c>
      <c r="Q16" s="11"/>
      <c r="R16"/>
      <c r="S16"/>
      <c r="T16"/>
      <c r="U16"/>
    </row>
    <row r="17" spans="1:21" s="6" customFormat="1" ht="19.5" customHeight="1" x14ac:dyDescent="0.25">
      <c r="A17" s="14" t="s">
        <v>22</v>
      </c>
      <c r="B17" s="8" t="s">
        <v>107</v>
      </c>
      <c r="C17" s="26" t="s">
        <v>108</v>
      </c>
      <c r="D17" s="22" t="s">
        <v>109</v>
      </c>
      <c r="E17" s="29" t="s">
        <v>110</v>
      </c>
      <c r="F17" s="22" t="s">
        <v>111</v>
      </c>
      <c r="G17" s="31" t="s">
        <v>112</v>
      </c>
      <c r="H17" s="23" t="s">
        <v>113</v>
      </c>
      <c r="I17" s="31" t="s">
        <v>114</v>
      </c>
      <c r="J17" s="23" t="s">
        <v>1</v>
      </c>
      <c r="K17" s="29" t="s">
        <v>1</v>
      </c>
      <c r="L17" s="7" t="s">
        <v>115</v>
      </c>
      <c r="M17" s="29" t="s">
        <v>116</v>
      </c>
      <c r="N17" s="7" t="s">
        <v>117</v>
      </c>
      <c r="O17" s="29" t="s">
        <v>118</v>
      </c>
      <c r="Q17" s="11"/>
      <c r="R17"/>
      <c r="S17"/>
      <c r="T17"/>
      <c r="U17"/>
    </row>
    <row r="18" spans="1:21" s="6" customFormat="1" ht="19.5" customHeight="1" x14ac:dyDescent="0.25">
      <c r="A18" s="14" t="s">
        <v>23</v>
      </c>
      <c r="B18" s="8" t="s">
        <v>119</v>
      </c>
      <c r="C18" s="27" t="s">
        <v>120</v>
      </c>
      <c r="D18" s="22" t="s">
        <v>121</v>
      </c>
      <c r="E18" s="29" t="s">
        <v>122</v>
      </c>
      <c r="F18" s="22" t="s">
        <v>123</v>
      </c>
      <c r="G18" s="29" t="s">
        <v>124</v>
      </c>
      <c r="H18" s="23" t="s">
        <v>125</v>
      </c>
      <c r="I18" s="29" t="s">
        <v>126</v>
      </c>
      <c r="J18" s="7" t="s">
        <v>127</v>
      </c>
      <c r="K18" s="29" t="s">
        <v>128</v>
      </c>
      <c r="L18" s="7" t="s">
        <v>129</v>
      </c>
      <c r="M18" s="29" t="s">
        <v>130</v>
      </c>
      <c r="N18" s="7" t="s">
        <v>2</v>
      </c>
      <c r="O18" s="27" t="s">
        <v>2</v>
      </c>
      <c r="Q18" s="11"/>
      <c r="R18"/>
      <c r="S18"/>
      <c r="T18"/>
      <c r="U18"/>
    </row>
    <row r="19" spans="1:21" s="6" customFormat="1" ht="19.5" customHeight="1" x14ac:dyDescent="0.25">
      <c r="A19" s="14" t="s">
        <v>24</v>
      </c>
      <c r="B19" s="8" t="s">
        <v>131</v>
      </c>
      <c r="C19" s="27" t="s">
        <v>132</v>
      </c>
      <c r="D19" s="29" t="s">
        <v>1</v>
      </c>
      <c r="E19" s="29" t="s">
        <v>1</v>
      </c>
      <c r="F19" s="22" t="s">
        <v>133</v>
      </c>
      <c r="G19" s="29" t="s">
        <v>134</v>
      </c>
      <c r="H19" s="23" t="s">
        <v>135</v>
      </c>
      <c r="I19" s="29" t="s">
        <v>136</v>
      </c>
      <c r="J19" s="7" t="s">
        <v>137</v>
      </c>
      <c r="K19" s="29" t="s">
        <v>138</v>
      </c>
      <c r="L19" s="7" t="s">
        <v>139</v>
      </c>
      <c r="M19" s="29" t="s">
        <v>142</v>
      </c>
      <c r="N19" s="7" t="s">
        <v>143</v>
      </c>
      <c r="O19" s="29" t="s">
        <v>141</v>
      </c>
      <c r="Q19" s="11"/>
      <c r="R19"/>
      <c r="S19"/>
      <c r="T19"/>
      <c r="U19"/>
    </row>
    <row r="20" spans="1:21" s="6" customFormat="1" ht="19.5" customHeight="1" x14ac:dyDescent="0.25">
      <c r="A20" s="14" t="s">
        <v>25</v>
      </c>
      <c r="B20" s="7" t="s">
        <v>2</v>
      </c>
      <c r="C20" s="27" t="s">
        <v>2</v>
      </c>
      <c r="D20" s="23" t="s">
        <v>1</v>
      </c>
      <c r="E20" s="29" t="s">
        <v>1</v>
      </c>
      <c r="F20" s="22" t="s">
        <v>140</v>
      </c>
      <c r="G20" s="29" t="s">
        <v>144</v>
      </c>
      <c r="H20" s="23" t="s">
        <v>145</v>
      </c>
      <c r="I20" s="29" t="s">
        <v>146</v>
      </c>
      <c r="J20" s="7" t="s">
        <v>147</v>
      </c>
      <c r="K20" s="31" t="s">
        <v>148</v>
      </c>
      <c r="L20" s="7" t="s">
        <v>149</v>
      </c>
      <c r="M20" s="29" t="s">
        <v>150</v>
      </c>
      <c r="N20" s="7" t="s">
        <v>151</v>
      </c>
      <c r="O20" s="29" t="s">
        <v>152</v>
      </c>
      <c r="Q20" s="11"/>
      <c r="R20"/>
      <c r="S20"/>
      <c r="T20"/>
      <c r="U20"/>
    </row>
    <row r="21" spans="1:21" s="6" customFormat="1" ht="19.5" customHeight="1" x14ac:dyDescent="0.25">
      <c r="A21" s="15" t="s">
        <v>26</v>
      </c>
      <c r="B21" s="13" t="s">
        <v>44</v>
      </c>
      <c r="C21" s="28" t="s">
        <v>44</v>
      </c>
      <c r="D21" s="24" t="s">
        <v>44</v>
      </c>
      <c r="E21" s="30" t="s">
        <v>44</v>
      </c>
      <c r="F21" s="24" t="s">
        <v>44</v>
      </c>
      <c r="G21" s="30" t="s">
        <v>44</v>
      </c>
      <c r="H21" s="25" t="s">
        <v>44</v>
      </c>
      <c r="I21" s="30" t="s">
        <v>44</v>
      </c>
      <c r="J21" s="12" t="s">
        <v>44</v>
      </c>
      <c r="K21" s="30" t="s">
        <v>44</v>
      </c>
      <c r="L21" s="12" t="s">
        <v>44</v>
      </c>
      <c r="M21" s="30" t="s">
        <v>44</v>
      </c>
      <c r="N21" s="12" t="s">
        <v>44</v>
      </c>
      <c r="O21" s="30" t="s">
        <v>44</v>
      </c>
      <c r="Q21" s="11"/>
      <c r="R21"/>
      <c r="S21"/>
      <c r="T21"/>
    </row>
    <row r="22" spans="1:21" s="6" customFormat="1" ht="19.5" customHeight="1" x14ac:dyDescent="0.25">
      <c r="A22" s="15" t="s">
        <v>27</v>
      </c>
      <c r="B22" s="13" t="s">
        <v>44</v>
      </c>
      <c r="C22" s="28" t="s">
        <v>44</v>
      </c>
      <c r="D22" s="24" t="s">
        <v>44</v>
      </c>
      <c r="E22" s="30" t="s">
        <v>44</v>
      </c>
      <c r="F22" s="24" t="s">
        <v>44</v>
      </c>
      <c r="G22" s="30" t="s">
        <v>44</v>
      </c>
      <c r="H22" s="25" t="s">
        <v>44</v>
      </c>
      <c r="I22" s="30" t="s">
        <v>44</v>
      </c>
      <c r="J22" s="12" t="s">
        <v>44</v>
      </c>
      <c r="K22" s="30" t="s">
        <v>44</v>
      </c>
      <c r="L22" s="12" t="s">
        <v>44</v>
      </c>
      <c r="M22" s="30" t="s">
        <v>44</v>
      </c>
      <c r="N22" s="12" t="s">
        <v>44</v>
      </c>
      <c r="O22" s="30" t="s">
        <v>44</v>
      </c>
      <c r="Q22" s="11"/>
      <c r="R22"/>
      <c r="S22"/>
      <c r="T22"/>
    </row>
    <row r="23" spans="1:21" s="6" customFormat="1" ht="19.5" customHeight="1" x14ac:dyDescent="0.25">
      <c r="A23" s="14" t="s">
        <v>28</v>
      </c>
      <c r="B23" s="8" t="s">
        <v>95</v>
      </c>
      <c r="C23" s="26" t="s">
        <v>96</v>
      </c>
      <c r="D23" s="22" t="s">
        <v>97</v>
      </c>
      <c r="E23" s="29" t="s">
        <v>98</v>
      </c>
      <c r="F23" s="22" t="s">
        <v>99</v>
      </c>
      <c r="G23" s="31" t="s">
        <v>100</v>
      </c>
      <c r="H23" s="23" t="s">
        <v>101</v>
      </c>
      <c r="I23" s="29" t="s">
        <v>105</v>
      </c>
      <c r="J23" s="29" t="s">
        <v>1</v>
      </c>
      <c r="K23" s="29" t="s">
        <v>1</v>
      </c>
      <c r="L23" s="7" t="s">
        <v>102</v>
      </c>
      <c r="M23" s="29" t="s">
        <v>104</v>
      </c>
      <c r="N23" s="7" t="s">
        <v>103</v>
      </c>
      <c r="O23" s="29" t="s">
        <v>106</v>
      </c>
      <c r="Q23" s="11"/>
      <c r="R23"/>
      <c r="S23"/>
      <c r="T23"/>
    </row>
    <row r="24" spans="1:21" s="6" customFormat="1" ht="19.5" customHeight="1" x14ac:dyDescent="0.25">
      <c r="A24" s="14" t="s">
        <v>29</v>
      </c>
      <c r="B24" s="8" t="s">
        <v>107</v>
      </c>
      <c r="C24" s="26" t="s">
        <v>108</v>
      </c>
      <c r="D24" s="22" t="s">
        <v>109</v>
      </c>
      <c r="E24" s="29" t="s">
        <v>110</v>
      </c>
      <c r="F24" s="22" t="s">
        <v>111</v>
      </c>
      <c r="G24" s="31" t="s">
        <v>112</v>
      </c>
      <c r="H24" s="23" t="s">
        <v>113</v>
      </c>
      <c r="I24" s="31" t="s">
        <v>114</v>
      </c>
      <c r="J24" s="23" t="s">
        <v>1</v>
      </c>
      <c r="K24" s="29" t="s">
        <v>1</v>
      </c>
      <c r="L24" s="7" t="s">
        <v>115</v>
      </c>
      <c r="M24" s="29" t="s">
        <v>116</v>
      </c>
      <c r="N24" s="7" t="s">
        <v>117</v>
      </c>
      <c r="O24" s="29" t="s">
        <v>118</v>
      </c>
      <c r="Q24" s="5"/>
      <c r="R24"/>
      <c r="S24"/>
      <c r="T24"/>
    </row>
    <row r="25" spans="1:21" s="6" customFormat="1" ht="19.5" customHeight="1" x14ac:dyDescent="0.25">
      <c r="A25" s="14" t="s">
        <v>30</v>
      </c>
      <c r="B25" s="8" t="s">
        <v>119</v>
      </c>
      <c r="C25" s="27" t="s">
        <v>120</v>
      </c>
      <c r="D25" s="22" t="s">
        <v>121</v>
      </c>
      <c r="E25" s="29" t="s">
        <v>122</v>
      </c>
      <c r="F25" s="22" t="s">
        <v>123</v>
      </c>
      <c r="G25" s="29" t="s">
        <v>124</v>
      </c>
      <c r="H25" s="23" t="s">
        <v>125</v>
      </c>
      <c r="I25" s="29" t="s">
        <v>126</v>
      </c>
      <c r="J25" s="7" t="s">
        <v>127</v>
      </c>
      <c r="K25" s="29" t="s">
        <v>128</v>
      </c>
      <c r="L25" s="7" t="s">
        <v>129</v>
      </c>
      <c r="M25" s="29" t="s">
        <v>130</v>
      </c>
      <c r="N25" s="7" t="s">
        <v>2</v>
      </c>
      <c r="O25" s="27" t="s">
        <v>2</v>
      </c>
      <c r="Q25" s="5"/>
      <c r="R25"/>
      <c r="S25"/>
      <c r="T25"/>
    </row>
    <row r="26" spans="1:21" s="6" customFormat="1" ht="19.5" customHeight="1" x14ac:dyDescent="0.25">
      <c r="A26" s="14" t="s">
        <v>31</v>
      </c>
      <c r="B26" s="8" t="s">
        <v>131</v>
      </c>
      <c r="C26" s="27" t="s">
        <v>132</v>
      </c>
      <c r="D26" s="29" t="s">
        <v>1</v>
      </c>
      <c r="E26" s="29" t="s">
        <v>1</v>
      </c>
      <c r="F26" s="22" t="s">
        <v>133</v>
      </c>
      <c r="G26" s="29" t="s">
        <v>134</v>
      </c>
      <c r="H26" s="23" t="s">
        <v>135</v>
      </c>
      <c r="I26" s="29" t="s">
        <v>136</v>
      </c>
      <c r="J26" s="7" t="s">
        <v>137</v>
      </c>
      <c r="K26" s="29" t="s">
        <v>138</v>
      </c>
      <c r="L26" s="7" t="s">
        <v>139</v>
      </c>
      <c r="M26" s="29" t="s">
        <v>142</v>
      </c>
      <c r="N26" s="7" t="s">
        <v>143</v>
      </c>
      <c r="O26" s="29" t="s">
        <v>141</v>
      </c>
      <c r="Q26" s="5"/>
      <c r="R26"/>
      <c r="S26"/>
      <c r="T26"/>
    </row>
    <row r="27" spans="1:21" s="6" customFormat="1" ht="19.5" customHeight="1" x14ac:dyDescent="0.25">
      <c r="A27" s="14" t="s">
        <v>32</v>
      </c>
      <c r="B27" s="7" t="s">
        <v>2</v>
      </c>
      <c r="C27" s="27" t="s">
        <v>2</v>
      </c>
      <c r="D27" s="23" t="s">
        <v>1</v>
      </c>
      <c r="E27" s="29" t="s">
        <v>1</v>
      </c>
      <c r="F27" s="22" t="s">
        <v>140</v>
      </c>
      <c r="G27" s="29" t="s">
        <v>144</v>
      </c>
      <c r="H27" s="23" t="s">
        <v>145</v>
      </c>
      <c r="I27" s="29" t="s">
        <v>146</v>
      </c>
      <c r="J27" s="7" t="s">
        <v>147</v>
      </c>
      <c r="K27" s="31" t="s">
        <v>148</v>
      </c>
      <c r="L27" s="7" t="s">
        <v>149</v>
      </c>
      <c r="M27" s="29" t="s">
        <v>150</v>
      </c>
      <c r="N27" s="7" t="s">
        <v>151</v>
      </c>
      <c r="O27" s="29" t="s">
        <v>152</v>
      </c>
      <c r="Q27" s="5"/>
      <c r="R27"/>
      <c r="S27"/>
      <c r="T27"/>
    </row>
    <row r="28" spans="1:21" s="6" customFormat="1" ht="19.5" customHeight="1" x14ac:dyDescent="0.25">
      <c r="A28" s="15" t="s">
        <v>33</v>
      </c>
      <c r="B28" s="13" t="s">
        <v>44</v>
      </c>
      <c r="C28" s="28" t="s">
        <v>44</v>
      </c>
      <c r="D28" s="24" t="s">
        <v>44</v>
      </c>
      <c r="E28" s="30" t="s">
        <v>44</v>
      </c>
      <c r="F28" s="24" t="s">
        <v>44</v>
      </c>
      <c r="G28" s="30" t="s">
        <v>44</v>
      </c>
      <c r="H28" s="25" t="s">
        <v>44</v>
      </c>
      <c r="I28" s="30" t="s">
        <v>44</v>
      </c>
      <c r="J28" s="12" t="s">
        <v>44</v>
      </c>
      <c r="K28" s="30" t="s">
        <v>44</v>
      </c>
      <c r="L28" s="12" t="s">
        <v>44</v>
      </c>
      <c r="M28" s="30" t="s">
        <v>44</v>
      </c>
      <c r="N28" s="12" t="s">
        <v>44</v>
      </c>
      <c r="O28" s="30" t="s">
        <v>44</v>
      </c>
      <c r="Q28" s="5"/>
      <c r="R28"/>
      <c r="S28"/>
    </row>
    <row r="29" spans="1:21" s="6" customFormat="1" ht="19.5" customHeight="1" x14ac:dyDescent="0.25">
      <c r="A29" s="15" t="s">
        <v>34</v>
      </c>
      <c r="B29" s="13" t="s">
        <v>44</v>
      </c>
      <c r="C29" s="28" t="s">
        <v>44</v>
      </c>
      <c r="D29" s="24" t="s">
        <v>44</v>
      </c>
      <c r="E29" s="30" t="s">
        <v>44</v>
      </c>
      <c r="F29" s="24" t="s">
        <v>44</v>
      </c>
      <c r="G29" s="30" t="s">
        <v>44</v>
      </c>
      <c r="H29" s="25" t="s">
        <v>44</v>
      </c>
      <c r="I29" s="30" t="s">
        <v>44</v>
      </c>
      <c r="J29" s="12" t="s">
        <v>44</v>
      </c>
      <c r="K29" s="30" t="s">
        <v>44</v>
      </c>
      <c r="L29" s="12" t="s">
        <v>44</v>
      </c>
      <c r="M29" s="30" t="s">
        <v>44</v>
      </c>
      <c r="N29" s="12" t="s">
        <v>44</v>
      </c>
      <c r="O29" s="30" t="s">
        <v>44</v>
      </c>
      <c r="Q29" s="5"/>
      <c r="R29"/>
      <c r="S29"/>
    </row>
    <row r="30" spans="1:21" s="6" customFormat="1" ht="19.5" customHeight="1" x14ac:dyDescent="0.25">
      <c r="A30" s="14" t="s">
        <v>35</v>
      </c>
      <c r="B30" s="8" t="s">
        <v>95</v>
      </c>
      <c r="C30" s="26" t="s">
        <v>96</v>
      </c>
      <c r="D30" s="22" t="s">
        <v>97</v>
      </c>
      <c r="E30" s="29" t="s">
        <v>98</v>
      </c>
      <c r="F30" s="22" t="s">
        <v>99</v>
      </c>
      <c r="G30" s="31" t="s">
        <v>100</v>
      </c>
      <c r="H30" s="23" t="s">
        <v>101</v>
      </c>
      <c r="I30" s="29" t="s">
        <v>105</v>
      </c>
      <c r="J30" s="29" t="s">
        <v>1</v>
      </c>
      <c r="K30" s="29" t="s">
        <v>1</v>
      </c>
      <c r="L30" s="7" t="s">
        <v>102</v>
      </c>
      <c r="M30" s="29" t="s">
        <v>104</v>
      </c>
      <c r="N30" s="7" t="s">
        <v>103</v>
      </c>
      <c r="O30" s="29" t="s">
        <v>106</v>
      </c>
      <c r="Q30" s="5"/>
      <c r="R30"/>
      <c r="S30"/>
      <c r="T30"/>
    </row>
    <row r="31" spans="1:21" s="6" customFormat="1" ht="19.5" customHeight="1" x14ac:dyDescent="0.25">
      <c r="A31" s="14" t="s">
        <v>36</v>
      </c>
      <c r="B31" s="8" t="s">
        <v>107</v>
      </c>
      <c r="C31" s="26" t="s">
        <v>108</v>
      </c>
      <c r="D31" s="22" t="s">
        <v>109</v>
      </c>
      <c r="E31" s="29" t="s">
        <v>110</v>
      </c>
      <c r="F31" s="22" t="s">
        <v>111</v>
      </c>
      <c r="G31" s="31" t="s">
        <v>112</v>
      </c>
      <c r="H31" s="23" t="s">
        <v>113</v>
      </c>
      <c r="I31" s="31" t="s">
        <v>114</v>
      </c>
      <c r="J31" s="23" t="s">
        <v>1</v>
      </c>
      <c r="K31" s="29" t="s">
        <v>1</v>
      </c>
      <c r="L31" s="7" t="s">
        <v>115</v>
      </c>
      <c r="M31" s="29" t="s">
        <v>116</v>
      </c>
      <c r="N31" s="7" t="s">
        <v>117</v>
      </c>
      <c r="O31" s="29" t="s">
        <v>118</v>
      </c>
      <c r="Q31" s="5"/>
      <c r="R31"/>
      <c r="S31"/>
      <c r="T31"/>
    </row>
    <row r="32" spans="1:21" s="6" customFormat="1" ht="19.5" customHeight="1" x14ac:dyDescent="0.25">
      <c r="A32" s="14" t="s">
        <v>37</v>
      </c>
      <c r="B32" s="8" t="s">
        <v>119</v>
      </c>
      <c r="C32" s="27" t="s">
        <v>120</v>
      </c>
      <c r="D32" s="22" t="s">
        <v>121</v>
      </c>
      <c r="E32" s="29" t="s">
        <v>122</v>
      </c>
      <c r="F32" s="22" t="s">
        <v>123</v>
      </c>
      <c r="G32" s="29" t="s">
        <v>124</v>
      </c>
      <c r="H32" s="23" t="s">
        <v>125</v>
      </c>
      <c r="I32" s="29" t="s">
        <v>126</v>
      </c>
      <c r="J32" s="7" t="s">
        <v>127</v>
      </c>
      <c r="K32" s="29" t="s">
        <v>128</v>
      </c>
      <c r="L32" s="7" t="s">
        <v>129</v>
      </c>
      <c r="M32" s="29" t="s">
        <v>130</v>
      </c>
      <c r="N32" s="7" t="s">
        <v>2</v>
      </c>
      <c r="O32" s="27" t="s">
        <v>2</v>
      </c>
      <c r="Q32" s="11"/>
      <c r="R32"/>
      <c r="S32"/>
      <c r="T32"/>
    </row>
    <row r="33" spans="1:20" s="6" customFormat="1" ht="19.5" customHeight="1" x14ac:dyDescent="0.25">
      <c r="A33" s="14" t="s">
        <v>38</v>
      </c>
      <c r="B33" s="8" t="s">
        <v>131</v>
      </c>
      <c r="C33" s="27" t="s">
        <v>132</v>
      </c>
      <c r="D33" s="29" t="s">
        <v>1</v>
      </c>
      <c r="E33" s="29" t="s">
        <v>1</v>
      </c>
      <c r="F33" s="22" t="s">
        <v>133</v>
      </c>
      <c r="G33" s="29" t="s">
        <v>134</v>
      </c>
      <c r="H33" s="23" t="s">
        <v>135</v>
      </c>
      <c r="I33" s="29" t="s">
        <v>136</v>
      </c>
      <c r="J33" s="7" t="s">
        <v>137</v>
      </c>
      <c r="K33" s="29" t="s">
        <v>138</v>
      </c>
      <c r="L33" s="7" t="s">
        <v>139</v>
      </c>
      <c r="M33" s="29" t="s">
        <v>142</v>
      </c>
      <c r="N33" s="7" t="s">
        <v>143</v>
      </c>
      <c r="O33" s="29" t="s">
        <v>141</v>
      </c>
      <c r="Q33" s="11"/>
      <c r="S33"/>
      <c r="T33"/>
    </row>
    <row r="34" spans="1:20" s="6" customFormat="1" ht="19.5" customHeight="1" x14ac:dyDescent="0.25">
      <c r="A34" s="14" t="s">
        <v>39</v>
      </c>
      <c r="B34" s="7" t="s">
        <v>2</v>
      </c>
      <c r="C34" s="27" t="s">
        <v>2</v>
      </c>
      <c r="D34" s="23" t="s">
        <v>1</v>
      </c>
      <c r="E34" s="29" t="s">
        <v>1</v>
      </c>
      <c r="F34" s="22" t="s">
        <v>140</v>
      </c>
      <c r="G34" s="29" t="s">
        <v>144</v>
      </c>
      <c r="H34" s="23" t="s">
        <v>145</v>
      </c>
      <c r="I34" s="29" t="s">
        <v>146</v>
      </c>
      <c r="J34" s="7" t="s">
        <v>147</v>
      </c>
      <c r="K34" s="31" t="s">
        <v>148</v>
      </c>
      <c r="L34" s="7" t="s">
        <v>149</v>
      </c>
      <c r="M34" s="29" t="s">
        <v>150</v>
      </c>
      <c r="N34" s="7" t="s">
        <v>151</v>
      </c>
      <c r="O34" s="29" t="s">
        <v>152</v>
      </c>
      <c r="Q34" s="11"/>
      <c r="S34"/>
      <c r="T34"/>
    </row>
    <row r="35" spans="1:20" s="6" customFormat="1" ht="19.5" customHeight="1" x14ac:dyDescent="0.25">
      <c r="A35" s="15" t="s">
        <v>42</v>
      </c>
      <c r="B35" s="13" t="s">
        <v>44</v>
      </c>
      <c r="C35" s="28" t="s">
        <v>44</v>
      </c>
      <c r="D35" s="24" t="s">
        <v>44</v>
      </c>
      <c r="E35" s="30" t="s">
        <v>44</v>
      </c>
      <c r="F35" s="24" t="s">
        <v>44</v>
      </c>
      <c r="G35" s="30" t="s">
        <v>44</v>
      </c>
      <c r="H35" s="25" t="s">
        <v>44</v>
      </c>
      <c r="I35" s="30" t="s">
        <v>44</v>
      </c>
      <c r="J35" s="12" t="s">
        <v>44</v>
      </c>
      <c r="K35" s="30" t="s">
        <v>44</v>
      </c>
      <c r="L35" s="12" t="s">
        <v>44</v>
      </c>
      <c r="M35" s="30" t="s">
        <v>44</v>
      </c>
      <c r="N35" s="12" t="s">
        <v>44</v>
      </c>
      <c r="O35" s="30" t="s">
        <v>44</v>
      </c>
      <c r="Q35" s="11"/>
      <c r="S35"/>
      <c r="T35"/>
    </row>
    <row r="36" spans="1:20" s="6" customFormat="1" ht="19.5" customHeight="1" x14ac:dyDescent="0.25">
      <c r="A36" s="15" t="s">
        <v>43</v>
      </c>
      <c r="B36" s="13" t="s">
        <v>44</v>
      </c>
      <c r="C36" s="28" t="s">
        <v>44</v>
      </c>
      <c r="D36" s="24" t="s">
        <v>44</v>
      </c>
      <c r="E36" s="30" t="s">
        <v>44</v>
      </c>
      <c r="F36" s="24" t="s">
        <v>44</v>
      </c>
      <c r="G36" s="30" t="s">
        <v>44</v>
      </c>
      <c r="H36" s="25" t="s">
        <v>44</v>
      </c>
      <c r="I36" s="30" t="s">
        <v>44</v>
      </c>
      <c r="J36" s="12" t="s">
        <v>44</v>
      </c>
      <c r="K36" s="30" t="s">
        <v>44</v>
      </c>
      <c r="L36" s="12" t="s">
        <v>44</v>
      </c>
      <c r="M36" s="30" t="s">
        <v>44</v>
      </c>
      <c r="N36" s="12" t="s">
        <v>44</v>
      </c>
      <c r="O36" s="30" t="s">
        <v>44</v>
      </c>
      <c r="Q36" s="11"/>
      <c r="S36"/>
      <c r="T36"/>
    </row>
    <row r="37" spans="1:20" x14ac:dyDescent="0.25">
      <c r="Q37" s="5"/>
    </row>
    <row r="38" spans="1:20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</sheetData>
  <mergeCells count="7">
    <mergeCell ref="N1:O1"/>
    <mergeCell ref="B1:C1"/>
    <mergeCell ref="D1:E1"/>
    <mergeCell ref="F1:G1"/>
    <mergeCell ref="H1:I1"/>
    <mergeCell ref="J1:K1"/>
    <mergeCell ref="L1:M1"/>
  </mergeCells>
  <phoneticPr fontId="8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5"/>
  <dimension ref="B2:L16"/>
  <sheetViews>
    <sheetView showGridLines="0" zoomScale="85" zoomScaleNormal="85" workbookViewId="0">
      <selection activeCell="T55" sqref="T55"/>
    </sheetView>
  </sheetViews>
  <sheetFormatPr baseColWidth="10" defaultRowHeight="15" x14ac:dyDescent="0.25"/>
  <cols>
    <col min="1" max="1" width="9.5703125" customWidth="1"/>
    <col min="2" max="2" width="20.7109375" customWidth="1"/>
    <col min="3" max="3" width="19.5703125" style="2" customWidth="1"/>
    <col min="4" max="4" width="36.85546875" style="2" customWidth="1"/>
    <col min="5" max="5" width="29.85546875" style="2" customWidth="1"/>
    <col min="6" max="6" width="16.28515625" style="1" customWidth="1"/>
    <col min="7" max="7" width="18.42578125" style="1" customWidth="1"/>
    <col min="8" max="8" width="35.85546875" customWidth="1"/>
    <col min="9" max="9" width="6.85546875" customWidth="1"/>
    <col min="11" max="11" width="3" customWidth="1"/>
    <col min="13" max="13" width="3.140625" customWidth="1"/>
  </cols>
  <sheetData>
    <row r="2" spans="2:12" ht="27" x14ac:dyDescent="0.25">
      <c r="B2" s="62" t="s">
        <v>3</v>
      </c>
      <c r="C2" s="62"/>
      <c r="D2" s="62"/>
      <c r="E2" s="62"/>
      <c r="F2" s="62"/>
      <c r="G2" s="62"/>
      <c r="H2" s="62"/>
      <c r="L2" s="21" t="s">
        <v>7</v>
      </c>
    </row>
    <row r="3" spans="2:12" ht="18.75" x14ac:dyDescent="0.25">
      <c r="L3" s="42">
        <v>2020</v>
      </c>
    </row>
    <row r="4" spans="2:12" x14ac:dyDescent="0.25">
      <c r="B4" t="s">
        <v>53</v>
      </c>
      <c r="C4" s="2" t="s">
        <v>61</v>
      </c>
      <c r="D4" s="1" t="s">
        <v>6</v>
      </c>
      <c r="E4" s="16" t="s">
        <v>5</v>
      </c>
      <c r="F4" s="1" t="s">
        <v>76</v>
      </c>
      <c r="G4" s="1" t="s">
        <v>84</v>
      </c>
      <c r="H4" t="s">
        <v>4</v>
      </c>
    </row>
    <row r="5" spans="2:12" x14ac:dyDescent="0.25">
      <c r="B5" s="17" t="s">
        <v>46</v>
      </c>
      <c r="C5" s="18" t="s">
        <v>62</v>
      </c>
      <c r="D5" s="18" t="s">
        <v>54</v>
      </c>
      <c r="E5" s="18" t="s">
        <v>69</v>
      </c>
      <c r="F5" s="19" t="s">
        <v>77</v>
      </c>
      <c r="G5" s="19" t="s">
        <v>85</v>
      </c>
      <c r="H5" s="17" t="str">
        <f>TChauffeur[[#This Row],[Nom Prénom]]&amp;"@gmail.com"</f>
        <v>Chauffeur 1@gmail.com</v>
      </c>
    </row>
    <row r="6" spans="2:12" x14ac:dyDescent="0.25">
      <c r="B6" s="17" t="s">
        <v>47</v>
      </c>
      <c r="C6" s="18" t="s">
        <v>63</v>
      </c>
      <c r="D6" s="18" t="s">
        <v>55</v>
      </c>
      <c r="E6" s="18" t="s">
        <v>70</v>
      </c>
      <c r="F6" s="19" t="s">
        <v>78</v>
      </c>
      <c r="G6" s="19" t="s">
        <v>85</v>
      </c>
      <c r="H6" s="17" t="str">
        <f>TChauffeur[[#This Row],[Nom Prénom]]&amp;"@gmail.com"</f>
        <v>Chauffeur 2@gmail.com</v>
      </c>
    </row>
    <row r="7" spans="2:12" x14ac:dyDescent="0.25">
      <c r="B7" s="17" t="s">
        <v>48</v>
      </c>
      <c r="C7" s="18" t="s">
        <v>64</v>
      </c>
      <c r="D7" s="18" t="s">
        <v>56</v>
      </c>
      <c r="E7" s="18" t="s">
        <v>71</v>
      </c>
      <c r="F7" s="19" t="s">
        <v>79</v>
      </c>
      <c r="G7" s="19" t="s">
        <v>86</v>
      </c>
      <c r="H7" s="17" t="str">
        <f>TChauffeur[[#This Row],[Nom Prénom]]&amp;"@gmail.com"</f>
        <v>Chauffeur 3@gmail.com</v>
      </c>
    </row>
    <row r="8" spans="2:12" x14ac:dyDescent="0.25">
      <c r="B8" s="17" t="s">
        <v>49</v>
      </c>
      <c r="C8" s="18" t="s">
        <v>65</v>
      </c>
      <c r="D8" s="18" t="s">
        <v>57</v>
      </c>
      <c r="E8" s="18" t="s">
        <v>72</v>
      </c>
      <c r="F8" s="19" t="s">
        <v>80</v>
      </c>
      <c r="G8" s="19" t="s">
        <v>85</v>
      </c>
      <c r="H8" s="17" t="str">
        <f>TChauffeur[[#This Row],[Nom Prénom]]&amp;"@gmail.com"</f>
        <v>Chauffeur 4@gmail.com</v>
      </c>
    </row>
    <row r="9" spans="2:12" x14ac:dyDescent="0.25">
      <c r="B9" s="17" t="s">
        <v>50</v>
      </c>
      <c r="C9" s="18" t="s">
        <v>66</v>
      </c>
      <c r="D9" s="18" t="s">
        <v>58</v>
      </c>
      <c r="E9" s="18" t="s">
        <v>73</v>
      </c>
      <c r="F9" s="19" t="s">
        <v>81</v>
      </c>
      <c r="G9" s="19" t="s">
        <v>86</v>
      </c>
      <c r="H9" s="17" t="str">
        <f>TChauffeur[[#This Row],[Nom Prénom]]&amp;"@gmail.com"</f>
        <v>Chauffeur 5@gmail.com</v>
      </c>
    </row>
    <row r="10" spans="2:12" x14ac:dyDescent="0.25">
      <c r="B10" s="17" t="s">
        <v>51</v>
      </c>
      <c r="C10" s="18" t="s">
        <v>67</v>
      </c>
      <c r="D10" s="18" t="s">
        <v>59</v>
      </c>
      <c r="E10" s="18" t="s">
        <v>74</v>
      </c>
      <c r="F10" s="19" t="s">
        <v>82</v>
      </c>
      <c r="G10" s="20" t="s">
        <v>85</v>
      </c>
      <c r="H10" s="17" t="str">
        <f>TChauffeur[[#This Row],[Nom Prénom]]&amp;"@gmail.com"</f>
        <v>Chauffeur 6@gmail.com</v>
      </c>
    </row>
    <row r="11" spans="2:12" x14ac:dyDescent="0.25">
      <c r="B11" s="17" t="s">
        <v>52</v>
      </c>
      <c r="C11" s="18" t="s">
        <v>68</v>
      </c>
      <c r="D11" s="18" t="s">
        <v>60</v>
      </c>
      <c r="E11" s="18" t="s">
        <v>75</v>
      </c>
      <c r="F11" s="19" t="s">
        <v>83</v>
      </c>
      <c r="G11" s="19" t="s">
        <v>85</v>
      </c>
      <c r="H11" s="17" t="str">
        <f>TChauffeur[[#This Row],[Nom Prénom]]&amp;"@gmail.com"</f>
        <v>Chauffeur 7@gmail.com</v>
      </c>
    </row>
    <row r="16" spans="2:12" ht="27" x14ac:dyDescent="0.25">
      <c r="B16" s="62" t="s">
        <v>45</v>
      </c>
      <c r="C16" s="62"/>
      <c r="D16" s="62"/>
      <c r="E16" s="62"/>
      <c r="F16" s="62"/>
      <c r="G16" s="62"/>
      <c r="H16" s="62"/>
    </row>
  </sheetData>
  <mergeCells count="2">
    <mergeCell ref="B2:H2"/>
    <mergeCell ref="B16:H16"/>
  </mergeCells>
  <phoneticPr fontId="8" type="noConversion"/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MENU</vt:lpstr>
      <vt:lpstr>TRAME</vt:lpstr>
      <vt:lpstr>CALENDRIER BASE</vt:lpstr>
      <vt:lpstr>LISTE CHAUFFEURS</vt:lpstr>
      <vt:lpstr>ANNEE_ENCOURS</vt:lpstr>
      <vt:lpstr>TRAME!Zone_d_impression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GUIART Didier</dc:creator>
  <cp:lastModifiedBy>Carl Laurier</cp:lastModifiedBy>
  <cp:lastPrinted>2020-03-27T20:28:05Z</cp:lastPrinted>
  <dcterms:created xsi:type="dcterms:W3CDTF">2020-03-25T08:19:44Z</dcterms:created>
  <dcterms:modified xsi:type="dcterms:W3CDTF">2020-11-07T14:45:32Z</dcterms:modified>
</cp:coreProperties>
</file>