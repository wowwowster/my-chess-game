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CHEFFERIE DE PROJET/EXCEL/calendrier pour plan de charge avec recherche de correspondance/"/>
    </mc:Choice>
  </mc:AlternateContent>
  <xr:revisionPtr revIDLastSave="14" documentId="8_{71B3F425-117B-469C-A76B-60081C998AAA}" xr6:coauthVersionLast="46" xr6:coauthVersionMax="46" xr10:uidLastSave="{3880ED21-99B9-48FC-9D79-C87E18CBC93C}"/>
  <bookViews>
    <workbookView xWindow="-108" yWindow="-108" windowWidth="23256" windowHeight="12576" activeTab="1" xr2:uid="{5A4D7191-926A-411E-A573-70CB2061290A}"/>
  </bookViews>
  <sheets>
    <sheet name="Jours fériés" sheetId="2" r:id="rId1"/>
    <sheet name="AVR 21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5" l="1"/>
  <c r="C14" i="2" l="1"/>
  <c r="C15" i="2"/>
  <c r="A5" i="5" l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l="1"/>
  <c r="A33" i="5" s="1"/>
  <c r="A35" i="5" l="1"/>
  <c r="C13" i="2"/>
  <c r="C12" i="2"/>
  <c r="C11" i="2"/>
  <c r="C10" i="2"/>
  <c r="C6" i="2"/>
  <c r="C5" i="2"/>
  <c r="C3" i="2"/>
  <c r="C4" i="2" s="1"/>
  <c r="C2" i="2"/>
  <c r="C7" i="2" l="1"/>
  <c r="C8" i="2"/>
  <c r="C9" i="2"/>
</calcChain>
</file>

<file path=xl/sharedStrings.xml><?xml version="1.0" encoding="utf-8"?>
<sst xmlns="http://schemas.openxmlformats.org/spreadsheetml/2006/main" count="171" uniqueCount="87">
  <si>
    <t>Mois</t>
  </si>
  <si>
    <t>Année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</si>
  <si>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</si>
  <si>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</si>
  <si>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</si>
  <si>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</si>
  <si>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</si>
  <si>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</si>
  <si>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</si>
  <si>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</si>
  <si>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</si>
  <si>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</si>
  <si>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</si>
  <si>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</si>
  <si>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Carl LAURIER</t>
  </si>
  <si>
    <t>Sylvain CAILLEAU</t>
  </si>
  <si>
    <t>Lamine BENFRADJ</t>
  </si>
  <si>
    <t>Florin Sansom</t>
  </si>
  <si>
    <t>Mathieu RALAMBOSON</t>
  </si>
  <si>
    <t>Benoit GALLOU</t>
  </si>
  <si>
    <t>Dorian DAUPHIN</t>
  </si>
  <si>
    <t>Baptiste PARENT</t>
  </si>
  <si>
    <t>Chef de projet</t>
  </si>
  <si>
    <t>Architecte / Dev backend Snr</t>
  </si>
  <si>
    <t>Dev Backend Snr</t>
  </si>
  <si>
    <t>Dev Backend Jnr</t>
  </si>
  <si>
    <t>Dev Frontend Jnr</t>
  </si>
  <si>
    <t>Dev Frontend</t>
  </si>
  <si>
    <t>Technicien Informatique</t>
  </si>
  <si>
    <t>=DATE($C$4;1;1)</t>
  </si>
  <si>
    <t>1er Janvier</t>
  </si>
  <si>
    <t>Pâques</t>
  </si>
  <si>
    <t>=DATE(année;3;29,56+0,979*MOD(204-11*MOD(année;19);30)-JOURSEM(DATE(année;3;28,56+0,979*MOD(204-11*MOD(année;19);30))))</t>
  </si>
  <si>
    <t>Lundi de Pâques</t>
  </si>
  <si>
    <t>1er Mai</t>
  </si>
  <si>
    <t>=DATE(année;5;1)</t>
  </si>
  <si>
    <t>=Pâques+1</t>
  </si>
  <si>
    <t>Victoire 8 mai</t>
  </si>
  <si>
    <t>=DATE(année;5;8)</t>
  </si>
  <si>
    <t>Ascension</t>
  </si>
  <si>
    <t>=Pâques+39</t>
  </si>
  <si>
    <t>=Pâques+49</t>
  </si>
  <si>
    <t>=Pâques+50</t>
  </si>
  <si>
    <t>Pentecôte</t>
  </si>
  <si>
    <t>Lundi de Pentecôte</t>
  </si>
  <si>
    <t>=DATE(année;7;14)</t>
  </si>
  <si>
    <t>14 juillet</t>
  </si>
  <si>
    <t xml:space="preserve">Assomption </t>
  </si>
  <si>
    <t xml:space="preserve">Toussaint </t>
  </si>
  <si>
    <t>11 novembre</t>
  </si>
  <si>
    <t>=DATE(année;8;15)</t>
  </si>
  <si>
    <t>=DATE(année;11;1)</t>
  </si>
  <si>
    <t>=DATE(année;11;11)</t>
  </si>
  <si>
    <t>=DATE(année;12;25)</t>
  </si>
  <si>
    <t>Noël 2021</t>
  </si>
  <si>
    <t>Noël 2020</t>
  </si>
  <si>
    <t>Congé</t>
  </si>
  <si>
    <t>Chefferie de projet</t>
  </si>
  <si>
    <t>Majed Chaouch</t>
  </si>
  <si>
    <t>Alpha Bah</t>
  </si>
  <si>
    <t>Phase d'intégration SAV - supervision formulaire</t>
  </si>
  <si>
    <t>Phase d'intégration SAV - Validation formulaire modélisé par Randa</t>
  </si>
  <si>
    <t>Aquedi 1.8.2 - corrections bugs lié au fil d'ariane</t>
  </si>
  <si>
    <t xml:space="preserve">Aquedi 1.8.1 et 1.8.2 - corrections bugs </t>
  </si>
  <si>
    <t>P2P</t>
  </si>
  <si>
    <t xml:space="preserve">EDF - Préparation exemples de graphes </t>
  </si>
  <si>
    <t>Chômage partiel</t>
  </si>
  <si>
    <t>Aquedi - Formation administrateur pour SEC et SEG</t>
  </si>
  <si>
    <t xml:space="preserve">rédiger un topo sur l’histoire des évenements remontés dans les fichiers Sandre  + analyse des fichiers météo de la DSAR </t>
  </si>
  <si>
    <t xml:space="preserve">Aquedi - Phase d'intégration de la DSAR - Cartographie des variables + Aquedi - module de suivi de génération des rapports </t>
  </si>
  <si>
    <t xml:space="preserve">Etape métadonnées - modifications BackEnd et Front End  + </t>
  </si>
  <si>
    <t>Module AJOUTS AUTOMATIQUES D’ANALYSES SUR UN ECHANTILLON  - Tâche de design web (sur la 1.8.2) + EDF - Etudes des graphes</t>
  </si>
  <si>
    <t xml:space="preserve">EDF - Etudes des graphes  + </t>
  </si>
  <si>
    <t>Aquedi - journée de tests de la 1.8.1 avec SEM +</t>
  </si>
  <si>
    <t>Aquedi 1.8.1   - préparation environnement Sandbox pour la DSAR  et SAV  + Phase d'intégration de SEC - Correction des erreurs liées au fichier Sandre</t>
  </si>
  <si>
    <t>Aquedi - préparation environnement Sandbox pour la DSAR  et SAV  +</t>
  </si>
  <si>
    <t>Aquedi 1.8.1 - Préparation Démo pour GHG Model platform</t>
  </si>
  <si>
    <t>Aquedi TEGG - Pointage des paramètres et des unités de mesure</t>
  </si>
  <si>
    <t>Aquedi 1.8.3- Corrections bugs FrontEnd</t>
  </si>
  <si>
    <t>Support</t>
  </si>
  <si>
    <t>Aquedi 1.8.2 - Journée de tests avec SEG et SEM</t>
  </si>
  <si>
    <t>Aquedi 1.8.2 - Préparation Journée de tests avec SEG et SEM</t>
  </si>
  <si>
    <t>Aquedi 1.8.2 - Préparation Journée de tests  avec SEG et SEM</t>
  </si>
  <si>
    <t>Phase d'intégration de SEC et SEG - Imports des données sur l'environnement de préproduction du SIAAP</t>
  </si>
  <si>
    <t xml:space="preserve">Aquedi 1.8.3 - Suivi des générations de rapports </t>
  </si>
  <si>
    <t>Phase d'intégration de la DSAR - Cartographie des variables relatives à l'usine SEV</t>
  </si>
  <si>
    <t>Phase d'intégration de la DSAR - Import des données de SEV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</si>
</sst>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1FFFF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auto="1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auto="1"/>
      </right>
      <top style="thin">
        <color theme="2"/>
      </top>
      <bottom/>
      <diagonal/>
    </border>
    <border>
      <left style="thin">
        <color theme="2"/>
      </left>
      <right style="thin">
        <color auto="1"/>
      </right>
      <top/>
      <bottom style="thin">
        <color theme="2"/>
      </bottom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0" xfId="0" applyNumberFormat="1"/>
    <xf numFmtId="49" fontId="0" fillId="0" borderId="2" xfId="0" applyNumberFormat="1" applyBorder="1"/>
    <xf numFmtId="14" fontId="0" fillId="0" borderId="2" xfId="0" applyNumberFormat="1" applyBorder="1"/>
    <xf numFmtId="0" fontId="0" fillId="0" borderId="0" xfId="0" applyAlignment="1"/>
    <xf numFmtId="0" fontId="0" fillId="2" borderId="3" xfId="0" applyFill="1" applyBorder="1" applyAlignment="1">
      <alignment horizontal="center" vertical="center" wrapText="1"/>
    </xf>
    <xf numFmtId="0" fontId="2" fillId="0" borderId="0" xfId="0" applyFont="1"/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/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14"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Trellis">
          <bgColor theme="0" tint="-4.9989318521683403E-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  <dxf>
      <fill>
        <patternFill patternType="lightUp">
          <bgColor theme="2"/>
        </patternFill>
      </fill>
    </dxf>
  </dxfs>
  <tableStyles count="0" defaultTableStyle="TableStyleMedium2" defaultPivotStyle="PivotStyleLight16"/>
  <colors>
    <mruColors>
      <color rgb="FFE1FFFF"/>
      <color rgb="FFDCFFFF"/>
      <color rgb="FFE6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N1" fmlaRange="'Jours fériés'!$M$4:$M$15" noThreeD="1" sel="4" val="0"/>
</file>

<file path=xl/ctrlProps/ctrlProp2.xml><?xml version="1.0" encoding="utf-8"?>
<formControlPr xmlns="http://schemas.microsoft.com/office/spreadsheetml/2009/9/main" objectType="Drop" dropStyle="combo" dx="22" fmlaLink="'Jours fériés'!$Q$4" fmlaRange="'Jours fériés'!$N$4:$N$5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0</xdr:row>
          <xdr:rowOff>76200</xdr:rowOff>
        </xdr:from>
        <xdr:to>
          <xdr:col>1</xdr:col>
          <xdr:colOff>7620</xdr:colOff>
          <xdr:row>0</xdr:row>
          <xdr:rowOff>289560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45720</xdr:rowOff>
        </xdr:from>
        <xdr:to>
          <xdr:col>1</xdr:col>
          <xdr:colOff>0</xdr:colOff>
          <xdr:row>1</xdr:row>
          <xdr:rowOff>327660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F8B54-05C9-4021-9B61-E34F7368D72B}">
  <sheetPr codeName="Feuil2"/>
  <dimension ref="B1:Q20"/>
  <sheetViews>
    <sheetView topLeftCell="B1" workbookViewId="0">
      <selection activeCell="P4" sqref="P4:S15"/>
    </sheetView>
  </sheetViews>
  <sheetFormatPr baseColWidth="10" defaultRowHeight="14.4" x14ac:dyDescent="0.3"/>
  <cols>
    <col min="2" max="2" width="25.88671875" customWidth="1"/>
    <col min="3" max="3" width="17.88671875" customWidth="1"/>
    <col min="4" max="4" width="52.109375" style="4" customWidth="1"/>
  </cols>
  <sheetData>
    <row r="1" spans="2:17" ht="15" thickBot="1" x14ac:dyDescent="0.35"/>
    <row r="2" spans="2:17" ht="15" thickBot="1" x14ac:dyDescent="0.35">
      <c r="B2" s="5" t="s">
        <v>30</v>
      </c>
      <c r="C2" s="6">
        <f>DATE($N$5,1,1)</f>
        <v>44197</v>
      </c>
      <c r="D2" s="5" t="s">
        <v>29</v>
      </c>
    </row>
    <row r="3" spans="2:17" ht="15" thickBot="1" x14ac:dyDescent="0.35">
      <c r="B3" s="5" t="s">
        <v>31</v>
      </c>
      <c r="C3" s="6">
        <f>DATE($N$5,3,29.56+0.979*MOD(204-11*MOD($N$5,19),30)-WEEKDAY(DATE($N$5,3,28.56+0.979*MOD(204-11*MOD($N$5,19),30))))</f>
        <v>44290</v>
      </c>
      <c r="D3" s="5" t="s">
        <v>32</v>
      </c>
      <c r="M3" t="s">
        <v>0</v>
      </c>
      <c r="N3" t="s">
        <v>1</v>
      </c>
    </row>
    <row r="4" spans="2:17" ht="15" thickBot="1" x14ac:dyDescent="0.35">
      <c r="B4" s="5" t="s">
        <v>33</v>
      </c>
      <c r="C4" s="6">
        <f>$C$3+1</f>
        <v>44291</v>
      </c>
      <c r="D4" s="5" t="s">
        <v>36</v>
      </c>
      <c r="M4" t="s">
        <v>2</v>
      </c>
      <c r="N4">
        <v>2020</v>
      </c>
      <c r="Q4">
        <v>2</v>
      </c>
    </row>
    <row r="5" spans="2:17" ht="15" thickBot="1" x14ac:dyDescent="0.35">
      <c r="B5" s="5" t="s">
        <v>34</v>
      </c>
      <c r="C5" s="6">
        <f>DATE($N$5,5,1)</f>
        <v>44317</v>
      </c>
      <c r="D5" s="5" t="s">
        <v>35</v>
      </c>
      <c r="M5" t="s">
        <v>3</v>
      </c>
      <c r="N5">
        <v>2021</v>
      </c>
    </row>
    <row r="6" spans="2:17" ht="15" thickBot="1" x14ac:dyDescent="0.35">
      <c r="B6" s="5" t="s">
        <v>37</v>
      </c>
      <c r="C6" s="6">
        <f>DATE($N$5,5,8)</f>
        <v>44324</v>
      </c>
      <c r="D6" s="5" t="s">
        <v>38</v>
      </c>
      <c r="M6" t="s">
        <v>4</v>
      </c>
    </row>
    <row r="7" spans="2:17" ht="15" thickBot="1" x14ac:dyDescent="0.35">
      <c r="B7" s="5" t="s">
        <v>39</v>
      </c>
      <c r="C7" s="6">
        <f>$C$3+39</f>
        <v>44329</v>
      </c>
      <c r="D7" s="5" t="s">
        <v>40</v>
      </c>
      <c r="M7" t="s">
        <v>5</v>
      </c>
    </row>
    <row r="8" spans="2:17" ht="15" thickBot="1" x14ac:dyDescent="0.35">
      <c r="B8" s="5" t="s">
        <v>43</v>
      </c>
      <c r="C8" s="6">
        <f>$C$3+49</f>
        <v>44339</v>
      </c>
      <c r="D8" s="5" t="s">
        <v>41</v>
      </c>
      <c r="M8" t="s">
        <v>6</v>
      </c>
    </row>
    <row r="9" spans="2:17" ht="15" thickBot="1" x14ac:dyDescent="0.35">
      <c r="B9" s="5" t="s">
        <v>44</v>
      </c>
      <c r="C9" s="6">
        <f>$C$3+50</f>
        <v>44340</v>
      </c>
      <c r="D9" s="5" t="s">
        <v>42</v>
      </c>
      <c r="M9" t="s">
        <v>7</v>
      </c>
    </row>
    <row r="10" spans="2:17" ht="15" thickBot="1" x14ac:dyDescent="0.35">
      <c r="B10" s="5" t="s">
        <v>46</v>
      </c>
      <c r="C10" s="6">
        <f>DATE($N$5,7,14)</f>
        <v>44391</v>
      </c>
      <c r="D10" s="5" t="s">
        <v>45</v>
      </c>
      <c r="M10" t="s">
        <v>8</v>
      </c>
    </row>
    <row r="11" spans="2:17" ht="15" thickBot="1" x14ac:dyDescent="0.35">
      <c r="B11" s="5" t="s">
        <v>47</v>
      </c>
      <c r="C11" s="6">
        <f>DATE($N$5,8,15)</f>
        <v>44423</v>
      </c>
      <c r="D11" s="5" t="s">
        <v>50</v>
      </c>
      <c r="M11" t="s">
        <v>9</v>
      </c>
    </row>
    <row r="12" spans="2:17" ht="15" thickBot="1" x14ac:dyDescent="0.35">
      <c r="B12" s="5" t="s">
        <v>48</v>
      </c>
      <c r="C12" s="6">
        <f>DATE($N$5,11,1)</f>
        <v>44501</v>
      </c>
      <c r="D12" s="5" t="s">
        <v>51</v>
      </c>
      <c r="M12" t="s">
        <v>10</v>
      </c>
    </row>
    <row r="13" spans="2:17" ht="15" thickBot="1" x14ac:dyDescent="0.35">
      <c r="B13" s="5" t="s">
        <v>49</v>
      </c>
      <c r="C13" s="6">
        <f>DATE($N$5,11,11)</f>
        <v>44511</v>
      </c>
      <c r="D13" s="5" t="s">
        <v>52</v>
      </c>
      <c r="M13" t="s">
        <v>11</v>
      </c>
    </row>
    <row r="14" spans="2:17" ht="15" thickBot="1" x14ac:dyDescent="0.35">
      <c r="B14" s="5" t="s">
        <v>55</v>
      </c>
      <c r="C14" s="6">
        <f>DATE($N$4,12,25)</f>
        <v>44190</v>
      </c>
      <c r="D14" s="5" t="s">
        <v>53</v>
      </c>
      <c r="M14" t="s">
        <v>12</v>
      </c>
    </row>
    <row r="15" spans="2:17" ht="15" thickBot="1" x14ac:dyDescent="0.35">
      <c r="B15" s="5" t="s">
        <v>54</v>
      </c>
      <c r="C15" s="6">
        <f>DATE($N$5,12,25)</f>
        <v>44555</v>
      </c>
      <c r="D15" s="5" t="s">
        <v>53</v>
      </c>
      <c r="M15" t="s">
        <v>13</v>
      </c>
    </row>
    <row r="16" spans="2:17" x14ac:dyDescent="0.3">
      <c r="B16" s="4"/>
    </row>
    <row r="17" spans="2:2" x14ac:dyDescent="0.3">
      <c r="B17" s="4"/>
    </row>
    <row r="18" spans="2:2" x14ac:dyDescent="0.3">
      <c r="B18" s="4"/>
    </row>
    <row r="19" spans="2:2" x14ac:dyDescent="0.3">
      <c r="B19" s="4"/>
    </row>
    <row r="20" spans="2:2" x14ac:dyDescent="0.3">
      <c r="B20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73FE7-EFFD-4ADF-8AEC-79D29D6970CC}">
  <sheetPr codeName="Feuil4"/>
  <dimension ref="A1:O35"/>
  <sheetViews>
    <sheetView tabSelected="1" workbookViewId="0">
      <pane xSplit="1" ySplit="2" topLeftCell="E30" activePane="bottomRight" state="frozen"/>
      <selection pane="topRight" activeCell="B1" sqref="B1"/>
      <selection pane="bottomLeft" activeCell="A3" sqref="A3"/>
      <selection pane="bottomRight" activeCell="K27" sqref="K27"/>
    </sheetView>
  </sheetViews>
  <sheetFormatPr baseColWidth="10" defaultRowHeight="14.4" x14ac:dyDescent="0.3"/>
  <cols>
    <col min="1" max="1" width="29" customWidth="1"/>
    <col min="2" max="2" width="23.33203125" customWidth="1"/>
    <col min="3" max="3" width="21.88671875" customWidth="1"/>
    <col min="4" max="4" width="20.88671875" customWidth="1"/>
    <col min="5" max="5" width="21.6640625" customWidth="1"/>
    <col min="6" max="6" width="23" customWidth="1"/>
    <col min="7" max="7" width="21.44140625" customWidth="1"/>
    <col min="8" max="8" width="20.6640625" customWidth="1"/>
    <col min="9" max="9" width="23.44140625" customWidth="1"/>
    <col min="10" max="10" width="29.88671875" customWidth="1"/>
    <col min="11" max="11" width="29.88671875" style="12" customWidth="1"/>
    <col min="13" max="15" width="11.44140625" style="9"/>
  </cols>
  <sheetData>
    <row r="1" spans="1:15" x14ac:dyDescent="0.3"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58</v>
      </c>
      <c r="K1" s="10" t="s">
        <v>59</v>
      </c>
      <c r="M1" s="9">
        <v>4</v>
      </c>
      <c r="N1" s="9">
        <v>4</v>
      </c>
      <c r="O1" s="9">
        <v>2</v>
      </c>
    </row>
    <row r="2" spans="1:15" ht="28.8" x14ac:dyDescent="0.3">
      <c r="B2" s="2" t="s">
        <v>22</v>
      </c>
      <c r="C2" s="2" t="s">
        <v>23</v>
      </c>
      <c r="D2" s="2" t="s">
        <v>24</v>
      </c>
      <c r="E2" s="2" t="s">
        <v>24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28</v>
      </c>
      <c r="K2" s="10" t="s">
        <v>27</v>
      </c>
      <c r="N2" s="9" t="s">
        <v>0</v>
      </c>
      <c r="O2" s="9" t="s">
        <v>1</v>
      </c>
    </row>
    <row r="3" spans="1:15" x14ac:dyDescent="0.3">
      <c r="B3" s="3"/>
      <c r="C3" s="3"/>
      <c r="D3" s="3"/>
      <c r="E3" s="3"/>
      <c r="F3" s="3"/>
      <c r="G3" s="3"/>
      <c r="H3" s="3"/>
      <c r="I3" s="3"/>
      <c r="J3" s="3"/>
      <c r="K3" s="11"/>
      <c r="N3" s="9" t="s">
        <v>2</v>
      </c>
      <c r="O3" s="9">
        <v>2020</v>
      </c>
    </row>
    <row r="4" spans="1:15" ht="28.8" x14ac:dyDescent="0.3">
      <c r="A4" s="1">
        <f>DATE(O1+2019,N1,1)</f>
        <v>44287</v>
      </c>
      <c r="I4" s="8" t="s">
        <v>60</v>
      </c>
      <c r="N4" s="9" t="s">
        <v>3</v>
      </c>
      <c r="O4" s="9">
        <v>2021</v>
      </c>
    </row>
    <row r="5" spans="1:15" ht="43.2" x14ac:dyDescent="0.3">
      <c r="A5" s="1">
        <f>A4+1</f>
        <v>44288</v>
      </c>
      <c r="I5" s="8" t="s">
        <v>61</v>
      </c>
      <c r="J5" s="7"/>
      <c r="N5" s="9" t="s">
        <v>4</v>
      </c>
    </row>
    <row r="6" spans="1:15" x14ac:dyDescent="0.3">
      <c r="A6" s="1">
        <f t="shared" ref="A6:A31" si="0">A5+1</f>
        <v>44289</v>
      </c>
      <c r="J6" s="7"/>
    </row>
    <row r="7" spans="1:15" x14ac:dyDescent="0.3">
      <c r="A7" s="1">
        <f t="shared" si="0"/>
        <v>44290</v>
      </c>
    </row>
    <row r="8" spans="1:15" x14ac:dyDescent="0.3">
      <c r="A8" s="1">
        <f t="shared" si="0"/>
        <v>44291</v>
      </c>
    </row>
    <row r="9" spans="1:15" ht="43.2" x14ac:dyDescent="0.3">
      <c r="A9" s="1">
        <f t="shared" si="0"/>
        <v>44292</v>
      </c>
      <c r="B9" s="8" t="s">
        <v>57</v>
      </c>
      <c r="C9" s="8" t="s">
        <v>63</v>
      </c>
      <c r="D9" s="13" t="s">
        <v>64</v>
      </c>
      <c r="E9" s="13" t="s">
        <v>56</v>
      </c>
      <c r="F9" s="8" t="s">
        <v>62</v>
      </c>
      <c r="G9" s="14" t="s">
        <v>65</v>
      </c>
      <c r="H9" s="13" t="s">
        <v>64</v>
      </c>
      <c r="I9" s="14" t="s">
        <v>67</v>
      </c>
      <c r="N9" s="9" t="s">
        <v>8</v>
      </c>
    </row>
    <row r="10" spans="1:15" ht="115.2" x14ac:dyDescent="0.3">
      <c r="A10" s="1">
        <f t="shared" si="0"/>
        <v>44293</v>
      </c>
      <c r="B10" s="13" t="s">
        <v>66</v>
      </c>
      <c r="C10" s="8" t="s">
        <v>74</v>
      </c>
      <c r="D10" s="15" t="s">
        <v>64</v>
      </c>
      <c r="E10" s="8" t="s">
        <v>69</v>
      </c>
      <c r="H10" s="15" t="s">
        <v>64</v>
      </c>
      <c r="N10" s="9" t="s">
        <v>9</v>
      </c>
    </row>
    <row r="11" spans="1:15" ht="86.4" x14ac:dyDescent="0.3">
      <c r="A11" s="1">
        <f t="shared" si="0"/>
        <v>44294</v>
      </c>
      <c r="B11" s="8" t="s">
        <v>57</v>
      </c>
      <c r="C11" s="8" t="s">
        <v>68</v>
      </c>
      <c r="D11" s="15" t="s">
        <v>64</v>
      </c>
      <c r="E11" s="15" t="s">
        <v>66</v>
      </c>
      <c r="F11" s="8" t="s">
        <v>71</v>
      </c>
      <c r="G11" s="16" t="s">
        <v>72</v>
      </c>
      <c r="H11" s="15" t="s">
        <v>64</v>
      </c>
      <c r="N11" s="9" t="s">
        <v>10</v>
      </c>
    </row>
    <row r="12" spans="1:15" ht="43.2" x14ac:dyDescent="0.3">
      <c r="A12" s="1">
        <f t="shared" si="0"/>
        <v>44295</v>
      </c>
      <c r="B12" s="8" t="s">
        <v>57</v>
      </c>
      <c r="C12" s="16" t="s">
        <v>73</v>
      </c>
      <c r="F12" s="8" t="s">
        <v>70</v>
      </c>
      <c r="G12" s="15" t="s">
        <v>56</v>
      </c>
      <c r="H12" s="15" t="s">
        <v>64</v>
      </c>
      <c r="I12" s="16" t="s">
        <v>73</v>
      </c>
      <c r="N12" s="9" t="s">
        <v>11</v>
      </c>
    </row>
    <row r="13" spans="1:15" x14ac:dyDescent="0.3">
      <c r="A13" s="1">
        <f t="shared" si="0"/>
        <v>44296</v>
      </c>
      <c r="N13" s="9" t="s">
        <v>12</v>
      </c>
    </row>
    <row r="14" spans="1:15" x14ac:dyDescent="0.3">
      <c r="A14" s="1">
        <f t="shared" si="0"/>
        <v>44297</v>
      </c>
      <c r="N14" s="9" t="s">
        <v>13</v>
      </c>
    </row>
    <row r="15" spans="1:15" ht="43.2" x14ac:dyDescent="0.3">
      <c r="A15" s="1">
        <f t="shared" si="0"/>
        <v>44298</v>
      </c>
      <c r="B15" s="8" t="s">
        <v>57</v>
      </c>
      <c r="C15" s="8" t="s">
        <v>75</v>
      </c>
      <c r="G15" s="15" t="s">
        <v>56</v>
      </c>
      <c r="I15" s="8" t="s">
        <v>75</v>
      </c>
    </row>
    <row r="16" spans="1:15" x14ac:dyDescent="0.3">
      <c r="A16" s="1">
        <f t="shared" si="0"/>
        <v>44299</v>
      </c>
      <c r="B16" s="8" t="s">
        <v>57</v>
      </c>
      <c r="G16" s="15" t="s">
        <v>56</v>
      </c>
    </row>
    <row r="17" spans="1:11" x14ac:dyDescent="0.3">
      <c r="A17" s="1">
        <f t="shared" si="0"/>
        <v>44300</v>
      </c>
      <c r="B17" s="8" t="s">
        <v>57</v>
      </c>
      <c r="G17" s="13" t="s">
        <v>56</v>
      </c>
    </row>
    <row r="18" spans="1:11" x14ac:dyDescent="0.3">
      <c r="A18" s="1">
        <f t="shared" si="0"/>
        <v>44301</v>
      </c>
      <c r="B18" s="8" t="s">
        <v>57</v>
      </c>
    </row>
    <row r="19" spans="1:11" x14ac:dyDescent="0.3">
      <c r="A19" s="1">
        <f t="shared" si="0"/>
        <v>44302</v>
      </c>
      <c r="B19" s="8" t="s">
        <v>57</v>
      </c>
    </row>
    <row r="20" spans="1:11" x14ac:dyDescent="0.3">
      <c r="A20" s="1">
        <f t="shared" si="0"/>
        <v>44303</v>
      </c>
    </row>
    <row r="21" spans="1:11" x14ac:dyDescent="0.3">
      <c r="A21" s="1">
        <f t="shared" si="0"/>
        <v>44304</v>
      </c>
    </row>
    <row r="22" spans="1:11" x14ac:dyDescent="0.3">
      <c r="A22" s="1">
        <f t="shared" si="0"/>
        <v>44305</v>
      </c>
      <c r="B22" s="8" t="s">
        <v>57</v>
      </c>
    </row>
    <row r="23" spans="1:11" x14ac:dyDescent="0.3">
      <c r="A23" s="1">
        <f t="shared" si="0"/>
        <v>44306</v>
      </c>
      <c r="B23" s="8" t="s">
        <v>57</v>
      </c>
      <c r="G23" s="13" t="s">
        <v>56</v>
      </c>
    </row>
    <row r="24" spans="1:11" x14ac:dyDescent="0.3">
      <c r="A24" s="1">
        <f t="shared" si="0"/>
        <v>44307</v>
      </c>
      <c r="B24" s="8" t="s">
        <v>57</v>
      </c>
    </row>
    <row r="25" spans="1:11" x14ac:dyDescent="0.3">
      <c r="A25" s="1">
        <f t="shared" si="0"/>
        <v>44308</v>
      </c>
      <c r="B25" s="8" t="s">
        <v>57</v>
      </c>
    </row>
    <row r="26" spans="1:11" x14ac:dyDescent="0.3">
      <c r="A26" s="1">
        <f t="shared" si="0"/>
        <v>44309</v>
      </c>
      <c r="B26" s="8" t="s">
        <v>57</v>
      </c>
    </row>
    <row r="27" spans="1:11" x14ac:dyDescent="0.3">
      <c r="A27" s="1">
        <f t="shared" si="0"/>
        <v>44310</v>
      </c>
    </row>
    <row r="28" spans="1:11" x14ac:dyDescent="0.3">
      <c r="A28" s="1">
        <f t="shared" si="0"/>
        <v>44311</v>
      </c>
    </row>
    <row r="29" spans="1:11" ht="43.2" x14ac:dyDescent="0.3">
      <c r="A29" s="1">
        <f t="shared" si="0"/>
        <v>44312</v>
      </c>
      <c r="B29" s="8" t="s">
        <v>57</v>
      </c>
      <c r="C29" s="17" t="s">
        <v>56</v>
      </c>
      <c r="D29" s="18" t="s">
        <v>64</v>
      </c>
      <c r="E29" s="8" t="s">
        <v>84</v>
      </c>
      <c r="F29" s="17" t="s">
        <v>56</v>
      </c>
      <c r="G29" s="8" t="s">
        <v>84</v>
      </c>
      <c r="H29" s="18" t="s">
        <v>64</v>
      </c>
      <c r="I29" s="8" t="s">
        <v>76</v>
      </c>
      <c r="J29" s="18" t="s">
        <v>79</v>
      </c>
      <c r="K29" s="19" t="s">
        <v>78</v>
      </c>
    </row>
    <row r="30" spans="1:11" ht="57.6" x14ac:dyDescent="0.3">
      <c r="A30" s="1">
        <f t="shared" si="0"/>
        <v>44313</v>
      </c>
      <c r="B30" s="8" t="s">
        <v>57</v>
      </c>
      <c r="C30" s="17" t="s">
        <v>56</v>
      </c>
      <c r="D30" s="18" t="s">
        <v>64</v>
      </c>
      <c r="E30" s="8" t="s">
        <v>84</v>
      </c>
      <c r="F30" s="17" t="s">
        <v>56</v>
      </c>
      <c r="G30" s="13" t="s">
        <v>56</v>
      </c>
      <c r="H30" s="18" t="s">
        <v>64</v>
      </c>
      <c r="I30" s="8" t="s">
        <v>76</v>
      </c>
      <c r="J30" s="8" t="s">
        <v>83</v>
      </c>
      <c r="K30" s="19" t="s">
        <v>78</v>
      </c>
    </row>
    <row r="31" spans="1:11" ht="57.6" x14ac:dyDescent="0.3">
      <c r="A31" s="1">
        <f t="shared" si="0"/>
        <v>44314</v>
      </c>
      <c r="B31" s="8" t="s">
        <v>57</v>
      </c>
      <c r="C31" s="17" t="s">
        <v>56</v>
      </c>
      <c r="D31" s="18" t="s">
        <v>64</v>
      </c>
      <c r="E31" s="8" t="s">
        <v>85</v>
      </c>
      <c r="F31" s="17" t="s">
        <v>56</v>
      </c>
      <c r="G31" s="8" t="s">
        <v>82</v>
      </c>
      <c r="H31" s="18" t="s">
        <v>64</v>
      </c>
      <c r="I31" s="8" t="s">
        <v>81</v>
      </c>
      <c r="J31" s="18" t="s">
        <v>79</v>
      </c>
      <c r="K31" s="19" t="s">
        <v>78</v>
      </c>
    </row>
    <row r="32" spans="1:11" ht="43.2" x14ac:dyDescent="0.3">
      <c r="A32" s="1">
        <f>A31+1</f>
        <v>44315</v>
      </c>
      <c r="B32" s="8" t="s">
        <v>57</v>
      </c>
      <c r="C32" s="17" t="s">
        <v>56</v>
      </c>
      <c r="D32" s="18" t="s">
        <v>64</v>
      </c>
      <c r="E32" s="8" t="s">
        <v>86</v>
      </c>
      <c r="F32" s="17" t="s">
        <v>56</v>
      </c>
      <c r="G32" s="8" t="s">
        <v>82</v>
      </c>
      <c r="H32" s="18" t="s">
        <v>64</v>
      </c>
      <c r="I32" s="8" t="s">
        <v>81</v>
      </c>
      <c r="J32" s="18" t="s">
        <v>79</v>
      </c>
      <c r="K32" s="19" t="s">
        <v>78</v>
      </c>
    </row>
    <row r="33" spans="1:11" ht="43.2" x14ac:dyDescent="0.3">
      <c r="A33" s="20">
        <f>A32+1</f>
        <v>44316</v>
      </c>
      <c r="B33" s="8" t="s">
        <v>80</v>
      </c>
      <c r="C33" s="21" t="s">
        <v>56</v>
      </c>
      <c r="D33" s="25" t="s">
        <v>64</v>
      </c>
      <c r="E33" s="24" t="s">
        <v>56</v>
      </c>
      <c r="F33" s="24" t="s">
        <v>56</v>
      </c>
      <c r="G33" s="8" t="s">
        <v>82</v>
      </c>
      <c r="H33" s="25" t="s">
        <v>64</v>
      </c>
      <c r="I33" s="8" t="s">
        <v>80</v>
      </c>
      <c r="J33" s="8" t="s">
        <v>80</v>
      </c>
      <c r="K33" s="22" t="s">
        <v>78</v>
      </c>
    </row>
    <row r="34" spans="1:11" ht="43.2" x14ac:dyDescent="0.3">
      <c r="A34" s="20"/>
      <c r="B34" s="8" t="s">
        <v>57</v>
      </c>
      <c r="C34" s="21"/>
      <c r="D34" s="25"/>
      <c r="E34" s="24"/>
      <c r="F34" s="24"/>
      <c r="G34" s="18" t="s">
        <v>56</v>
      </c>
      <c r="H34" s="25"/>
      <c r="I34" s="8" t="s">
        <v>77</v>
      </c>
      <c r="J34" s="18" t="s">
        <v>79</v>
      </c>
      <c r="K34" s="23"/>
    </row>
    <row r="35" spans="1:11" hidden="1" x14ac:dyDescent="0.3">
      <c r="A35" s="1">
        <f>A34+1</f>
        <v>1</v>
      </c>
    </row>
  </sheetData>
  <mergeCells count="7">
    <mergeCell ref="A33:A34"/>
    <mergeCell ref="C33:C34"/>
    <mergeCell ref="K33:K34"/>
    <mergeCell ref="F33:F34"/>
    <mergeCell ref="E33:E34"/>
    <mergeCell ref="H33:H34"/>
    <mergeCell ref="D33:D34"/>
  </mergeCells>
  <conditionalFormatting sqref="B10">
    <cfRule type="expression" dxfId="13" priority="34">
      <formula>WEEKDAY($A10,2)&gt;5</formula>
    </cfRule>
  </conditionalFormatting>
  <conditionalFormatting sqref="E11">
    <cfRule type="expression" dxfId="12" priority="32">
      <formula>WEEKDAY($A11,2)&gt;5</formula>
    </cfRule>
  </conditionalFormatting>
  <conditionalFormatting sqref="L33:M33 C33 A33 P33:XFD33 F33">
    <cfRule type="expression" dxfId="11" priority="30">
      <formula>WEEKDAY($A33,2)&gt;5</formula>
    </cfRule>
  </conditionalFormatting>
  <conditionalFormatting sqref="N33:O33">
    <cfRule type="expression" dxfId="10" priority="28">
      <formula>WEEKDAY($A33,2)&gt;5</formula>
    </cfRule>
  </conditionalFormatting>
  <conditionalFormatting sqref="E33">
    <cfRule type="expression" dxfId="9" priority="24">
      <formula>WEEKDAY($A33,2)&gt;5</formula>
    </cfRule>
  </conditionalFormatting>
  <conditionalFormatting sqref="D29:D33">
    <cfRule type="expression" dxfId="8" priority="22">
      <formula>WEEKDAY($A29,2)&gt;5</formula>
    </cfRule>
  </conditionalFormatting>
  <conditionalFormatting sqref="A4:K28">
    <cfRule type="expression" dxfId="7" priority="26">
      <formula>WEEKDAY($A4,2)&gt;5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Masquer_Jour">
                <anchor moveWithCells="1">
                  <from>
                    <xdr:col>0</xdr:col>
                    <xdr:colOff>7620</xdr:colOff>
                    <xdr:row>0</xdr:row>
                    <xdr:rowOff>76200</xdr:rowOff>
                  </from>
                  <to>
                    <xdr:col>1</xdr:col>
                    <xdr:colOff>7620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 macro="[0]!Masquer_Jour">
                <anchor moveWithCells="1">
                  <from>
                    <xdr:col>0</xdr:col>
                    <xdr:colOff>0</xdr:colOff>
                    <xdr:row>1</xdr:row>
                    <xdr:rowOff>45720</xdr:rowOff>
                  </from>
                  <to>
                    <xdr:col>1</xdr:col>
                    <xdr:colOff>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" id="{0AF6701B-2F51-43E4-A6A5-616D4FE8F8E0}">
            <xm:f>COUNTIFS('Jours fériés'!$C$2:$C$14,$A10)&gt;0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B10</xm:sqref>
        </x14:conditionalFormatting>
        <x14:conditionalFormatting xmlns:xm="http://schemas.microsoft.com/office/excel/2006/main">
          <x14:cfRule type="expression" priority="31" id="{32EBD941-C2FF-4E80-973A-11E2B9147D72}">
            <xm:f>COUNTIFS('Jours fériés'!$C$2:$C$14,$A11)&gt;0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29" id="{E32E474E-AA81-4B44-87E5-E899A76D2E02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L33:M33 C33 A33 P33:XFD33 F33</xm:sqref>
        </x14:conditionalFormatting>
        <x14:conditionalFormatting xmlns:xm="http://schemas.microsoft.com/office/excel/2006/main">
          <x14:cfRule type="expression" priority="27" id="{3F60C62C-FEBB-4E3D-8E7F-F27C6FE0CB54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N33:O33</xm:sqref>
        </x14:conditionalFormatting>
        <x14:conditionalFormatting xmlns:xm="http://schemas.microsoft.com/office/excel/2006/main">
          <x14:cfRule type="expression" priority="23" id="{5C7521C8-1BF2-495A-8452-10269DA0B7C6}">
            <xm:f>COUNTIFS('Jours fériés'!$C$2:$C$14,$A33)&gt;0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expression" priority="21" id="{686F8EB7-D7A8-41D2-A36D-CB4BE25D31C6}">
            <xm:f>COUNTIFS('Jours fériés'!$C$2:$C$14,$A29)&gt;0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D29:D33</xm:sqref>
        </x14:conditionalFormatting>
        <x14:conditionalFormatting xmlns:xm="http://schemas.microsoft.com/office/excel/2006/main">
          <x14:cfRule type="expression" priority="25" id="{C3C4821E-E03E-45C5-BCCB-EA4B02041274}">
            <xm:f>COUNTIFS('Jours fériés'!$C$2:$C$14,$A4)&gt;0</xm:f>
            <x14:dxf>
              <fill>
                <patternFill patternType="lightTrellis">
                  <bgColor theme="0" tint="-4.9989318521683403E-2"/>
                </patternFill>
              </fill>
            </x14:dxf>
          </x14:cfRule>
          <xm:sqref>A4:K28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Jours fériés</vt:lpstr>
      <vt:lpstr>AVR 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Laurier</dc:creator>
  <cp:lastModifiedBy>Carl Laurier</cp:lastModifiedBy>
  <dcterms:created xsi:type="dcterms:W3CDTF">2015-06-05T18:19:34Z</dcterms:created>
  <dcterms:modified xsi:type="dcterms:W3CDTF">2021-04-27T07:17:52Z</dcterms:modified>
</cp:coreProperties>
</file>