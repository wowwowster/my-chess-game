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ra\Downloads\"/>
    </mc:Choice>
  </mc:AlternateContent>
  <xr:revisionPtr revIDLastSave="0" documentId="13_ncr:1_{83535292-7E07-480B-B997-A6F9058807C6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User guide" sheetId="3" r:id="rId1"/>
    <sheet name="Project dashboard" sheetId="1" r:id="rId2"/>
    <sheet name="Data" sheetId="2" r:id="rId3"/>
  </sheets>
  <definedNames>
    <definedName name="Budget">Tableau3[Budget]</definedName>
    <definedName name="Elements">Tableau2[Current elements]</definedName>
    <definedName name="Taches">Tableau4[Percentage of completed tasks]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7" i="2" l="1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4" i="2"/>
  <c r="F4" i="2"/>
  <c r="B44" i="2" l="1"/>
  <c r="B41" i="2" l="1"/>
  <c r="B42" i="2" l="1"/>
  <c r="B43" i="2"/>
  <c r="I12" i="1"/>
</calcChain>
</file>

<file path=xl/sharedStrings.xml><?xml version="1.0" encoding="utf-8"?>
<sst xmlns="http://schemas.openxmlformats.org/spreadsheetml/2006/main" count="179" uniqueCount="115">
  <si>
    <t>COMPLETE</t>
  </si>
  <si>
    <t>Status</t>
  </si>
  <si>
    <t>Budget</t>
  </si>
  <si>
    <t>Actions</t>
  </si>
  <si>
    <t>Programme PG01/Portfolio PF02</t>
  </si>
  <si>
    <t>Mme.Dupont</t>
  </si>
  <si>
    <t>Marketing/ Société XY</t>
  </si>
  <si>
    <t>%</t>
  </si>
  <si>
    <t>SAP30/CMRL</t>
  </si>
  <si>
    <t>Chantal Dupont</t>
  </si>
  <si>
    <t>Confassis S.A.</t>
  </si>
  <si>
    <t>V1,2</t>
  </si>
  <si>
    <t>Bernard Dupuis</t>
  </si>
  <si>
    <t>Daniel Château</t>
  </si>
  <si>
    <t>Budget:</t>
  </si>
  <si>
    <t>Total</t>
  </si>
  <si>
    <t>Make sure that the macros are activated for the correct functioning of the template.</t>
  </si>
  <si>
    <t>1. Go to the "Data" sheet</t>
  </si>
  <si>
    <t>Start by filling in the task table</t>
  </si>
  <si>
    <t>Tasks:</t>
  </si>
  <si>
    <t>Start at:</t>
  </si>
  <si>
    <t>End at:</t>
  </si>
  <si>
    <t>Duration (per day):</t>
  </si>
  <si>
    <t>Status:</t>
  </si>
  <si>
    <t>List the tasks, the objects of your follow-up. Refer to the detailed project schedule for the complete list of tasks.</t>
  </si>
  <si>
    <t>Enter the name of the person responsible for carrying out the task</t>
  </si>
  <si>
    <t>Enter the start date of the task</t>
  </si>
  <si>
    <t>Fill in the expected completion date of the task</t>
  </si>
  <si>
    <t>The duration is calculated automatically from the start date and the end date you entered</t>
  </si>
  <si>
    <t>Percentage of tasks completed:</t>
  </si>
  <si>
    <t>Current elements:</t>
  </si>
  <si>
    <t>Note the number of items in progress: decisions, important actions, and change requests</t>
  </si>
  <si>
    <t>2. Go to the "Project Dashboard" sheet</t>
  </si>
  <si>
    <t>"Data" sheet</t>
  </si>
  <si>
    <t>Adding, deleting, or modifying an element</t>
  </si>
  <si>
    <t>1. Go to the "data" sheet</t>
  </si>
  <si>
    <t>2. Identify the table where you want to add an element</t>
  </si>
  <si>
    <t>If you want to delete a row, just select the field, then click on the delete button in red, as shown in the screenshot below:</t>
  </si>
  <si>
    <t xml:space="preserve">Name /Project Code </t>
  </si>
  <si>
    <t>Reference</t>
  </si>
  <si>
    <t>Project manger</t>
  </si>
  <si>
    <t>Service/Organization</t>
  </si>
  <si>
    <t>Creation date</t>
  </si>
  <si>
    <t>Version date</t>
  </si>
  <si>
    <t>Version N°</t>
  </si>
  <si>
    <t>Rates of progress</t>
  </si>
  <si>
    <t>End on</t>
  </si>
  <si>
    <t>Start on</t>
  </si>
  <si>
    <t>Percentage of completed tasks</t>
  </si>
  <si>
    <t>LATE</t>
  </si>
  <si>
    <t>IN PROGRESS</t>
  </si>
  <si>
    <t>In Euro</t>
  </si>
  <si>
    <t>Current elements</t>
  </si>
  <si>
    <t>Decisions</t>
  </si>
  <si>
    <t>Change requests</t>
  </si>
  <si>
    <t>Tasks table</t>
  </si>
  <si>
    <t xml:space="preserve">Tasks   </t>
  </si>
  <si>
    <t>Opportunity study and approval</t>
  </si>
  <si>
    <t>Preparation of the Project Charter - Justification</t>
  </si>
  <si>
    <t>Drafting of the Project Charter</t>
  </si>
  <si>
    <t>Approval of the Project Charter</t>
  </si>
  <si>
    <t>General functional design</t>
  </si>
  <si>
    <t>Drafting specifications</t>
  </si>
  <si>
    <t>Approval of Specifications, Communication Plan, Project Plan and Schedule</t>
  </si>
  <si>
    <t>System tests, corrections and validation</t>
  </si>
  <si>
    <t>Official validation by users</t>
  </si>
  <si>
    <t>Validation of the phase by the management committee</t>
  </si>
  <si>
    <t>Integration and consolidation tests, system validation</t>
  </si>
  <si>
    <t>Preparation and validation of pre-production environment</t>
  </si>
  <si>
    <t>Deployment</t>
  </si>
  <si>
    <t>Failover and validation</t>
  </si>
  <si>
    <t>Master Data validation</t>
  </si>
  <si>
    <t>User validation</t>
  </si>
  <si>
    <t>Productive start-up decision</t>
  </si>
  <si>
    <t>Monitoring of proper functioning, documentation and corrections</t>
  </si>
  <si>
    <t>Master Data Corrections</t>
  </si>
  <si>
    <t>User tracking</t>
  </si>
  <si>
    <t>Closing November</t>
  </si>
  <si>
    <t>Closing December</t>
  </si>
  <si>
    <t>Correction plan</t>
  </si>
  <si>
    <t>Decommissioning old systems</t>
  </si>
  <si>
    <t>Closing meeting</t>
  </si>
  <si>
    <t>Legend</t>
  </si>
  <si>
    <t>If you want to change a value, just replace the existing value with the new one.</t>
  </si>
  <si>
    <t>Coordination of realization and functional acceptance tests</t>
  </si>
  <si>
    <t>Parameter setting, programming and unit  acceptance tests</t>
  </si>
  <si>
    <t>Update task processing status: Completed, late, In Progress, Not Started</t>
  </si>
  <si>
    <t>For each status (Completed, late, In Progress, or Not Started), you will see a percentage of progress calculated automatically based on the data you are updating on the "task board".</t>
  </si>
  <si>
    <t>Cumulative actual</t>
  </si>
  <si>
    <t>Fill in the actual and total budgets to day</t>
  </si>
  <si>
    <t>The graphs are automatically drawn as a result of entering data on the "Data" sheet</t>
  </si>
  <si>
    <t>As you update the processing status of tasks, view the progress of your project on the "Project Dashboard" sheet. Refer to the color code: Green as "completed", Red as "Late ", Orange" as In progress ", and Gray as " Not started ".</t>
  </si>
  <si>
    <t>Planning</t>
  </si>
  <si>
    <t>Communication plan</t>
  </si>
  <si>
    <t>User training</t>
  </si>
  <si>
    <t>Documenting lessons learned Project</t>
  </si>
  <si>
    <t>To add a row, just insert - in the data sheet - a row just below the last one.</t>
  </si>
  <si>
    <t>To add or remove an element, follow these steps:</t>
  </si>
  <si>
    <t>3.Type the label as well as the corresponding value below the last row, as shown in the screenshot below:</t>
  </si>
  <si>
    <t>NOT STARTED</t>
  </si>
  <si>
    <t>Coordinators</t>
  </si>
  <si>
    <t>SAP30 team</t>
  </si>
  <si>
    <t>CMRL users</t>
  </si>
  <si>
    <t>ALL</t>
  </si>
  <si>
    <t>Go live</t>
  </si>
  <si>
    <t xml:space="preserve">Acknowledgment of acceptance tests </t>
  </si>
  <si>
    <t>I. How to use the template</t>
  </si>
  <si>
    <t>I. Template customization</t>
  </si>
  <si>
    <t>Use of the project dashboard template</t>
  </si>
  <si>
    <t>Owner</t>
  </si>
  <si>
    <t>Owner:</t>
  </si>
  <si>
    <t>Strategy2022/CMRL</t>
  </si>
  <si>
    <t>Number days</t>
  </si>
  <si>
    <t>Duration
(Open days)</t>
  </si>
  <si>
    <t>Number of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</si>
</sst>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0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1"/>
    </font>
    <font>
      <b/>
      <sz val="10"/>
      <color theme="0"/>
      <name val="Century Gothic"/>
      <family val="1"/>
    </font>
    <font>
      <b/>
      <sz val="10"/>
      <color theme="1"/>
      <name val="Century Gothic"/>
      <family val="1"/>
    </font>
    <font>
      <b/>
      <sz val="10"/>
      <color rgb="FF008000"/>
      <name val="Century Gothic"/>
      <family val="1"/>
    </font>
    <font>
      <b/>
      <sz val="10"/>
      <color rgb="FFFF0000"/>
      <name val="Century Gothic"/>
      <family val="1"/>
    </font>
    <font>
      <b/>
      <sz val="10"/>
      <color rgb="FFFF6600"/>
      <name val="Century Gothic"/>
      <family val="1"/>
    </font>
    <font>
      <b/>
      <sz val="10"/>
      <color theme="0" tint="-0.499984740745262"/>
      <name val="Century Gothic"/>
      <family val="1"/>
    </font>
    <font>
      <sz val="10"/>
      <color theme="0"/>
      <name val="Century Gothic"/>
      <family val="1"/>
    </font>
    <font>
      <b/>
      <sz val="10"/>
      <color theme="0"/>
      <name val="Century Gothic"/>
      <family val="2"/>
    </font>
    <font>
      <sz val="11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1"/>
      <color theme="1"/>
      <name val="Candara"/>
      <family val="2"/>
    </font>
    <font>
      <b/>
      <sz val="20"/>
      <color rgb="FF62BD8A"/>
      <name val="Candara"/>
      <family val="2"/>
    </font>
    <font>
      <sz val="11"/>
      <color rgb="FFFF0000"/>
      <name val="Candara"/>
      <family val="2"/>
    </font>
    <font>
      <sz val="14"/>
      <color rgb="FFFF0000"/>
      <name val="Calibri"/>
      <family val="2"/>
    </font>
    <font>
      <sz val="14"/>
      <color theme="1"/>
      <name val="Candara"/>
      <family val="2"/>
    </font>
    <font>
      <b/>
      <sz val="14"/>
      <color rgb="FF439B69"/>
      <name val="Candara"/>
      <family val="2"/>
    </font>
    <font>
      <b/>
      <sz val="14"/>
      <color theme="1"/>
      <name val="Candara"/>
      <family val="2"/>
    </font>
    <font>
      <sz val="14"/>
      <color rgb="FF439B69"/>
      <name val="Candara"/>
      <family val="2"/>
    </font>
    <font>
      <b/>
      <sz val="11"/>
      <color theme="1"/>
      <name val="Candara"/>
      <family val="2"/>
    </font>
    <font>
      <b/>
      <sz val="10"/>
      <name val="Century Gothic"/>
      <family val="1"/>
    </font>
    <font>
      <b/>
      <i/>
      <sz val="10"/>
      <color theme="1"/>
      <name val="Century Gothic"/>
      <family val="2"/>
    </font>
    <font>
      <i/>
      <sz val="10"/>
      <color theme="1"/>
      <name val="Century Gothic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b/>
      <sz val="16"/>
      <color theme="1"/>
      <name val="Candara"/>
      <family val="2"/>
    </font>
    <font>
      <sz val="12"/>
      <name val="Candara"/>
      <family val="2"/>
    </font>
    <font>
      <sz val="10"/>
      <color theme="1"/>
      <name val="Candara"/>
      <family val="2"/>
    </font>
    <font>
      <b/>
      <sz val="10"/>
      <color theme="5"/>
      <name val="Century Gothic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62C68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62BD8A"/>
      </bottom>
      <diagonal/>
    </border>
    <border>
      <left style="thin">
        <color rgb="FF43A569"/>
      </left>
      <right style="thin">
        <color rgb="FF43A569"/>
      </right>
      <top style="thin">
        <color rgb="FF43A569"/>
      </top>
      <bottom style="thin">
        <color rgb="FF43A569"/>
      </bottom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 style="thin">
        <color rgb="FF129E00"/>
      </left>
      <right/>
      <top style="thin">
        <color rgb="FF129E00"/>
      </top>
      <bottom style="thin">
        <color rgb="FF129E00"/>
      </bottom>
      <diagonal/>
    </border>
    <border>
      <left/>
      <right style="thin">
        <color rgb="FF129E00"/>
      </right>
      <top style="thin">
        <color rgb="FF129E00"/>
      </top>
      <bottom style="thin">
        <color rgb="FF129E00"/>
      </bottom>
      <diagonal/>
    </border>
    <border>
      <left/>
      <right style="thin">
        <color rgb="FF62BD8A"/>
      </right>
      <top style="thin">
        <color rgb="FF62BD8A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</cellStyleXfs>
  <cellXfs count="101">
    <xf numFmtId="0" fontId="0" fillId="0" borderId="0" xfId="0"/>
    <xf numFmtId="0" fontId="1" fillId="2" borderId="0" xfId="0" applyFont="1" applyFill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wrapText="1"/>
    </xf>
    <xf numFmtId="0" fontId="1" fillId="0" borderId="1" xfId="0" applyFont="1" applyBorder="1" applyAlignment="1">
      <alignment horizontal="left" vertical="center" wrapText="1" indent="1"/>
    </xf>
    <xf numFmtId="0" fontId="3" fillId="2" borderId="0" xfId="0" applyFont="1" applyFill="1" applyBorder="1" applyAlignment="1">
      <alignment wrapText="1"/>
    </xf>
    <xf numFmtId="0" fontId="3" fillId="2" borderId="0" xfId="0" applyFont="1" applyFill="1" applyBorder="1" applyAlignment="1">
      <alignment horizontal="center" wrapText="1"/>
    </xf>
    <xf numFmtId="0" fontId="3" fillId="0" borderId="0" xfId="0" applyFont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" fillId="0" borderId="0" xfId="0" applyFont="1" applyFill="1" applyAlignment="1">
      <alignment horizontal="left" vertical="center" indent="1"/>
    </xf>
    <xf numFmtId="0" fontId="3" fillId="3" borderId="1" xfId="0" applyFont="1" applyFill="1" applyBorder="1" applyAlignment="1">
      <alignment horizontal="left" vertical="center" indent="1"/>
    </xf>
    <xf numFmtId="0" fontId="1" fillId="3" borderId="1" xfId="0" applyFont="1" applyFill="1" applyBorder="1" applyAlignment="1">
      <alignment horizontal="left" vertical="center" indent="1"/>
    </xf>
    <xf numFmtId="14" fontId="1" fillId="3" borderId="1" xfId="0" applyNumberFormat="1" applyFont="1" applyFill="1" applyBorder="1" applyAlignment="1">
      <alignment horizontal="left" vertical="center" indent="1"/>
    </xf>
    <xf numFmtId="0" fontId="1" fillId="0" borderId="0" xfId="0" applyFont="1" applyAlignment="1">
      <alignment wrapText="1"/>
    </xf>
    <xf numFmtId="9" fontId="4" fillId="0" borderId="1" xfId="0" applyNumberFormat="1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2" fillId="2" borderId="0" xfId="2" applyFont="1" applyFill="1"/>
    <xf numFmtId="0" fontId="13" fillId="2" borderId="0" xfId="2" applyFont="1" applyFill="1" applyAlignment="1">
      <alignment vertical="center"/>
    </xf>
    <xf numFmtId="0" fontId="14" fillId="2" borderId="0" xfId="2" applyFont="1" applyFill="1"/>
    <xf numFmtId="0" fontId="15" fillId="2" borderId="0" xfId="2" applyFont="1" applyFill="1" applyAlignment="1">
      <alignment horizontal="center" vertical="center" wrapText="1" readingOrder="1"/>
    </xf>
    <xf numFmtId="0" fontId="16" fillId="2" borderId="0" xfId="2" applyFont="1" applyFill="1"/>
    <xf numFmtId="0" fontId="17" fillId="2" borderId="3" xfId="0" applyFont="1" applyFill="1" applyBorder="1" applyAlignment="1">
      <alignment vertical="center"/>
    </xf>
    <xf numFmtId="0" fontId="16" fillId="2" borderId="0" xfId="2" applyFont="1" applyFill="1" applyAlignment="1">
      <alignment vertical="center"/>
    </xf>
    <xf numFmtId="0" fontId="17" fillId="2" borderId="5" xfId="0" applyFont="1" applyFill="1" applyBorder="1" applyAlignment="1">
      <alignment vertical="center"/>
    </xf>
    <xf numFmtId="0" fontId="17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16" fillId="5" borderId="0" xfId="2" applyFont="1" applyFill="1" applyAlignment="1">
      <alignment vertical="center"/>
    </xf>
    <xf numFmtId="0" fontId="19" fillId="2" borderId="0" xfId="0" applyFont="1" applyFill="1" applyAlignment="1">
      <alignment vertical="center"/>
    </xf>
    <xf numFmtId="14" fontId="18" fillId="5" borderId="5" xfId="3" applyNumberFormat="1" applyFont="1" applyFill="1" applyBorder="1" applyAlignment="1" applyProtection="1">
      <alignment horizontal="center" vertical="center"/>
      <protection locked="0"/>
    </xf>
    <xf numFmtId="49" fontId="18" fillId="5" borderId="8" xfId="3" applyNumberFormat="1" applyFont="1" applyFill="1" applyBorder="1" applyAlignment="1" applyProtection="1">
      <alignment horizontal="center" vertical="center"/>
      <protection locked="0"/>
    </xf>
    <xf numFmtId="9" fontId="21" fillId="7" borderId="10" xfId="0" applyNumberFormat="1" applyFont="1" applyFill="1" applyBorder="1" applyAlignment="1">
      <alignment horizontal="center" vertical="center"/>
    </xf>
    <xf numFmtId="9" fontId="2" fillId="8" borderId="10" xfId="0" applyNumberFormat="1" applyFont="1" applyFill="1" applyBorder="1" applyAlignment="1">
      <alignment horizontal="center" vertical="center"/>
    </xf>
    <xf numFmtId="0" fontId="21" fillId="9" borderId="10" xfId="0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 wrapText="1" indent="1"/>
    </xf>
    <xf numFmtId="0" fontId="22" fillId="0" borderId="1" xfId="0" applyFont="1" applyBorder="1" applyAlignment="1">
      <alignment horizontal="left" vertical="center" wrapText="1" indent="1"/>
    </xf>
    <xf numFmtId="0" fontId="23" fillId="0" borderId="1" xfId="0" applyFont="1" applyBorder="1" applyAlignment="1">
      <alignment horizontal="left" vertical="center" wrapText="1" indent="1"/>
    </xf>
    <xf numFmtId="0" fontId="12" fillId="2" borderId="0" xfId="0" applyFont="1" applyFill="1" applyAlignment="1">
      <alignment vertical="top"/>
    </xf>
    <xf numFmtId="0" fontId="24" fillId="2" borderId="0" xfId="0" applyFont="1" applyFill="1"/>
    <xf numFmtId="0" fontId="25" fillId="2" borderId="0" xfId="0" applyFont="1" applyFill="1"/>
    <xf numFmtId="0" fontId="25" fillId="2" borderId="0" xfId="0" applyFont="1" applyFill="1" applyAlignment="1">
      <alignment vertical="top"/>
    </xf>
    <xf numFmtId="0" fontId="24" fillId="2" borderId="0" xfId="0" applyFont="1" applyFill="1" applyAlignment="1">
      <alignment wrapText="1"/>
    </xf>
    <xf numFmtId="0" fontId="14" fillId="2" borderId="0" xfId="0" applyFont="1" applyFill="1" applyAlignment="1">
      <alignment vertical="top"/>
    </xf>
    <xf numFmtId="0" fontId="1" fillId="0" borderId="12" xfId="0" applyFont="1" applyFill="1" applyBorder="1" applyAlignment="1">
      <alignment horizontal="left" vertical="center" indent="1"/>
    </xf>
    <xf numFmtId="0" fontId="1" fillId="0" borderId="13" xfId="0" applyFont="1" applyFill="1" applyBorder="1" applyAlignment="1">
      <alignment horizontal="left" vertical="center" indent="1"/>
    </xf>
    <xf numFmtId="0" fontId="1" fillId="0" borderId="13" xfId="0" applyFont="1" applyBorder="1" applyAlignment="1">
      <alignment horizontal="left" vertical="center" indent="1"/>
    </xf>
    <xf numFmtId="0" fontId="2" fillId="4" borderId="14" xfId="0" applyFont="1" applyFill="1" applyBorder="1" applyAlignment="1">
      <alignment horizontal="left" vertical="center" indent="1"/>
    </xf>
    <xf numFmtId="0" fontId="8" fillId="4" borderId="15" xfId="0" applyFont="1" applyFill="1" applyBorder="1" applyAlignment="1">
      <alignment horizontal="left" vertical="center" indent="1"/>
    </xf>
    <xf numFmtId="0" fontId="1" fillId="0" borderId="16" xfId="0" applyFont="1" applyFill="1" applyBorder="1" applyAlignment="1">
      <alignment horizontal="left" vertical="center" indent="1"/>
    </xf>
    <xf numFmtId="0" fontId="1" fillId="0" borderId="17" xfId="0" applyFont="1" applyBorder="1" applyAlignment="1">
      <alignment horizontal="left" vertical="center" indent="1"/>
    </xf>
    <xf numFmtId="0" fontId="1" fillId="0" borderId="12" xfId="0" applyFont="1" applyBorder="1" applyAlignment="1">
      <alignment horizontal="left" vertical="center" indent="1"/>
    </xf>
    <xf numFmtId="3" fontId="1" fillId="0" borderId="13" xfId="0" applyNumberFormat="1" applyFont="1" applyBorder="1" applyAlignment="1">
      <alignment horizontal="left" vertical="center" indent="1"/>
    </xf>
    <xf numFmtId="0" fontId="9" fillId="4" borderId="14" xfId="0" applyFont="1" applyFill="1" applyBorder="1" applyAlignment="1">
      <alignment horizontal="left" vertical="center" indent="1"/>
    </xf>
    <xf numFmtId="0" fontId="9" fillId="4" borderId="15" xfId="0" applyFont="1" applyFill="1" applyBorder="1" applyAlignment="1">
      <alignment horizontal="left" vertical="center" indent="1"/>
    </xf>
    <xf numFmtId="0" fontId="1" fillId="0" borderId="16" xfId="0" applyFont="1" applyBorder="1" applyAlignment="1">
      <alignment horizontal="left" vertical="center" indent="1"/>
    </xf>
    <xf numFmtId="3" fontId="1" fillId="0" borderId="17" xfId="0" applyNumberFormat="1" applyFont="1" applyBorder="1" applyAlignment="1">
      <alignment horizontal="left" vertical="center" indent="1"/>
    </xf>
    <xf numFmtId="9" fontId="5" fillId="0" borderId="12" xfId="0" applyNumberFormat="1" applyFont="1" applyBorder="1" applyAlignment="1">
      <alignment horizontal="left" vertical="center" indent="1"/>
    </xf>
    <xf numFmtId="0" fontId="6" fillId="0" borderId="12" xfId="0" applyFont="1" applyBorder="1" applyAlignment="1">
      <alignment horizontal="left" vertical="center" indent="1"/>
    </xf>
    <xf numFmtId="10" fontId="11" fillId="0" borderId="13" xfId="0" applyNumberFormat="1" applyFont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left" vertical="center" indent="1"/>
    </xf>
    <xf numFmtId="10" fontId="11" fillId="0" borderId="17" xfId="0" applyNumberFormat="1" applyFont="1" applyBorder="1" applyAlignment="1">
      <alignment horizontal="center" vertical="center"/>
    </xf>
    <xf numFmtId="0" fontId="26" fillId="6" borderId="0" xfId="0" applyFont="1" applyFill="1" applyAlignment="1">
      <alignment vertical="top"/>
    </xf>
    <xf numFmtId="0" fontId="24" fillId="2" borderId="0" xfId="0" applyFont="1" applyFill="1" applyAlignment="1"/>
    <xf numFmtId="0" fontId="24" fillId="2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left" vertical="top"/>
    </xf>
    <xf numFmtId="0" fontId="26" fillId="2" borderId="0" xfId="0" applyFont="1" applyFill="1"/>
    <xf numFmtId="0" fontId="12" fillId="2" borderId="0" xfId="0" applyFont="1" applyFill="1"/>
    <xf numFmtId="0" fontId="24" fillId="2" borderId="0" xfId="0" applyFont="1" applyFill="1" applyAlignment="1">
      <alignment horizontal="left" wrapText="1"/>
    </xf>
    <xf numFmtId="0" fontId="12" fillId="6" borderId="0" xfId="0" applyFont="1" applyFill="1"/>
    <xf numFmtId="0" fontId="20" fillId="2" borderId="0" xfId="0" applyFont="1" applyFill="1"/>
    <xf numFmtId="0" fontId="27" fillId="2" borderId="0" xfId="0" applyFont="1" applyFill="1"/>
    <xf numFmtId="0" fontId="27" fillId="2" borderId="0" xfId="0" applyFont="1" applyFill="1" applyAlignment="1">
      <alignment horizontal="left" wrapText="1"/>
    </xf>
    <xf numFmtId="0" fontId="28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left" vertical="top"/>
    </xf>
    <xf numFmtId="0" fontId="24" fillId="2" borderId="0" xfId="0" applyFont="1" applyFill="1" applyAlignment="1">
      <alignment horizontal="left" wrapText="1"/>
    </xf>
    <xf numFmtId="0" fontId="27" fillId="2" borderId="0" xfId="0" applyFont="1" applyFill="1" applyAlignment="1">
      <alignment horizontal="left" wrapText="1"/>
    </xf>
    <xf numFmtId="0" fontId="9" fillId="4" borderId="2" xfId="0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 wrapText="1"/>
    </xf>
    <xf numFmtId="9" fontId="29" fillId="0" borderId="12" xfId="0" applyNumberFormat="1" applyFont="1" applyBorder="1" applyAlignment="1">
      <alignment horizontal="left" vertical="center" indent="1"/>
    </xf>
    <xf numFmtId="0" fontId="27" fillId="2" borderId="0" xfId="0" applyFont="1" applyFill="1" applyAlignment="1">
      <alignment horizontal="left" wrapText="1"/>
    </xf>
    <xf numFmtId="0" fontId="26" fillId="6" borderId="0" xfId="0" applyFont="1" applyFill="1" applyAlignment="1">
      <alignment horizontal="left" vertical="top"/>
    </xf>
    <xf numFmtId="0" fontId="24" fillId="2" borderId="0" xfId="0" applyFont="1" applyFill="1" applyAlignment="1">
      <alignment horizontal="left" wrapText="1"/>
    </xf>
    <xf numFmtId="0" fontId="27" fillId="2" borderId="0" xfId="0" applyFont="1" applyFill="1" applyAlignment="1">
      <alignment horizontal="left" wrapText="1"/>
    </xf>
    <xf numFmtId="0" fontId="27" fillId="2" borderId="0" xfId="0" applyFont="1" applyFill="1" applyAlignment="1">
      <alignment horizontal="left" vertical="top" wrapText="1"/>
    </xf>
    <xf numFmtId="0" fontId="24" fillId="2" borderId="0" xfId="0" applyFont="1" applyFill="1" applyAlignment="1">
      <alignment horizontal="left" vertical="top" wrapText="1"/>
    </xf>
    <xf numFmtId="49" fontId="18" fillId="6" borderId="4" xfId="0" applyNumberFormat="1" applyFont="1" applyFill="1" applyBorder="1" applyAlignment="1" applyProtection="1">
      <alignment horizontal="center" vertical="center"/>
      <protection locked="0"/>
    </xf>
    <xf numFmtId="164" fontId="18" fillId="6" borderId="6" xfId="3" applyNumberFormat="1" applyFont="1" applyFill="1" applyBorder="1" applyAlignment="1" applyProtection="1">
      <alignment horizontal="center" vertical="center"/>
      <protection locked="0"/>
    </xf>
    <xf numFmtId="164" fontId="18" fillId="6" borderId="7" xfId="3" applyNumberFormat="1" applyFont="1" applyFill="1" applyBorder="1" applyAlignment="1" applyProtection="1">
      <alignment horizontal="center" vertical="center"/>
      <protection locked="0"/>
    </xf>
    <xf numFmtId="164" fontId="18" fillId="6" borderId="4" xfId="0" applyNumberFormat="1" applyFont="1" applyFill="1" applyBorder="1" applyAlignment="1" applyProtection="1">
      <alignment horizontal="center" vertical="center"/>
      <protection locked="0"/>
    </xf>
    <xf numFmtId="14" fontId="18" fillId="6" borderId="6" xfId="3" applyNumberFormat="1" applyFont="1" applyFill="1" applyBorder="1" applyAlignment="1" applyProtection="1">
      <alignment horizontal="center" vertical="center"/>
      <protection locked="0"/>
    </xf>
    <xf numFmtId="14" fontId="18" fillId="6" borderId="7" xfId="3" applyNumberFormat="1" applyFont="1" applyFill="1" applyBorder="1" applyAlignment="1" applyProtection="1">
      <alignment horizontal="center" vertical="center"/>
      <protection locked="0"/>
    </xf>
    <xf numFmtId="9" fontId="18" fillId="6" borderId="6" xfId="1" applyFont="1" applyFill="1" applyBorder="1" applyAlignment="1" applyProtection="1">
      <alignment horizontal="center" vertical="center"/>
      <protection locked="0"/>
    </xf>
    <xf numFmtId="9" fontId="18" fillId="6" borderId="7" xfId="1" applyFont="1" applyFill="1" applyBorder="1" applyAlignment="1" applyProtection="1">
      <alignment horizontal="center" vertical="center"/>
      <protection locked="0"/>
    </xf>
  </cellXfs>
  <cellStyles count="4">
    <cellStyle name="Normal" xfId="0" builtinId="0"/>
    <cellStyle name="Normal 2" xfId="2" xr:uid="{00000000-0005-0000-0000-000001000000}"/>
    <cellStyle name="Normal 2 2" xfId="3" xr:uid="{00000000-0005-0000-0000-000002000000}"/>
    <cellStyle name="Pourcentage" xfId="1" builtinId="5"/>
  </cellStyles>
  <dxfs count="22">
    <dxf>
      <font>
        <b/>
        <i val="0"/>
        <color rgb="FF129E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theme="0" tint="-0.499984740745262"/>
      </font>
    </dxf>
    <dxf>
      <font>
        <b/>
        <i val="0"/>
        <color rgb="FF129E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theme="0" tint="-0.49998474074526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3" formatCode="#,##0"/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left" vertical="center" textRotation="0" wrapText="0" indent="1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entury Gothic"/>
        <scheme val="none"/>
      </font>
      <fill>
        <patternFill patternType="solid">
          <fgColor indexed="64"/>
          <bgColor rgb="FF62C68A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colors>
    <mruColors>
      <color rgb="FF129E00"/>
      <color rgb="FF62C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77124671131819"/>
          <c:y val="0.12790792102592649"/>
          <c:w val="0.71840069312793819"/>
          <c:h val="0.8504417169775412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Data!$C$3</c:f>
              <c:strCache>
                <c:ptCount val="1"/>
                <c:pt idx="0">
                  <c:v>Start on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618C-41E3-B238-9BF5BD7C0B5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18C-41E3-B238-9BF5BD7C0B5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618C-41E3-B238-9BF5BD7C0B5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18C-41E3-B238-9BF5BD7C0B5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618C-41E3-B238-9BF5BD7C0B5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18C-41E3-B238-9BF5BD7C0B5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618C-41E3-B238-9BF5BD7C0B5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18C-41E3-B238-9BF5BD7C0B5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618C-41E3-B238-9BF5BD7C0B50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18C-41E3-B238-9BF5BD7C0B50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618C-41E3-B238-9BF5BD7C0B50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A6A-4D9B-B7F7-4B2754C9CFFA}"/>
              </c:ext>
            </c:extLst>
          </c:dPt>
          <c:dPt>
            <c:idx val="12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A6A-4D9B-B7F7-4B2754C9CFFA}"/>
              </c:ext>
            </c:extLst>
          </c:dPt>
          <c:dPt>
            <c:idx val="13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5A6A-4D9B-B7F7-4B2754C9CFFA}"/>
              </c:ext>
            </c:extLst>
          </c:dPt>
          <c:dPt>
            <c:idx val="14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5A6A-4D9B-B7F7-4B2754C9CFFA}"/>
              </c:ext>
            </c:extLst>
          </c:dPt>
          <c:dPt>
            <c:idx val="15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CA40-4C76-9A4E-3E29539EB200}"/>
              </c:ext>
            </c:extLst>
          </c:dPt>
          <c:dPt>
            <c:idx val="16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CA40-4C76-9A4E-3E29539EB200}"/>
              </c:ext>
            </c:extLst>
          </c:dPt>
          <c:dPt>
            <c:idx val="17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CA40-4C76-9A4E-3E29539EB20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CA40-4C76-9A4E-3E29539EB200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CA40-4C76-9A4E-3E29539EB200}"/>
              </c:ext>
            </c:extLst>
          </c:dPt>
          <c:dPt>
            <c:idx val="20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CA40-4C76-9A4E-3E29539EB200}"/>
              </c:ext>
            </c:extLst>
          </c:dPt>
          <c:dPt>
            <c:idx val="21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CA40-4C76-9A4E-3E29539EB200}"/>
              </c:ext>
            </c:extLst>
          </c:dPt>
          <c:dPt>
            <c:idx val="22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CA40-4C76-9A4E-3E29539EB200}"/>
              </c:ext>
            </c:extLst>
          </c:dPt>
          <c:dPt>
            <c:idx val="23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CA40-4C76-9A4E-3E29539EB200}"/>
              </c:ext>
            </c:extLst>
          </c:dPt>
          <c:dPt>
            <c:idx val="24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CA40-4C76-9A4E-3E29539EB200}"/>
              </c:ext>
            </c:extLst>
          </c:dPt>
          <c:dPt>
            <c:idx val="25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CA40-4C76-9A4E-3E29539EB200}"/>
              </c:ext>
            </c:extLst>
          </c:dPt>
          <c:dPt>
            <c:idx val="26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CA40-4C76-9A4E-3E29539EB200}"/>
              </c:ext>
            </c:extLst>
          </c:dPt>
          <c:dPt>
            <c:idx val="27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CA40-4C76-9A4E-3E29539EB200}"/>
              </c:ext>
            </c:extLst>
          </c:dPt>
          <c:dPt>
            <c:idx val="28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CA40-4C76-9A4E-3E29539EB200}"/>
              </c:ext>
            </c:extLst>
          </c:dPt>
          <c:dPt>
            <c:idx val="29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C-CA40-4C76-9A4E-3E29539EB200}"/>
              </c:ext>
            </c:extLst>
          </c:dPt>
          <c:dPt>
            <c:idx val="30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CA40-4C76-9A4E-3E29539EB200}"/>
              </c:ext>
            </c:extLst>
          </c:dPt>
          <c:dPt>
            <c:idx val="31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CA40-4C76-9A4E-3E29539EB200}"/>
              </c:ext>
            </c:extLst>
          </c:dPt>
          <c:dPt>
            <c:idx val="32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CA40-4C76-9A4E-3E29539EB200}"/>
              </c:ext>
            </c:extLst>
          </c:dPt>
          <c:dPt>
            <c:idx val="33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4-003B-45B5-8FA0-853C11334940}"/>
              </c:ext>
            </c:extLst>
          </c:dPt>
          <c:cat>
            <c:strRef>
              <c:f>Data!$A$4:$A$37</c:f>
              <c:strCache>
                <c:ptCount val="33"/>
                <c:pt idx="0">
                  <c:v>Opportunity study and approval</c:v>
                </c:pt>
                <c:pt idx="1">
                  <c:v>Preparation of the Project Charter - Justification</c:v>
                </c:pt>
                <c:pt idx="2">
                  <c:v>Drafting of the Project Charter</c:v>
                </c:pt>
                <c:pt idx="3">
                  <c:v>Approval of the Project Charter</c:v>
                </c:pt>
                <c:pt idx="4">
                  <c:v>General functional design</c:v>
                </c:pt>
                <c:pt idx="5">
                  <c:v>Drafting specifications</c:v>
                </c:pt>
                <c:pt idx="6">
                  <c:v>Planning</c:v>
                </c:pt>
                <c:pt idx="7">
                  <c:v>Communication plan</c:v>
                </c:pt>
                <c:pt idx="8">
                  <c:v>Approval of Specifications, Communication Plan, Project Plan and Schedule</c:v>
                </c:pt>
                <c:pt idx="9">
                  <c:v>Parameter setting, programming and unit  acceptance tests</c:v>
                </c:pt>
                <c:pt idx="10">
                  <c:v>Coordination of realization and functional acceptance tests</c:v>
                </c:pt>
                <c:pt idx="11">
                  <c:v>System tests, corrections and validation</c:v>
                </c:pt>
                <c:pt idx="12">
                  <c:v>Official validation by users</c:v>
                </c:pt>
                <c:pt idx="13">
                  <c:v>Validation of the phase by the management committee</c:v>
                </c:pt>
                <c:pt idx="14">
                  <c:v>Integration and consolidation tests, system validation</c:v>
                </c:pt>
                <c:pt idx="15">
                  <c:v>User training</c:v>
                </c:pt>
                <c:pt idx="16">
                  <c:v>Preparation and validation of pre-production environment</c:v>
                </c:pt>
                <c:pt idx="17">
                  <c:v>Deployment</c:v>
                </c:pt>
                <c:pt idx="18">
                  <c:v>Failover and validation</c:v>
                </c:pt>
                <c:pt idx="19">
                  <c:v>Master Data validation</c:v>
                </c:pt>
                <c:pt idx="20">
                  <c:v>User validation</c:v>
                </c:pt>
                <c:pt idx="21">
                  <c:v>Productive start-up decision</c:v>
                </c:pt>
                <c:pt idx="22">
                  <c:v>Go live</c:v>
                </c:pt>
                <c:pt idx="23">
                  <c:v>Monitoring of proper functioning, documentation and corrections</c:v>
                </c:pt>
                <c:pt idx="24">
                  <c:v>Master Data Corrections</c:v>
                </c:pt>
                <c:pt idx="25">
                  <c:v>User tracking</c:v>
                </c:pt>
                <c:pt idx="26">
                  <c:v>Closing November</c:v>
                </c:pt>
                <c:pt idx="27">
                  <c:v>Closing December</c:v>
                </c:pt>
                <c:pt idx="28">
                  <c:v>Acknowledgment of acceptance tests </c:v>
                </c:pt>
                <c:pt idx="29">
                  <c:v>Documenting lessons learned Project</c:v>
                </c:pt>
                <c:pt idx="30">
                  <c:v>Correction plan</c:v>
                </c:pt>
                <c:pt idx="31">
                  <c:v>Decommissioning old systems</c:v>
                </c:pt>
                <c:pt idx="32">
                  <c:v>Closing meeting</c:v>
                </c:pt>
              </c:strCache>
            </c:strRef>
          </c:cat>
          <c:val>
            <c:numRef>
              <c:f>Data!$C$4:$C$37</c:f>
              <c:numCache>
                <c:formatCode>yyyy\-mm\-dd;@</c:formatCode>
                <c:ptCount val="34"/>
                <c:pt idx="0">
                  <c:v>44649</c:v>
                </c:pt>
                <c:pt idx="1">
                  <c:v>44663</c:v>
                </c:pt>
                <c:pt idx="2">
                  <c:v>44670</c:v>
                </c:pt>
                <c:pt idx="3">
                  <c:v>44681</c:v>
                </c:pt>
                <c:pt idx="4">
                  <c:v>44684</c:v>
                </c:pt>
                <c:pt idx="5">
                  <c:v>44712</c:v>
                </c:pt>
                <c:pt idx="6">
                  <c:v>44712</c:v>
                </c:pt>
                <c:pt idx="7">
                  <c:v>44712</c:v>
                </c:pt>
                <c:pt idx="8">
                  <c:v>44742</c:v>
                </c:pt>
                <c:pt idx="9">
                  <c:v>44743</c:v>
                </c:pt>
                <c:pt idx="10">
                  <c:v>44743</c:v>
                </c:pt>
                <c:pt idx="11">
                  <c:v>44805</c:v>
                </c:pt>
                <c:pt idx="12">
                  <c:v>44833</c:v>
                </c:pt>
                <c:pt idx="13">
                  <c:v>44834</c:v>
                </c:pt>
                <c:pt idx="14">
                  <c:v>44835</c:v>
                </c:pt>
                <c:pt idx="15">
                  <c:v>44851</c:v>
                </c:pt>
                <c:pt idx="16">
                  <c:v>44866</c:v>
                </c:pt>
                <c:pt idx="17">
                  <c:v>44892</c:v>
                </c:pt>
                <c:pt idx="18">
                  <c:v>44893</c:v>
                </c:pt>
                <c:pt idx="19">
                  <c:v>44893</c:v>
                </c:pt>
                <c:pt idx="20">
                  <c:v>44893</c:v>
                </c:pt>
                <c:pt idx="21">
                  <c:v>44893</c:v>
                </c:pt>
                <c:pt idx="22">
                  <c:v>44894</c:v>
                </c:pt>
                <c:pt idx="23">
                  <c:v>44894</c:v>
                </c:pt>
                <c:pt idx="24">
                  <c:v>44894</c:v>
                </c:pt>
                <c:pt idx="25">
                  <c:v>44894</c:v>
                </c:pt>
                <c:pt idx="26">
                  <c:v>44896</c:v>
                </c:pt>
                <c:pt idx="27">
                  <c:v>44562</c:v>
                </c:pt>
                <c:pt idx="28">
                  <c:v>44568</c:v>
                </c:pt>
                <c:pt idx="29">
                  <c:v>44578</c:v>
                </c:pt>
                <c:pt idx="30">
                  <c:v>44578</c:v>
                </c:pt>
                <c:pt idx="31">
                  <c:v>44579</c:v>
                </c:pt>
                <c:pt idx="32">
                  <c:v>44590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B-4AD2-9803-ABC558858817}"/>
            </c:ext>
          </c:extLst>
        </c:ser>
        <c:ser>
          <c:idx val="1"/>
          <c:order val="1"/>
          <c:tx>
            <c:strRef>
              <c:f>Data!$E$3</c:f>
              <c:strCache>
                <c:ptCount val="1"/>
                <c:pt idx="0">
                  <c:v>Number days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656B-4AD2-9803-ABC558858817}"/>
              </c:ext>
            </c:extLst>
          </c:dPt>
          <c:dPt>
            <c:idx val="1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4-656B-4AD2-9803-ABC558858817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656B-4AD2-9803-ABC558858817}"/>
              </c:ext>
            </c:extLst>
          </c:dPt>
          <c:dPt>
            <c:idx val="3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656B-4AD2-9803-ABC55885881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656B-4AD2-9803-ABC558858817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656B-4AD2-9803-ABC558858817}"/>
              </c:ext>
            </c:extLst>
          </c:dPt>
          <c:dPt>
            <c:idx val="6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656B-4AD2-9803-ABC558858817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10-656B-4AD2-9803-ABC558858817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12-656B-4AD2-9803-ABC558858817}"/>
              </c:ext>
            </c:extLst>
          </c:dPt>
          <c:dPt>
            <c:idx val="9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14-656B-4AD2-9803-ABC558858817}"/>
              </c:ext>
            </c:extLst>
          </c:dPt>
          <c:dPt>
            <c:idx val="10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16-656B-4AD2-9803-ABC558858817}"/>
              </c:ext>
            </c:extLst>
          </c:dPt>
          <c:dPt>
            <c:idx val="11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9-5A6A-4D9B-B7F7-4B2754C9CFFA}"/>
              </c:ext>
            </c:extLst>
          </c:dPt>
          <c:dPt>
            <c:idx val="12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1A-656B-4AD2-9803-ABC558858817}"/>
              </c:ext>
            </c:extLst>
          </c:dPt>
          <c:dPt>
            <c:idx val="13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1C-656B-4AD2-9803-ABC558858817}"/>
              </c:ext>
            </c:extLst>
          </c:dPt>
          <c:dPt>
            <c:idx val="14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1E-656B-4AD2-9803-ABC558858817}"/>
              </c:ext>
            </c:extLst>
          </c:dPt>
          <c:dPt>
            <c:idx val="15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31-CA40-4C76-9A4E-3E29539EB200}"/>
              </c:ext>
            </c:extLst>
          </c:dPt>
          <c:dPt>
            <c:idx val="16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33-CA40-4C76-9A4E-3E29539EB200}"/>
              </c:ext>
            </c:extLst>
          </c:dPt>
          <c:dPt>
            <c:idx val="17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35-CA40-4C76-9A4E-3E29539EB200}"/>
              </c:ext>
            </c:extLst>
          </c:dPt>
          <c:dPt>
            <c:idx val="18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37-CA40-4C76-9A4E-3E29539EB200}"/>
              </c:ext>
            </c:extLst>
          </c:dPt>
          <c:dPt>
            <c:idx val="19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39-CA40-4C76-9A4E-3E29539EB200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3B-CA40-4C76-9A4E-3E29539EB200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3D-CA40-4C76-9A4E-3E29539EB200}"/>
              </c:ext>
            </c:extLst>
          </c:dPt>
          <c:dPt>
            <c:idx val="22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3F-CA40-4C76-9A4E-3E29539EB200}"/>
              </c:ext>
            </c:extLst>
          </c:dPt>
          <c:dPt>
            <c:idx val="23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1-CA40-4C76-9A4E-3E29539EB200}"/>
              </c:ext>
            </c:extLst>
          </c:dPt>
          <c:dPt>
            <c:idx val="24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3-CA40-4C76-9A4E-3E29539EB200}"/>
              </c:ext>
            </c:extLst>
          </c:dPt>
          <c:dPt>
            <c:idx val="25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5-CA40-4C76-9A4E-3E29539EB200}"/>
              </c:ext>
            </c:extLst>
          </c:dPt>
          <c:dPt>
            <c:idx val="26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7-CA40-4C76-9A4E-3E29539EB200}"/>
              </c:ext>
            </c:extLst>
          </c:dPt>
          <c:dPt>
            <c:idx val="27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9-CA40-4C76-9A4E-3E29539EB200}"/>
              </c:ext>
            </c:extLst>
          </c:dPt>
          <c:dPt>
            <c:idx val="28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B-CA40-4C76-9A4E-3E29539EB200}"/>
              </c:ext>
            </c:extLst>
          </c:dPt>
          <c:dPt>
            <c:idx val="29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D-CA40-4C76-9A4E-3E29539EB200}"/>
              </c:ext>
            </c:extLst>
          </c:dPt>
          <c:dPt>
            <c:idx val="30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F-CA40-4C76-9A4E-3E29539EB200}"/>
              </c:ext>
            </c:extLst>
          </c:dPt>
          <c:dPt>
            <c:idx val="31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1-CA40-4C76-9A4E-3E29539EB200}"/>
              </c:ext>
            </c:extLst>
          </c:dPt>
          <c:dPt>
            <c:idx val="32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3-CA40-4C76-9A4E-3E29539EB200}"/>
              </c:ext>
            </c:extLst>
          </c:dPt>
          <c:dPt>
            <c:idx val="33"/>
            <c:invertIfNegative val="0"/>
            <c:bubble3D val="0"/>
            <c:spPr>
              <a:solidFill>
                <a:srgbClr val="000000"/>
              </a:solidFill>
            </c:spPr>
            <c:extLst>
              <c:ext xmlns:c16="http://schemas.microsoft.com/office/drawing/2014/chart" uri="{C3380CC4-5D6E-409C-BE32-E72D297353CC}">
                <c16:uniqueId val="{00000085-003B-45B5-8FA0-853C11334940}"/>
              </c:ext>
            </c:extLst>
          </c:dPt>
          <c:cat>
            <c:strRef>
              <c:f>Data!$A$4:$A$37</c:f>
              <c:strCache>
                <c:ptCount val="33"/>
                <c:pt idx="0">
                  <c:v>Opportunity study and approval</c:v>
                </c:pt>
                <c:pt idx="1">
                  <c:v>Preparation of the Project Charter - Justification</c:v>
                </c:pt>
                <c:pt idx="2">
                  <c:v>Drafting of the Project Charter</c:v>
                </c:pt>
                <c:pt idx="3">
                  <c:v>Approval of the Project Charter</c:v>
                </c:pt>
                <c:pt idx="4">
                  <c:v>General functional design</c:v>
                </c:pt>
                <c:pt idx="5">
                  <c:v>Drafting specifications</c:v>
                </c:pt>
                <c:pt idx="6">
                  <c:v>Planning</c:v>
                </c:pt>
                <c:pt idx="7">
                  <c:v>Communication plan</c:v>
                </c:pt>
                <c:pt idx="8">
                  <c:v>Approval of Specifications, Communication Plan, Project Plan and Schedule</c:v>
                </c:pt>
                <c:pt idx="9">
                  <c:v>Parameter setting, programming and unit  acceptance tests</c:v>
                </c:pt>
                <c:pt idx="10">
                  <c:v>Coordination of realization and functional acceptance tests</c:v>
                </c:pt>
                <c:pt idx="11">
                  <c:v>System tests, corrections and validation</c:v>
                </c:pt>
                <c:pt idx="12">
                  <c:v>Official validation by users</c:v>
                </c:pt>
                <c:pt idx="13">
                  <c:v>Validation of the phase by the management committee</c:v>
                </c:pt>
                <c:pt idx="14">
                  <c:v>Integration and consolidation tests, system validation</c:v>
                </c:pt>
                <c:pt idx="15">
                  <c:v>User training</c:v>
                </c:pt>
                <c:pt idx="16">
                  <c:v>Preparation and validation of pre-production environment</c:v>
                </c:pt>
                <c:pt idx="17">
                  <c:v>Deployment</c:v>
                </c:pt>
                <c:pt idx="18">
                  <c:v>Failover and validation</c:v>
                </c:pt>
                <c:pt idx="19">
                  <c:v>Master Data validation</c:v>
                </c:pt>
                <c:pt idx="20">
                  <c:v>User validation</c:v>
                </c:pt>
                <c:pt idx="21">
                  <c:v>Productive start-up decision</c:v>
                </c:pt>
                <c:pt idx="22">
                  <c:v>Go live</c:v>
                </c:pt>
                <c:pt idx="23">
                  <c:v>Monitoring of proper functioning, documentation and corrections</c:v>
                </c:pt>
                <c:pt idx="24">
                  <c:v>Master Data Corrections</c:v>
                </c:pt>
                <c:pt idx="25">
                  <c:v>User tracking</c:v>
                </c:pt>
                <c:pt idx="26">
                  <c:v>Closing November</c:v>
                </c:pt>
                <c:pt idx="27">
                  <c:v>Closing December</c:v>
                </c:pt>
                <c:pt idx="28">
                  <c:v>Acknowledgment of acceptance tests </c:v>
                </c:pt>
                <c:pt idx="29">
                  <c:v>Documenting lessons learned Project</c:v>
                </c:pt>
                <c:pt idx="30">
                  <c:v>Correction plan</c:v>
                </c:pt>
                <c:pt idx="31">
                  <c:v>Decommissioning old systems</c:v>
                </c:pt>
                <c:pt idx="32">
                  <c:v>Closing meeting</c:v>
                </c:pt>
              </c:strCache>
            </c:strRef>
          </c:cat>
          <c:val>
            <c:numRef>
              <c:f>Data!$E$4:$E$37</c:f>
              <c:numCache>
                <c:formatCode>General</c:formatCode>
                <c:ptCount val="34"/>
                <c:pt idx="0">
                  <c:v>12</c:v>
                </c:pt>
                <c:pt idx="1">
                  <c:v>5</c:v>
                </c:pt>
                <c:pt idx="2">
                  <c:v>11</c:v>
                </c:pt>
                <c:pt idx="3">
                  <c:v>1</c:v>
                </c:pt>
                <c:pt idx="4">
                  <c:v>26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1</c:v>
                </c:pt>
                <c:pt idx="9">
                  <c:v>91</c:v>
                </c:pt>
                <c:pt idx="10">
                  <c:v>91</c:v>
                </c:pt>
                <c:pt idx="11">
                  <c:v>28</c:v>
                </c:pt>
                <c:pt idx="12">
                  <c:v>1</c:v>
                </c:pt>
                <c:pt idx="13">
                  <c:v>1</c:v>
                </c:pt>
                <c:pt idx="14">
                  <c:v>29</c:v>
                </c:pt>
                <c:pt idx="15">
                  <c:v>16</c:v>
                </c:pt>
                <c:pt idx="16">
                  <c:v>26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-326</c:v>
                </c:pt>
                <c:pt idx="24">
                  <c:v>-326</c:v>
                </c:pt>
                <c:pt idx="25">
                  <c:v>-326</c:v>
                </c:pt>
                <c:pt idx="26">
                  <c:v>5</c:v>
                </c:pt>
                <c:pt idx="27">
                  <c:v>5</c:v>
                </c:pt>
                <c:pt idx="28">
                  <c:v>1</c:v>
                </c:pt>
                <c:pt idx="29">
                  <c:v>12</c:v>
                </c:pt>
                <c:pt idx="30">
                  <c:v>12</c:v>
                </c:pt>
                <c:pt idx="31">
                  <c:v>10</c:v>
                </c:pt>
                <c:pt idx="32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56B-4AD2-9803-ABC558858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4047488"/>
        <c:axId val="74049024"/>
      </c:barChart>
      <c:catAx>
        <c:axId val="74047488"/>
        <c:scaling>
          <c:orientation val="maxMin"/>
        </c:scaling>
        <c:delete val="0"/>
        <c:axPos val="l"/>
        <c:majorGridlines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 anchor="ctr" anchorCtr="0"/>
          <a:lstStyle/>
          <a:p>
            <a:pPr>
              <a:defRPr sz="1000" b="0">
                <a:latin typeface="Avenir Next LT Pro" panose="020B0504020202020204" pitchFamily="34" charset="0"/>
              </a:defRPr>
            </a:pPr>
            <a:endParaRPr lang="fr-FR"/>
          </a:p>
        </c:txPr>
        <c:crossAx val="74049024"/>
        <c:crossesAt val="44284"/>
        <c:auto val="1"/>
        <c:lblAlgn val="ctr"/>
        <c:lblOffset val="100"/>
        <c:tickMarkSkip val="1"/>
        <c:noMultiLvlLbl val="0"/>
      </c:catAx>
      <c:valAx>
        <c:axId val="74049024"/>
        <c:scaling>
          <c:orientation val="minMax"/>
          <c:max val="44962"/>
          <c:min val="44562"/>
        </c:scaling>
        <c:delete val="0"/>
        <c:axPos val="t"/>
        <c:majorGridlines/>
        <c:numFmt formatCode="dd/mm/yy;@" sourceLinked="0"/>
        <c:majorTickMark val="cross"/>
        <c:minorTickMark val="none"/>
        <c:tickLblPos val="low"/>
        <c:spPr>
          <a:ln/>
        </c:spPr>
        <c:txPr>
          <a:bodyPr rot="-5400000" vert="horz" anchor="ctr" anchorCtr="0"/>
          <a:lstStyle/>
          <a:p>
            <a:pPr>
              <a:defRPr sz="1200" b="1">
                <a:latin typeface="Century Gothic" panose="020B0502020202020204" pitchFamily="34" charset="0"/>
              </a:defRPr>
            </a:pPr>
            <a:endParaRPr lang="fr-FR"/>
          </a:p>
        </c:txPr>
        <c:crossAx val="74047488"/>
        <c:crosses val="autoZero"/>
        <c:crossBetween val="between"/>
        <c:majorUnit val="20"/>
      </c:valAx>
    </c:plotArea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1" l="0.75" r="0.75" t="1" header="0.5" footer="0.5"/>
    <c:pageSetup orientation="portrait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>
                <a:latin typeface="Century Gothic" panose="020B0502020202020204" pitchFamily="34" charset="0"/>
              </a:defRPr>
            </a:pPr>
            <a:r>
              <a:rPr lang="en-US" sz="1400">
                <a:latin typeface="Century Gothic" panose="020B0502020202020204" pitchFamily="34" charset="0"/>
              </a:rPr>
              <a:t>Overview of task statuses</a:t>
            </a:r>
          </a:p>
        </c:rich>
      </c:tx>
      <c:layout>
        <c:manualLayout>
          <c:xMode val="edge"/>
          <c:yMode val="edge"/>
          <c:x val="0.27695653544958032"/>
          <c:y val="2.38887499035985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1115322955541746"/>
          <c:y val="0.18504796790511077"/>
          <c:w val="0.38846879059481865"/>
          <c:h val="0.77982077446363163"/>
        </c:manualLayout>
      </c:layout>
      <c:pieChart>
        <c:varyColors val="1"/>
        <c:ser>
          <c:idx val="0"/>
          <c:order val="0"/>
          <c:tx>
            <c:strRef>
              <c:f>Data!$B$40</c:f>
              <c:strCache>
                <c:ptCount val="1"/>
                <c:pt idx="0">
                  <c:v>%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4A01-4D6F-B42A-9F1F667B7C56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4A01-4D6F-B42A-9F1F667B7C56}"/>
              </c:ext>
            </c:extLst>
          </c:dPt>
          <c:dPt>
            <c:idx val="2"/>
            <c:bubble3D val="0"/>
            <c:spPr>
              <a:solidFill>
                <a:srgbClr val="FFE70E"/>
              </a:solidFill>
            </c:spPr>
            <c:extLst>
              <c:ext xmlns:c16="http://schemas.microsoft.com/office/drawing/2014/chart" uri="{C3380CC4-5D6E-409C-BE32-E72D297353CC}">
                <c16:uniqueId val="{00000005-4A01-4D6F-B42A-9F1F667B7C56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4A01-4D6F-B42A-9F1F667B7C56}"/>
              </c:ext>
            </c:extLst>
          </c:dPt>
          <c:dLbls>
            <c:dLbl>
              <c:idx val="0"/>
              <c:layout>
                <c:manualLayout>
                  <c:x val="0.20915522826986535"/>
                  <c:y val="5.353337183121375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01-4D6F-B42A-9F1F667B7C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Data!$A$41:$A$44</c:f>
              <c:strCache>
                <c:ptCount val="4"/>
                <c:pt idx="0">
                  <c:v>COMPLETE</c:v>
                </c:pt>
                <c:pt idx="1">
                  <c:v>LATE</c:v>
                </c:pt>
                <c:pt idx="2">
                  <c:v>IN PROGRESS</c:v>
                </c:pt>
                <c:pt idx="3">
                  <c:v>NOT STARTED</c:v>
                </c:pt>
              </c:strCache>
            </c:strRef>
          </c:cat>
          <c:val>
            <c:numRef>
              <c:f>Data!$B$41:$B$44</c:f>
              <c:numCache>
                <c:formatCode>0.00%</c:formatCode>
                <c:ptCount val="4"/>
                <c:pt idx="0">
                  <c:v>0.12121212121212122</c:v>
                </c:pt>
                <c:pt idx="1">
                  <c:v>3.0303030303030304E-2</c:v>
                </c:pt>
                <c:pt idx="2">
                  <c:v>6.0606060606060608E-2</c:v>
                </c:pt>
                <c:pt idx="3">
                  <c:v>0.78787878787878785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01-4D6F-B42A-9F1F667B7C5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1200">
              <a:latin typeface="Century Gothic" panose="020B0502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400">
                <a:latin typeface="Century Gothic" panose="020B0502020202020204" pitchFamily="34" charset="0"/>
              </a:rPr>
              <a:t>Budget</a:t>
            </a:r>
          </a:p>
          <a:p>
            <a:pPr>
              <a:defRPr sz="1400">
                <a:latin typeface="Century Gothic" panose="020B0502020202020204" pitchFamily="34" charset="0"/>
              </a:defRPr>
            </a:pPr>
            <a:endParaRPr lang="en-US" sz="1400">
              <a:latin typeface="Century Gothic" panose="020B0502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Data!$E$40</c:f>
              <c:strCache>
                <c:ptCount val="1"/>
                <c:pt idx="0">
                  <c:v>In Euro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3A-41DF-8B4A-BD0D9EAD014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3A-41DF-8B4A-BD0D9EAD0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Data!$D$41:$D$42</c:f>
              <c:strCache>
                <c:ptCount val="2"/>
                <c:pt idx="0">
                  <c:v>Cumulative actual</c:v>
                </c:pt>
                <c:pt idx="1">
                  <c:v>Total</c:v>
                </c:pt>
              </c:strCache>
            </c:strRef>
          </c:cat>
          <c:val>
            <c:numRef>
              <c:f>Data!$E$41:$E$42</c:f>
              <c:numCache>
                <c:formatCode>#,##0</c:formatCode>
                <c:ptCount val="2"/>
                <c:pt idx="0">
                  <c:v>22000</c:v>
                </c:pt>
                <c:pt idx="1">
                  <c:v>420000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3A-41DF-8B4A-BD0D9EAD0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175232"/>
        <c:axId val="74176768"/>
      </c:barChart>
      <c:catAx>
        <c:axId val="741752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fr-FR"/>
          </a:p>
        </c:txPr>
        <c:crossAx val="74176768"/>
        <c:crossesAt val="0"/>
        <c:auto val="1"/>
        <c:lblAlgn val="ctr"/>
        <c:lblOffset val="100"/>
        <c:noMultiLvlLbl val="0"/>
      </c:catAx>
      <c:valAx>
        <c:axId val="74176768"/>
        <c:scaling>
          <c:orientation val="minMax"/>
          <c:max val="90000"/>
          <c:min val="20000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fr-FR"/>
          </a:p>
        </c:txPr>
        <c:crossAx val="74175232"/>
        <c:crosses val="autoZero"/>
        <c:crossBetween val="between"/>
        <c:majorUnit val="10000"/>
        <c:minorUnit val="50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>
                <a:latin typeface="Century Gothic" panose="020B0502020202020204" pitchFamily="34" charset="0"/>
              </a:defRPr>
            </a:pPr>
            <a:r>
              <a:rPr lang="en-US" sz="1400">
                <a:latin typeface="Century Gothic" panose="020B0502020202020204" pitchFamily="34" charset="0"/>
              </a:rPr>
              <a:t>Elements </a:t>
            </a:r>
            <a:r>
              <a:rPr lang="en-US" sz="1400" baseline="0">
                <a:latin typeface="Century Gothic" panose="020B0502020202020204" pitchFamily="34" charset="0"/>
              </a:rPr>
              <a:t> in progress</a:t>
            </a:r>
            <a:endParaRPr lang="en-US" sz="1400">
              <a:latin typeface="Century Gothic" panose="020B0502020202020204" pitchFamily="34" charset="0"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Data!$I$40</c:f>
              <c:strCache>
                <c:ptCount val="1"/>
                <c:pt idx="0">
                  <c:v>Number of items</c:v>
                </c:pt>
              </c:strCache>
            </c:strRef>
          </c:tx>
          <c:spPr>
            <a:solidFill>
              <a:srgbClr val="129E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ABA-45DB-8CEE-F5FD0FFCA0CA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11D3-4AA9-A8E9-2BE911C84FE0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Data!$H$41:$H$43</c:f>
              <c:strCache>
                <c:ptCount val="3"/>
                <c:pt idx="0">
                  <c:v>Decisions</c:v>
                </c:pt>
                <c:pt idx="1">
                  <c:v>Actions</c:v>
                </c:pt>
                <c:pt idx="2">
                  <c:v>Change requests</c:v>
                </c:pt>
              </c:strCache>
            </c:strRef>
          </c:cat>
          <c:val>
            <c:numRef>
              <c:f>Data!$I$41:$I$43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D3-4AA9-A8E9-2BE911C84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343168"/>
        <c:axId val="74344704"/>
      </c:barChart>
      <c:catAx>
        <c:axId val="74343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Century Gothic" panose="020B0502020202020204" pitchFamily="34" charset="0"/>
              </a:defRPr>
            </a:pPr>
            <a:endParaRPr lang="fr-FR"/>
          </a:p>
        </c:txPr>
        <c:crossAx val="74344704"/>
        <c:crosses val="autoZero"/>
        <c:auto val="1"/>
        <c:lblAlgn val="ctr"/>
        <c:lblOffset val="100"/>
        <c:noMultiLvlLbl val="0"/>
      </c:catAx>
      <c:valAx>
        <c:axId val="74344704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74343168"/>
        <c:crosses val="autoZero"/>
        <c:crossBetween val="between"/>
      </c:valAx>
    </c:plotArea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30480</xdr:rowOff>
    </xdr:from>
    <xdr:to>
      <xdr:col>2</xdr:col>
      <xdr:colOff>292948</xdr:colOff>
      <xdr:row>5</xdr:row>
      <xdr:rowOff>99242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13360"/>
          <a:ext cx="3691468" cy="800282"/>
        </a:xfrm>
        <a:prstGeom prst="rect">
          <a:avLst/>
        </a:prstGeom>
      </xdr:spPr>
    </xdr:pic>
    <xdr:clientData/>
  </xdr:twoCellAnchor>
  <xdr:oneCellAnchor>
    <xdr:from>
      <xdr:col>1</xdr:col>
      <xdr:colOff>30480</xdr:colOff>
      <xdr:row>9</xdr:row>
      <xdr:rowOff>175260</xdr:rowOff>
    </xdr:from>
    <xdr:ext cx="5455920" cy="1355589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3460" y="2087880"/>
          <a:ext cx="5455920" cy="1355589"/>
        </a:xfrm>
        <a:prstGeom prst="rect">
          <a:avLst/>
        </a:prstGeom>
      </xdr:spPr>
    </xdr:pic>
    <xdr:clientData/>
  </xdr:oneCellAnchor>
  <xdr:twoCellAnchor editAs="oneCell">
    <xdr:from>
      <xdr:col>1</xdr:col>
      <xdr:colOff>2453641</xdr:colOff>
      <xdr:row>34</xdr:row>
      <xdr:rowOff>91441</xdr:rowOff>
    </xdr:from>
    <xdr:to>
      <xdr:col>5</xdr:col>
      <xdr:colOff>322181</xdr:colOff>
      <xdr:row>38</xdr:row>
      <xdr:rowOff>15241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99A00506-B203-495A-A085-6C8F8266A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36621" y="7635241"/>
          <a:ext cx="2905360" cy="716280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84</xdr:row>
      <xdr:rowOff>22860</xdr:rowOff>
    </xdr:from>
    <xdr:to>
      <xdr:col>2</xdr:col>
      <xdr:colOff>426721</xdr:colOff>
      <xdr:row>88</xdr:row>
      <xdr:rowOff>166485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7C6735C9-AA4D-4973-A39A-4DD2A970D40A}"/>
            </a:ext>
          </a:extLst>
        </xdr:cNvPr>
        <xdr:cNvGrpSpPr/>
      </xdr:nvGrpSpPr>
      <xdr:grpSpPr>
        <a:xfrm>
          <a:off x="982981" y="18127980"/>
          <a:ext cx="2887980" cy="875145"/>
          <a:chOff x="982981" y="17807940"/>
          <a:chExt cx="2887980" cy="875145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F5632C01-B440-49A7-94D4-099C2AD265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982981" y="17807940"/>
            <a:ext cx="2887980" cy="875145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B2CE83D4-6E0E-4E23-8BCF-E4CBB6294B46}"/>
              </a:ext>
            </a:extLst>
          </xdr:cNvPr>
          <xdr:cNvSpPr/>
        </xdr:nvSpPr>
        <xdr:spPr>
          <a:xfrm>
            <a:off x="1005840" y="18379440"/>
            <a:ext cx="2644140" cy="25146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7620</xdr:colOff>
      <xdr:row>91</xdr:row>
      <xdr:rowOff>144780</xdr:rowOff>
    </xdr:from>
    <xdr:to>
      <xdr:col>5</xdr:col>
      <xdr:colOff>746760</xdr:colOff>
      <xdr:row>97</xdr:row>
      <xdr:rowOff>101546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D0C54662-AA27-4A97-8DCF-4564B2A97DD9}"/>
            </a:ext>
          </a:extLst>
        </xdr:cNvPr>
        <xdr:cNvGrpSpPr/>
      </xdr:nvGrpSpPr>
      <xdr:grpSpPr>
        <a:xfrm>
          <a:off x="990600" y="19537680"/>
          <a:ext cx="5775960" cy="1206446"/>
          <a:chOff x="990600" y="19217640"/>
          <a:chExt cx="5775960" cy="1206446"/>
        </a:xfrm>
      </xdr:grpSpPr>
      <xdr:grpSp>
        <xdr:nvGrpSpPr>
          <xdr:cNvPr id="27" name="Groupe 26">
            <a:extLst>
              <a:ext uri="{FF2B5EF4-FFF2-40B4-BE49-F238E27FC236}">
                <a16:creationId xmlns:a16="http://schemas.microsoft.com/office/drawing/2014/main" id="{7BAE6A80-7C87-45EB-8C03-E1D2C0C00F43}"/>
              </a:ext>
            </a:extLst>
          </xdr:cNvPr>
          <xdr:cNvGrpSpPr/>
        </xdr:nvGrpSpPr>
        <xdr:grpSpPr>
          <a:xfrm>
            <a:off x="990600" y="19400521"/>
            <a:ext cx="2887980" cy="640079"/>
            <a:chOff x="967740" y="19156681"/>
            <a:chExt cx="2887980" cy="640079"/>
          </a:xfrm>
        </xdr:grpSpPr>
        <xdr:grpSp>
          <xdr:nvGrpSpPr>
            <xdr:cNvPr id="23" name="Groupe 22">
              <a:extLst>
                <a:ext uri="{FF2B5EF4-FFF2-40B4-BE49-F238E27FC236}">
                  <a16:creationId xmlns:a16="http://schemas.microsoft.com/office/drawing/2014/main" id="{F05FB493-BA77-41CE-B53E-E134E4BA31D1}"/>
                </a:ext>
              </a:extLst>
            </xdr:cNvPr>
            <xdr:cNvGrpSpPr/>
          </xdr:nvGrpSpPr>
          <xdr:grpSpPr>
            <a:xfrm>
              <a:off x="967740" y="19156681"/>
              <a:ext cx="2887980" cy="640079"/>
              <a:chOff x="944881" y="17907001"/>
              <a:chExt cx="2887980" cy="640079"/>
            </a:xfrm>
          </xdr:grpSpPr>
          <xdr:pic>
            <xdr:nvPicPr>
              <xdr:cNvPr id="24" name="Image 23">
                <a:extLst>
                  <a:ext uri="{FF2B5EF4-FFF2-40B4-BE49-F238E27FC236}">
                    <a16:creationId xmlns:a16="http://schemas.microsoft.com/office/drawing/2014/main" id="{5496186D-55E9-45BE-A6C0-6505CDEE088B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/>
              <a:srcRect b="30343"/>
              <a:stretch/>
            </xdr:blipFill>
            <xdr:spPr>
              <a:xfrm>
                <a:off x="944881" y="17907001"/>
                <a:ext cx="2887980" cy="609600"/>
              </a:xfrm>
              <a:prstGeom prst="rect">
                <a:avLst/>
              </a:prstGeom>
            </xdr:spPr>
          </xdr:pic>
          <xdr:sp macro="" textlink="">
            <xdr:nvSpPr>
              <xdr:cNvPr id="25" name="Rectangle 24">
                <a:extLst>
                  <a:ext uri="{FF2B5EF4-FFF2-40B4-BE49-F238E27FC236}">
                    <a16:creationId xmlns:a16="http://schemas.microsoft.com/office/drawing/2014/main" id="{375415FA-56E5-4865-B145-8636A44C1312}"/>
                  </a:ext>
                </a:extLst>
              </xdr:cNvPr>
              <xdr:cNvSpPr/>
            </xdr:nvSpPr>
            <xdr:spPr>
              <a:xfrm>
                <a:off x="975360" y="18295620"/>
                <a:ext cx="2644140" cy="251460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645C675A-E4B6-40AE-84D0-D36DA6CB3B23}"/>
                </a:ext>
              </a:extLst>
            </xdr:cNvPr>
            <xdr:cNvSpPr/>
          </xdr:nvSpPr>
          <xdr:spPr>
            <a:xfrm>
              <a:off x="3566160" y="19194780"/>
              <a:ext cx="266700" cy="274320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30" name="Groupe 29">
            <a:extLst>
              <a:ext uri="{FF2B5EF4-FFF2-40B4-BE49-F238E27FC236}">
                <a16:creationId xmlns:a16="http://schemas.microsoft.com/office/drawing/2014/main" id="{9412D895-86CD-4862-92DA-3B70FE745F04}"/>
              </a:ext>
            </a:extLst>
          </xdr:cNvPr>
          <xdr:cNvGrpSpPr/>
        </xdr:nvGrpSpPr>
        <xdr:grpSpPr>
          <a:xfrm>
            <a:off x="4815840" y="19217640"/>
            <a:ext cx="1950720" cy="1206446"/>
            <a:chOff x="4815840" y="19217640"/>
            <a:chExt cx="1950720" cy="1206446"/>
          </a:xfrm>
        </xdr:grpSpPr>
        <xdr:pic>
          <xdr:nvPicPr>
            <xdr:cNvPr id="28" name="Image 27">
              <a:extLst>
                <a:ext uri="{FF2B5EF4-FFF2-40B4-BE49-F238E27FC236}">
                  <a16:creationId xmlns:a16="http://schemas.microsoft.com/office/drawing/2014/main" id="{3A53B607-A6F0-4413-A70D-FA474E77B0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815840" y="19217640"/>
              <a:ext cx="1950720" cy="1206446"/>
            </a:xfrm>
            <a:prstGeom prst="rect">
              <a:avLst/>
            </a:prstGeom>
          </xdr:spPr>
        </xdr:pic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240F336A-002D-497A-86E9-679F771D9457}"/>
                </a:ext>
              </a:extLst>
            </xdr:cNvPr>
            <xdr:cNvSpPr/>
          </xdr:nvSpPr>
          <xdr:spPr>
            <a:xfrm>
              <a:off x="5334000" y="20132040"/>
              <a:ext cx="655320" cy="243840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1" name="Flèche : droite 30">
            <a:extLst>
              <a:ext uri="{FF2B5EF4-FFF2-40B4-BE49-F238E27FC236}">
                <a16:creationId xmlns:a16="http://schemas.microsoft.com/office/drawing/2014/main" id="{D727732D-CE66-419D-804B-36E94AB830D8}"/>
              </a:ext>
            </a:extLst>
          </xdr:cNvPr>
          <xdr:cNvSpPr/>
        </xdr:nvSpPr>
        <xdr:spPr>
          <a:xfrm>
            <a:off x="4107180" y="19598640"/>
            <a:ext cx="388620" cy="28194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1</xdr:col>
      <xdr:colOff>76200</xdr:colOff>
      <xdr:row>76</xdr:row>
      <xdr:rowOff>144781</xdr:rowOff>
    </xdr:from>
    <xdr:to>
      <xdr:col>8</xdr:col>
      <xdr:colOff>937260</xdr:colOff>
      <xdr:row>81</xdr:row>
      <xdr:rowOff>113363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90D99845-EB05-43F4-96D4-D2E2EB38C0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30787"/>
        <a:stretch/>
      </xdr:blipFill>
      <xdr:spPr>
        <a:xfrm>
          <a:off x="1059180" y="16680181"/>
          <a:ext cx="8252460" cy="95918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7</xdr:col>
      <xdr:colOff>434340</xdr:colOff>
      <xdr:row>32</xdr:row>
      <xdr:rowOff>268086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8FBA8CCC-F118-40C3-A224-A80F7EB58F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62574"/>
        <a:stretch/>
      </xdr:blipFill>
      <xdr:spPr>
        <a:xfrm>
          <a:off x="3444240" y="6271260"/>
          <a:ext cx="4579620" cy="984366"/>
        </a:xfrm>
        <a:prstGeom prst="rect">
          <a:avLst/>
        </a:prstGeom>
      </xdr:spPr>
    </xdr:pic>
    <xdr:clientData/>
  </xdr:twoCellAnchor>
  <xdr:twoCellAnchor>
    <xdr:from>
      <xdr:col>0</xdr:col>
      <xdr:colOff>960120</xdr:colOff>
      <xdr:row>49</xdr:row>
      <xdr:rowOff>27546</xdr:rowOff>
    </xdr:from>
    <xdr:to>
      <xdr:col>10</xdr:col>
      <xdr:colOff>653363</xdr:colOff>
      <xdr:row>67</xdr:row>
      <xdr:rowOff>12622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BCC28715-4DF4-4896-9A47-B131A4F01FEC}"/>
            </a:ext>
          </a:extLst>
        </xdr:cNvPr>
        <xdr:cNvGrpSpPr/>
      </xdr:nvGrpSpPr>
      <xdr:grpSpPr>
        <a:xfrm>
          <a:off x="960120" y="10847946"/>
          <a:ext cx="10102163" cy="3680776"/>
          <a:chOff x="960120" y="10847946"/>
          <a:chExt cx="10102163" cy="3680776"/>
        </a:xfrm>
      </xdr:grpSpPr>
      <xdr:pic>
        <xdr:nvPicPr>
          <xdr:cNvPr id="4" name="Image 3">
            <a:extLst>
              <a:ext uri="{FF2B5EF4-FFF2-40B4-BE49-F238E27FC236}">
                <a16:creationId xmlns:a16="http://schemas.microsoft.com/office/drawing/2014/main" id="{0516532A-4BA1-4874-B26F-AE2654F28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960120" y="10847946"/>
            <a:ext cx="10102163" cy="3680776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BC85430D-9E2F-424F-8529-3277E2654EFA}"/>
              </a:ext>
            </a:extLst>
          </xdr:cNvPr>
          <xdr:cNvSpPr/>
        </xdr:nvSpPr>
        <xdr:spPr>
          <a:xfrm>
            <a:off x="3756660" y="11643360"/>
            <a:ext cx="7155180" cy="251460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1</xdr:col>
      <xdr:colOff>2415541</xdr:colOff>
      <xdr:row>40</xdr:row>
      <xdr:rowOff>76200</xdr:rowOff>
    </xdr:from>
    <xdr:to>
      <xdr:col>5</xdr:col>
      <xdr:colOff>358141</xdr:colOff>
      <xdr:row>44</xdr:row>
      <xdr:rowOff>129441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3F96BFDF-602D-4895-BA82-268189142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98521" y="8602980"/>
          <a:ext cx="2979420" cy="845721"/>
        </a:xfrm>
        <a:prstGeom prst="rect">
          <a:avLst/>
        </a:prstGeom>
      </xdr:spPr>
    </xdr:pic>
    <xdr:clientData/>
  </xdr:twoCellAnchor>
  <xdr:twoCellAnchor editAs="oneCell">
    <xdr:from>
      <xdr:col>9</xdr:col>
      <xdr:colOff>183121</xdr:colOff>
      <xdr:row>76</xdr:row>
      <xdr:rowOff>99061</xdr:rowOff>
    </xdr:from>
    <xdr:to>
      <xdr:col>12</xdr:col>
      <xdr:colOff>365303</xdr:colOff>
      <xdr:row>80</xdr:row>
      <xdr:rowOff>106681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80FAF228-7D12-4D36-ACF4-C76F631D6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525241" y="16634461"/>
          <a:ext cx="2818702" cy="80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11372</xdr:colOff>
      <xdr:row>14</xdr:row>
      <xdr:rowOff>108856</xdr:rowOff>
    </xdr:from>
    <xdr:to>
      <xdr:col>9</xdr:col>
      <xdr:colOff>1978926</xdr:colOff>
      <xdr:row>53</xdr:row>
      <xdr:rowOff>90985</xdr:rowOff>
    </xdr:to>
    <xdr:graphicFrame macro="">
      <xdr:nvGraphicFramePr>
        <xdr:cNvPr id="12" name="Chart 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3631</xdr:colOff>
      <xdr:row>53</xdr:row>
      <xdr:rowOff>154063</xdr:rowOff>
    </xdr:from>
    <xdr:to>
      <xdr:col>3</xdr:col>
      <xdr:colOff>905908</xdr:colOff>
      <xdr:row>61</xdr:row>
      <xdr:rowOff>108887</xdr:rowOff>
    </xdr:to>
    <xdr:graphicFrame macro="">
      <xdr:nvGraphicFramePr>
        <xdr:cNvPr id="13" name="Chart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1385205</xdr:colOff>
      <xdr:row>54</xdr:row>
      <xdr:rowOff>5725</xdr:rowOff>
    </xdr:from>
    <xdr:to>
      <xdr:col>9</xdr:col>
      <xdr:colOff>1983920</xdr:colOff>
      <xdr:row>61</xdr:row>
      <xdr:rowOff>119772</xdr:rowOff>
    </xdr:to>
    <xdr:graphicFrame macro="">
      <xdr:nvGraphicFramePr>
        <xdr:cNvPr id="14" name="Chart 1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1091293</xdr:colOff>
      <xdr:row>53</xdr:row>
      <xdr:rowOff>154063</xdr:rowOff>
    </xdr:from>
    <xdr:to>
      <xdr:col>6</xdr:col>
      <xdr:colOff>1213756</xdr:colOff>
      <xdr:row>61</xdr:row>
      <xdr:rowOff>120982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</xdr:colOff>
      <xdr:row>0</xdr:row>
      <xdr:rowOff>1</xdr:rowOff>
    </xdr:from>
    <xdr:to>
      <xdr:col>2</xdr:col>
      <xdr:colOff>716910</xdr:colOff>
      <xdr:row>3</xdr:row>
      <xdr:rowOff>122583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989302" cy="636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993322</xdr:colOff>
      <xdr:row>2</xdr:row>
      <xdr:rowOff>137848</xdr:rowOff>
    </xdr:from>
    <xdr:to>
      <xdr:col>6</xdr:col>
      <xdr:colOff>1309487</xdr:colOff>
      <xdr:row>4</xdr:row>
      <xdr:rowOff>108858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7157358" y="546062"/>
          <a:ext cx="4207808" cy="379225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Project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27286</xdr:colOff>
      <xdr:row>39</xdr:row>
      <xdr:rowOff>5300</xdr:rowOff>
    </xdr:from>
    <xdr:to>
      <xdr:col>2</xdr:col>
      <xdr:colOff>210166</xdr:colOff>
      <xdr:row>40</xdr:row>
      <xdr:rowOff>24406</xdr:rowOff>
    </xdr:to>
    <xdr:pic macro="[0]!Delete1">
      <xdr:nvPicPr>
        <xdr:cNvPr id="2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4415041" y="7375091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34117</xdr:colOff>
      <xdr:row>38</xdr:row>
      <xdr:rowOff>162249</xdr:rowOff>
    </xdr:from>
    <xdr:to>
      <xdr:col>5</xdr:col>
      <xdr:colOff>216997</xdr:colOff>
      <xdr:row>40</xdr:row>
      <xdr:rowOff>17582</xdr:rowOff>
    </xdr:to>
    <xdr:pic macro="[0]!Delete2">
      <xdr:nvPicPr>
        <xdr:cNvPr id="6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7990762" y="7866410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34118</xdr:colOff>
      <xdr:row>39</xdr:row>
      <xdr:rowOff>5300</xdr:rowOff>
    </xdr:from>
    <xdr:to>
      <xdr:col>9</xdr:col>
      <xdr:colOff>216998</xdr:colOff>
      <xdr:row>40</xdr:row>
      <xdr:rowOff>24406</xdr:rowOff>
    </xdr:to>
    <xdr:pic macro="[0]!Delete3">
      <xdr:nvPicPr>
        <xdr:cNvPr id="8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11293521" y="7375091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H40:I43" totalsRowShown="0" headerRowBorderDxfId="21" tableBorderDxfId="20" totalsRowBorderDxfId="19">
  <autoFilter ref="H40:I43" xr:uid="{00000000-0009-0000-0100-000002000000}">
    <filterColumn colId="0" hiddenButton="1"/>
    <filterColumn colId="1" hiddenButton="1"/>
  </autoFilter>
  <tableColumns count="2">
    <tableColumn id="1" xr3:uid="{00000000-0010-0000-0000-000001000000}" name="Current elements" dataDxfId="18"/>
    <tableColumn id="2" xr3:uid="{00000000-0010-0000-0000-000002000000}" name="Number of items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D40:E42" totalsRowShown="0" headerRowDxfId="17" headerRowBorderDxfId="16" tableBorderDxfId="15" totalsRowBorderDxfId="14">
  <autoFilter ref="D40:E42" xr:uid="{00000000-0009-0000-0100-000003000000}">
    <filterColumn colId="0" hiddenButton="1"/>
    <filterColumn colId="1" hiddenButton="1"/>
  </autoFilter>
  <tableColumns count="2">
    <tableColumn id="1" xr3:uid="{00000000-0010-0000-0100-000001000000}" name="Budget" dataDxfId="13"/>
    <tableColumn id="2" xr3:uid="{00000000-0010-0000-0100-000002000000}" name="In Euro" dataDxfId="12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au4" displayName="Tableau4" ref="A40:B44" totalsRowShown="0" headerRowBorderDxfId="11" tableBorderDxfId="10" totalsRowBorderDxfId="9">
  <autoFilter ref="A40:B44" xr:uid="{00000000-0009-0000-0100-000004000000}">
    <filterColumn colId="0" hiddenButton="1"/>
    <filterColumn colId="1" hiddenButton="1"/>
  </autoFilter>
  <tableColumns count="2">
    <tableColumn id="1" xr3:uid="{00000000-0010-0000-0200-000001000000}" name="Percentage of completed tasks"/>
    <tableColumn id="2" xr3:uid="{00000000-0010-0000-0200-000002000000}" name="%" dataDxfId="8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8:R99"/>
  <sheetViews>
    <sheetView topLeftCell="A16" workbookViewId="0">
      <selection activeCell="A29" sqref="A29"/>
    </sheetView>
  </sheetViews>
  <sheetFormatPr baseColWidth="10" defaultColWidth="11.44140625" defaultRowHeight="14.4" x14ac:dyDescent="0.3"/>
  <cols>
    <col min="1" max="1" width="14.33203125" style="73" customWidth="1"/>
    <col min="2" max="2" width="35.88671875" style="73" customWidth="1"/>
    <col min="3" max="3" width="14.6640625" style="73" customWidth="1"/>
    <col min="4" max="8" width="11.44140625" style="73"/>
    <col min="9" max="9" width="14.109375" style="73" bestFit="1" customWidth="1"/>
    <col min="10" max="10" width="15.5546875" style="73" bestFit="1" customWidth="1"/>
    <col min="11" max="12" width="11.44140625" style="73"/>
    <col min="13" max="13" width="10.88671875" style="73" customWidth="1"/>
    <col min="14" max="16384" width="11.44140625" style="73"/>
  </cols>
  <sheetData>
    <row r="8" spans="2:2" ht="21" x14ac:dyDescent="0.4">
      <c r="B8" s="72" t="s">
        <v>108</v>
      </c>
    </row>
    <row r="9" spans="2:2" x14ac:dyDescent="0.3">
      <c r="B9" s="48" t="s">
        <v>16</v>
      </c>
    </row>
    <row r="11" spans="2:2" x14ac:dyDescent="0.3">
      <c r="B11" s="43"/>
    </row>
    <row r="12" spans="2:2" x14ac:dyDescent="0.3">
      <c r="B12" s="43"/>
    </row>
    <row r="13" spans="2:2" x14ac:dyDescent="0.3">
      <c r="B13" s="43"/>
    </row>
    <row r="14" spans="2:2" x14ac:dyDescent="0.3">
      <c r="B14" s="43"/>
    </row>
    <row r="15" spans="2:2" x14ac:dyDescent="0.3">
      <c r="B15" s="43"/>
    </row>
    <row r="16" spans="2:2" ht="13.95" x14ac:dyDescent="0.3">
      <c r="B16" s="43"/>
    </row>
    <row r="17" spans="1:18" ht="15.6" x14ac:dyDescent="0.35">
      <c r="B17" s="43"/>
      <c r="H17" s="74"/>
      <c r="I17" s="74"/>
      <c r="J17" s="74"/>
      <c r="K17" s="74"/>
      <c r="L17" s="74"/>
      <c r="M17" s="74"/>
    </row>
    <row r="18" spans="1:18" ht="13.95" x14ac:dyDescent="0.3">
      <c r="B18" s="43"/>
    </row>
    <row r="19" spans="1:18" ht="13.95" x14ac:dyDescent="0.3">
      <c r="B19" s="43"/>
    </row>
    <row r="20" spans="1:18" ht="21" x14ac:dyDescent="0.3">
      <c r="B20" s="68" t="s">
        <v>106</v>
      </c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</row>
    <row r="21" spans="1:18" ht="15.6" x14ac:dyDescent="0.35">
      <c r="B21" s="45" t="s">
        <v>17</v>
      </c>
      <c r="C21" s="44"/>
      <c r="D21" s="44"/>
      <c r="E21" s="44"/>
      <c r="F21" s="44"/>
    </row>
    <row r="22" spans="1:18" ht="15.6" x14ac:dyDescent="0.35">
      <c r="A22" s="76"/>
      <c r="B22" s="44" t="s">
        <v>18</v>
      </c>
      <c r="C22" s="77"/>
      <c r="D22" s="44"/>
      <c r="E22" s="44"/>
      <c r="F22" s="44"/>
    </row>
    <row r="23" spans="1:18" ht="15.6" x14ac:dyDescent="0.35">
      <c r="A23" s="76"/>
      <c r="B23" s="45" t="s">
        <v>19</v>
      </c>
      <c r="C23" s="44" t="s">
        <v>24</v>
      </c>
      <c r="D23" s="44"/>
      <c r="E23" s="44"/>
      <c r="F23" s="44"/>
    </row>
    <row r="24" spans="1:18" ht="15.6" x14ac:dyDescent="0.35">
      <c r="B24" s="45" t="s">
        <v>110</v>
      </c>
      <c r="C24" s="89" t="s">
        <v>25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</row>
    <row r="25" spans="1:18" ht="15.6" x14ac:dyDescent="0.35">
      <c r="B25" s="45" t="s">
        <v>20</v>
      </c>
      <c r="C25" s="90" t="s">
        <v>26</v>
      </c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74"/>
      <c r="R25" s="74"/>
    </row>
    <row r="26" spans="1:18" ht="15.6" x14ac:dyDescent="0.35">
      <c r="B26" s="45" t="s">
        <v>21</v>
      </c>
      <c r="C26" s="90" t="s">
        <v>27</v>
      </c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74"/>
      <c r="R26" s="74"/>
    </row>
    <row r="27" spans="1:18" ht="15.6" x14ac:dyDescent="0.35">
      <c r="B27" s="45" t="s">
        <v>22</v>
      </c>
      <c r="C27" s="77" t="s">
        <v>28</v>
      </c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</row>
    <row r="28" spans="1:18" ht="15.6" x14ac:dyDescent="0.35">
      <c r="B28" s="45" t="s">
        <v>23</v>
      </c>
      <c r="C28" s="77" t="s">
        <v>86</v>
      </c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</row>
    <row r="29" spans="1:18" ht="15.6" x14ac:dyDescent="0.3">
      <c r="B29" s="45"/>
      <c r="C29" s="77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</row>
    <row r="30" spans="1:18" ht="36.6" customHeight="1" x14ac:dyDescent="0.3">
      <c r="B30" s="46" t="s">
        <v>29</v>
      </c>
      <c r="C30" s="91" t="s">
        <v>87</v>
      </c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74"/>
      <c r="P30" s="74"/>
      <c r="Q30" s="74"/>
      <c r="R30" s="74"/>
    </row>
    <row r="31" spans="1:18" ht="28.2" customHeight="1" x14ac:dyDescent="0.3">
      <c r="B31" s="46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4"/>
      <c r="P31" s="74"/>
      <c r="Q31" s="74"/>
      <c r="R31" s="74"/>
    </row>
    <row r="32" spans="1:18" ht="28.2" customHeight="1" x14ac:dyDescent="0.3">
      <c r="B32" s="46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4"/>
      <c r="P32" s="74"/>
      <c r="Q32" s="74"/>
      <c r="R32" s="74"/>
    </row>
    <row r="33" spans="2:18" ht="28.2" customHeight="1" x14ac:dyDescent="0.3">
      <c r="B33" s="46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4"/>
      <c r="P33" s="74"/>
      <c r="Q33" s="74"/>
      <c r="R33" s="74"/>
    </row>
    <row r="34" spans="2:18" ht="15.6" x14ac:dyDescent="0.3">
      <c r="B34" s="45" t="s">
        <v>14</v>
      </c>
      <c r="C34" s="77" t="s">
        <v>89</v>
      </c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</row>
    <row r="35" spans="2:18" ht="15.6" x14ac:dyDescent="0.3">
      <c r="B35" s="45"/>
      <c r="C35" s="77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</row>
    <row r="36" spans="2:18" ht="15.6" x14ac:dyDescent="0.35">
      <c r="B36" s="45"/>
      <c r="C36" s="77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</row>
    <row r="37" spans="2:18" ht="15.6" x14ac:dyDescent="0.35">
      <c r="B37" s="45"/>
      <c r="C37" s="77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</row>
    <row r="38" spans="2:18" ht="15.6" x14ac:dyDescent="0.35">
      <c r="B38" s="45"/>
      <c r="C38" s="77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</row>
    <row r="39" spans="2:18" ht="15.6" x14ac:dyDescent="0.35">
      <c r="B39" s="45"/>
      <c r="C39" s="77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</row>
    <row r="40" spans="2:18" ht="15.6" x14ac:dyDescent="0.3">
      <c r="B40" s="45" t="s">
        <v>30</v>
      </c>
      <c r="C40" s="77" t="s">
        <v>31</v>
      </c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</row>
    <row r="41" spans="2:18" ht="15.6" x14ac:dyDescent="0.3">
      <c r="B41" s="45"/>
      <c r="C41" s="77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</row>
    <row r="42" spans="2:18" ht="15.6" x14ac:dyDescent="0.3">
      <c r="B42" s="77"/>
      <c r="C42" s="77"/>
      <c r="D42" s="74"/>
      <c r="E42" s="74"/>
      <c r="F42" s="74"/>
      <c r="G42" s="74"/>
      <c r="H42" s="74"/>
      <c r="I42" s="74"/>
      <c r="J42" s="74"/>
      <c r="K42" s="74"/>
      <c r="L42" s="74"/>
      <c r="M42" s="79"/>
      <c r="N42" s="74"/>
      <c r="O42" s="74"/>
      <c r="P42" s="74"/>
      <c r="Q42" s="74"/>
      <c r="R42" s="74"/>
    </row>
    <row r="43" spans="2:18" ht="15.6" x14ac:dyDescent="0.3">
      <c r="B43" s="77"/>
      <c r="C43" s="77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</row>
    <row r="44" spans="2:18" ht="15.6" x14ac:dyDescent="0.3">
      <c r="B44" s="77"/>
      <c r="C44" s="77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</row>
    <row r="45" spans="2:18" ht="15.6" x14ac:dyDescent="0.3">
      <c r="B45" s="45"/>
      <c r="C45" s="77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</row>
    <row r="46" spans="2:18" ht="15.6" x14ac:dyDescent="0.3">
      <c r="B46" s="45"/>
      <c r="C46" s="77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</row>
    <row r="47" spans="2:18" ht="20.100000000000001" customHeight="1" x14ac:dyDescent="0.3">
      <c r="B47" s="45" t="s">
        <v>32</v>
      </c>
      <c r="C47" s="77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</row>
    <row r="48" spans="2:18" ht="36" customHeight="1" x14ac:dyDescent="0.3">
      <c r="B48" s="70" t="s">
        <v>90</v>
      </c>
      <c r="C48" s="77"/>
      <c r="O48" s="69"/>
      <c r="P48" s="69"/>
      <c r="Q48" s="74"/>
      <c r="R48" s="74"/>
    </row>
    <row r="49" spans="2:18" ht="31.2" customHeight="1" x14ac:dyDescent="0.3">
      <c r="B49" s="92" t="s">
        <v>91</v>
      </c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69"/>
      <c r="P49" s="69"/>
      <c r="Q49" s="74"/>
      <c r="R49" s="74"/>
    </row>
    <row r="50" spans="2:18" ht="36" customHeight="1" x14ac:dyDescent="0.3">
      <c r="O50" s="47"/>
      <c r="P50" s="47"/>
      <c r="Q50" s="74"/>
      <c r="R50" s="74"/>
    </row>
    <row r="51" spans="2:18" ht="15.6" x14ac:dyDescent="0.3">
      <c r="B51" s="45"/>
      <c r="C51" s="77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</row>
    <row r="52" spans="2:18" ht="15.6" x14ac:dyDescent="0.3">
      <c r="B52" s="45"/>
      <c r="C52" s="77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</row>
    <row r="53" spans="2:18" ht="15.6" x14ac:dyDescent="0.3">
      <c r="B53" s="46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</row>
    <row r="54" spans="2:18" ht="15.6" x14ac:dyDescent="0.3">
      <c r="B54" s="46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</row>
    <row r="55" spans="2:18" ht="15.6" x14ac:dyDescent="0.3">
      <c r="B55" s="46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</row>
    <row r="56" spans="2:18" ht="15.6" x14ac:dyDescent="0.3">
      <c r="B56" s="46"/>
      <c r="C56" s="87"/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</row>
    <row r="57" spans="2:18" ht="15.6" x14ac:dyDescent="0.3">
      <c r="B57" s="46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2:18" ht="15.6" x14ac:dyDescent="0.3">
      <c r="B58" s="46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</row>
    <row r="59" spans="2:18" x14ac:dyDescent="0.3">
      <c r="B59" s="76"/>
    </row>
    <row r="60" spans="2:18" ht="15.6" x14ac:dyDescent="0.3">
      <c r="B60" s="44"/>
    </row>
    <row r="61" spans="2:18" ht="15.6" x14ac:dyDescent="0.3">
      <c r="B61" s="44"/>
    </row>
    <row r="62" spans="2:18" ht="15.6" x14ac:dyDescent="0.3">
      <c r="B62" s="44"/>
    </row>
    <row r="63" spans="2:18" ht="15.6" x14ac:dyDescent="0.3">
      <c r="B63" s="44"/>
    </row>
    <row r="64" spans="2:18" ht="15.6" x14ac:dyDescent="0.3">
      <c r="B64" s="44"/>
    </row>
    <row r="65" spans="2:16" ht="12.6" customHeight="1" x14ac:dyDescent="0.3">
      <c r="B65" s="46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90"/>
    </row>
    <row r="66" spans="2:16" ht="12.6" customHeight="1" x14ac:dyDescent="0.3">
      <c r="B66" s="46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</row>
    <row r="67" spans="2:16" ht="12.6" customHeight="1" x14ac:dyDescent="0.3">
      <c r="B67" s="46"/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</row>
    <row r="68" spans="2:16" ht="12.6" customHeight="1" x14ac:dyDescent="0.3">
      <c r="B68" s="46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</row>
    <row r="69" spans="2:16" ht="21" x14ac:dyDescent="0.3">
      <c r="B69" s="88" t="s">
        <v>107</v>
      </c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</row>
    <row r="70" spans="2:16" ht="21" x14ac:dyDescent="0.3">
      <c r="B70" s="80" t="s">
        <v>33</v>
      </c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</row>
    <row r="71" spans="2:16" ht="21" x14ac:dyDescent="0.3">
      <c r="B71" s="44" t="s">
        <v>96</v>
      </c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</row>
    <row r="72" spans="2:16" ht="21" x14ac:dyDescent="0.3">
      <c r="B72" s="44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</row>
    <row r="73" spans="2:16" ht="15.6" x14ac:dyDescent="0.3">
      <c r="B73" s="45" t="s">
        <v>34</v>
      </c>
      <c r="C73" s="77"/>
    </row>
    <row r="74" spans="2:16" ht="15.6" x14ac:dyDescent="0.3">
      <c r="B74" s="77" t="s">
        <v>97</v>
      </c>
    </row>
    <row r="75" spans="2:16" ht="15.6" x14ac:dyDescent="0.3">
      <c r="B75" s="77" t="s">
        <v>35</v>
      </c>
    </row>
    <row r="76" spans="2:16" ht="15.6" x14ac:dyDescent="0.3">
      <c r="B76" s="77" t="s">
        <v>36</v>
      </c>
      <c r="D76" s="77"/>
    </row>
    <row r="77" spans="2:16" ht="15.6" x14ac:dyDescent="0.3">
      <c r="B77" s="46"/>
      <c r="C77" s="77"/>
      <c r="D77" s="77"/>
    </row>
    <row r="78" spans="2:16" ht="15.6" x14ac:dyDescent="0.3">
      <c r="D78" s="77"/>
    </row>
    <row r="79" spans="2:16" ht="15.6" x14ac:dyDescent="0.3">
      <c r="D79" s="77"/>
    </row>
    <row r="80" spans="2:16" ht="15.6" x14ac:dyDescent="0.3">
      <c r="D80" s="77"/>
    </row>
    <row r="81" spans="2:4" ht="15.6" x14ac:dyDescent="0.3">
      <c r="D81" s="77"/>
    </row>
    <row r="82" spans="2:4" ht="15.6" x14ac:dyDescent="0.3">
      <c r="D82" s="77"/>
    </row>
    <row r="83" spans="2:4" ht="15.6" x14ac:dyDescent="0.3">
      <c r="B83" s="77" t="s">
        <v>98</v>
      </c>
    </row>
    <row r="89" spans="2:4" ht="20.399999999999999" customHeight="1" x14ac:dyDescent="0.3"/>
    <row r="90" spans="2:4" ht="15.6" x14ac:dyDescent="0.3">
      <c r="B90" s="77" t="s">
        <v>37</v>
      </c>
    </row>
    <row r="91" spans="2:4" ht="7.95" customHeight="1" x14ac:dyDescent="0.3"/>
    <row r="97" spans="2:2" ht="26.55" customHeight="1" x14ac:dyDescent="0.3"/>
    <row r="98" spans="2:2" ht="26.55" customHeight="1" x14ac:dyDescent="0.3"/>
    <row r="99" spans="2:2" ht="15.6" x14ac:dyDescent="0.3">
      <c r="B99" s="77" t="s">
        <v>83</v>
      </c>
    </row>
  </sheetData>
  <mergeCells count="8">
    <mergeCell ref="B69:N69"/>
    <mergeCell ref="C24:R24"/>
    <mergeCell ref="C25:P25"/>
    <mergeCell ref="C53:P53"/>
    <mergeCell ref="C65:P65"/>
    <mergeCell ref="C26:P26"/>
    <mergeCell ref="C30:N30"/>
    <mergeCell ref="B49:N4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64"/>
  <sheetViews>
    <sheetView showGridLines="0" topLeftCell="A22" zoomScale="69" zoomScaleNormal="69" workbookViewId="0"/>
  </sheetViews>
  <sheetFormatPr baseColWidth="10" defaultColWidth="12.5546875" defaultRowHeight="13.2" x14ac:dyDescent="0.25"/>
  <cols>
    <col min="1" max="1" width="4.88671875" style="13" customWidth="1"/>
    <col min="2" max="10" width="29.109375" style="13" customWidth="1"/>
    <col min="11" max="16384" width="12.5546875" style="13"/>
  </cols>
  <sheetData>
    <row r="1" spans="1:10" s="21" customFormat="1" ht="16.5" customHeight="1" x14ac:dyDescent="0.3"/>
    <row r="2" spans="1:10" s="21" customFormat="1" ht="16.5" customHeight="1" x14ac:dyDescent="0.3">
      <c r="B2" s="22"/>
      <c r="C2" s="22"/>
      <c r="D2" s="22"/>
      <c r="E2" s="22"/>
    </row>
    <row r="3" spans="1:10" s="21" customFormat="1" ht="16.5" customHeight="1" x14ac:dyDescent="0.3">
      <c r="B3" s="22"/>
      <c r="C3" s="22"/>
      <c r="D3" s="22"/>
      <c r="E3" s="22"/>
    </row>
    <row r="4" spans="1:10" s="21" customFormat="1" ht="16.5" customHeight="1" x14ac:dyDescent="0.3">
      <c r="B4" s="22"/>
      <c r="C4" s="22"/>
      <c r="D4" s="22"/>
      <c r="E4" s="22"/>
    </row>
    <row r="5" spans="1:10" s="21" customFormat="1" ht="16.5" customHeight="1" x14ac:dyDescent="0.3">
      <c r="C5" s="22"/>
      <c r="D5" s="22"/>
    </row>
    <row r="6" spans="1:10" s="25" customFormat="1" ht="21" customHeight="1" x14ac:dyDescent="0.35">
      <c r="B6" s="26" t="s">
        <v>38</v>
      </c>
      <c r="C6" s="93" t="s">
        <v>8</v>
      </c>
      <c r="D6" s="93"/>
      <c r="G6" s="27"/>
      <c r="H6" s="26" t="s">
        <v>42</v>
      </c>
      <c r="I6" s="94">
        <v>44694</v>
      </c>
      <c r="J6" s="95"/>
    </row>
    <row r="7" spans="1:10" s="25" customFormat="1" ht="5.0999999999999996" customHeight="1" x14ac:dyDescent="0.35">
      <c r="B7" s="29"/>
      <c r="C7" s="30"/>
      <c r="D7" s="30"/>
      <c r="G7" s="27"/>
      <c r="H7" s="29"/>
      <c r="J7" s="33"/>
    </row>
    <row r="8" spans="1:10" s="25" customFormat="1" ht="21" customHeight="1" x14ac:dyDescent="0.35">
      <c r="B8" s="28" t="s">
        <v>39</v>
      </c>
      <c r="C8" s="93" t="s">
        <v>111</v>
      </c>
      <c r="D8" s="93" t="s">
        <v>4</v>
      </c>
      <c r="G8" s="31"/>
      <c r="H8" s="28" t="s">
        <v>43</v>
      </c>
      <c r="I8" s="96">
        <v>44696</v>
      </c>
      <c r="J8" s="96"/>
    </row>
    <row r="9" spans="1:10" s="25" customFormat="1" ht="5.0999999999999996" customHeight="1" x14ac:dyDescent="0.35">
      <c r="B9" s="32"/>
      <c r="C9" s="30"/>
      <c r="D9" s="30"/>
      <c r="G9" s="27"/>
      <c r="H9" s="32"/>
      <c r="I9" s="34"/>
    </row>
    <row r="10" spans="1:10" s="25" customFormat="1" ht="21" customHeight="1" x14ac:dyDescent="0.35">
      <c r="B10" s="28" t="s">
        <v>40</v>
      </c>
      <c r="C10" s="93" t="s">
        <v>9</v>
      </c>
      <c r="D10" s="93" t="s">
        <v>5</v>
      </c>
      <c r="G10" s="31"/>
      <c r="H10" s="26" t="s">
        <v>44</v>
      </c>
      <c r="I10" s="97" t="s">
        <v>11</v>
      </c>
      <c r="J10" s="98"/>
    </row>
    <row r="11" spans="1:10" s="25" customFormat="1" ht="5.0999999999999996" customHeight="1" x14ac:dyDescent="0.35">
      <c r="B11" s="29"/>
      <c r="C11" s="30"/>
      <c r="D11" s="30"/>
      <c r="G11" s="27"/>
      <c r="H11" s="27"/>
      <c r="I11" s="27"/>
    </row>
    <row r="12" spans="1:10" s="25" customFormat="1" ht="21" customHeight="1" x14ac:dyDescent="0.35">
      <c r="B12" s="28" t="s">
        <v>41</v>
      </c>
      <c r="C12" s="93" t="s">
        <v>10</v>
      </c>
      <c r="D12" s="93" t="s">
        <v>6</v>
      </c>
      <c r="G12" s="31"/>
      <c r="H12" s="26" t="s">
        <v>45</v>
      </c>
      <c r="I12" s="99">
        <f>Data!B41</f>
        <v>0.12121212121212122</v>
      </c>
      <c r="J12" s="100"/>
    </row>
    <row r="13" spans="1:10" s="21" customFormat="1" ht="16.5" customHeight="1" thickBot="1" x14ac:dyDescent="0.35">
      <c r="A13" s="23"/>
      <c r="B13" s="24"/>
      <c r="E13" s="24"/>
      <c r="F13" s="24"/>
      <c r="G13" s="24"/>
      <c r="H13" s="24"/>
      <c r="I13" s="24"/>
      <c r="J13" s="24"/>
    </row>
    <row r="14" spans="1:10" s="21" customFormat="1" ht="18.75" customHeight="1" thickBot="1" x14ac:dyDescent="0.35">
      <c r="A14" s="23"/>
      <c r="B14" s="38" t="s">
        <v>82</v>
      </c>
      <c r="C14" s="35" t="s">
        <v>0</v>
      </c>
      <c r="D14" s="36" t="s">
        <v>49</v>
      </c>
      <c r="E14" s="37" t="s">
        <v>50</v>
      </c>
      <c r="F14" s="39" t="s">
        <v>99</v>
      </c>
    </row>
    <row r="15" spans="1:10" s="21" customFormat="1" ht="16.5" customHeight="1" x14ac:dyDescent="0.3">
      <c r="A15" s="23"/>
      <c r="B15" s="24"/>
      <c r="E15" s="24"/>
      <c r="F15" s="24"/>
      <c r="G15" s="24"/>
      <c r="H15" s="24"/>
      <c r="I15" s="24"/>
      <c r="J15" s="24"/>
    </row>
    <row r="16" spans="1:10" s="21" customFormat="1" ht="16.5" customHeight="1" x14ac:dyDescent="0.3">
      <c r="A16" s="23"/>
      <c r="B16" s="24"/>
      <c r="E16" s="24"/>
      <c r="F16" s="24"/>
      <c r="G16" s="24"/>
      <c r="H16" s="24"/>
      <c r="I16" s="24"/>
      <c r="J16" s="24"/>
    </row>
    <row r="17" spans="1:10" s="21" customFormat="1" ht="16.2" customHeight="1" x14ac:dyDescent="0.3">
      <c r="A17" s="23"/>
      <c r="B17" s="24"/>
      <c r="E17" s="24"/>
      <c r="F17" s="24"/>
      <c r="G17" s="24"/>
      <c r="H17" s="24"/>
      <c r="I17" s="24"/>
      <c r="J17" s="24"/>
    </row>
    <row r="18" spans="1:10" s="21" customFormat="1" ht="16.5" customHeight="1" x14ac:dyDescent="0.3">
      <c r="A18" s="23"/>
      <c r="B18" s="24"/>
      <c r="E18" s="24"/>
      <c r="F18" s="24"/>
      <c r="G18" s="24"/>
      <c r="H18" s="24"/>
      <c r="I18" s="24"/>
      <c r="J18" s="24"/>
    </row>
    <row r="19" spans="1:10" s="21" customFormat="1" ht="16.5" customHeight="1" x14ac:dyDescent="0.3">
      <c r="A19" s="23"/>
      <c r="B19" s="24"/>
      <c r="E19" s="24"/>
      <c r="F19" s="24"/>
      <c r="G19" s="24"/>
      <c r="H19" s="24"/>
      <c r="I19" s="24"/>
      <c r="J19" s="24"/>
    </row>
    <row r="20" spans="1:10" s="21" customFormat="1" ht="16.5" customHeight="1" x14ac:dyDescent="0.3">
      <c r="A20" s="23"/>
      <c r="B20" s="24"/>
      <c r="C20" s="24"/>
      <c r="D20" s="24"/>
      <c r="E20" s="24"/>
      <c r="F20" s="24"/>
      <c r="G20" s="24"/>
      <c r="H20" s="24"/>
      <c r="I20" s="24"/>
      <c r="J20" s="24"/>
    </row>
    <row r="21" spans="1:10" s="21" customFormat="1" ht="16.5" customHeight="1" x14ac:dyDescent="0.3">
      <c r="A21" s="23"/>
      <c r="B21" s="24"/>
      <c r="C21" s="24"/>
      <c r="D21" s="24"/>
      <c r="E21" s="24"/>
      <c r="F21" s="24"/>
      <c r="G21" s="24"/>
      <c r="H21" s="24"/>
      <c r="I21" s="24"/>
      <c r="J21" s="24"/>
    </row>
    <row r="22" spans="1:10" s="21" customFormat="1" ht="16.5" customHeight="1" x14ac:dyDescent="0.3">
      <c r="A22" s="23"/>
      <c r="B22" s="24"/>
      <c r="C22" s="24"/>
      <c r="D22" s="24"/>
      <c r="E22" s="24"/>
      <c r="F22" s="24"/>
      <c r="G22" s="24"/>
      <c r="H22" s="24"/>
      <c r="I22" s="24"/>
      <c r="J22" s="24"/>
    </row>
    <row r="23" spans="1:10" s="21" customFormat="1" ht="16.5" customHeight="1" x14ac:dyDescent="0.3">
      <c r="A23" s="23"/>
      <c r="B23" s="24"/>
      <c r="C23" s="24"/>
      <c r="D23" s="24"/>
      <c r="E23" s="24"/>
      <c r="F23" s="24"/>
      <c r="G23" s="24"/>
      <c r="H23" s="24"/>
      <c r="I23" s="24"/>
      <c r="J23" s="24"/>
    </row>
    <row r="24" spans="1:10" s="21" customFormat="1" ht="16.5" customHeight="1" x14ac:dyDescent="0.3">
      <c r="A24" s="23"/>
      <c r="B24" s="24"/>
      <c r="C24" s="24"/>
      <c r="D24" s="24"/>
      <c r="E24" s="24"/>
      <c r="F24" s="24"/>
      <c r="G24" s="24"/>
      <c r="H24" s="24"/>
      <c r="I24" s="24"/>
      <c r="J24" s="24"/>
    </row>
    <row r="25" spans="1:10" s="21" customFormat="1" ht="16.5" customHeight="1" x14ac:dyDescent="0.3">
      <c r="A25" s="23"/>
      <c r="B25" s="24"/>
      <c r="C25" s="24"/>
      <c r="D25" s="24"/>
      <c r="E25" s="24"/>
      <c r="F25" s="24"/>
      <c r="G25" s="24"/>
      <c r="H25" s="24"/>
      <c r="I25" s="24"/>
      <c r="J25" s="24"/>
    </row>
    <row r="26" spans="1:10" s="21" customFormat="1" ht="16.5" customHeight="1" x14ac:dyDescent="0.3">
      <c r="A26" s="23"/>
      <c r="B26" s="24"/>
      <c r="C26" s="24"/>
      <c r="D26" s="24"/>
      <c r="E26" s="24"/>
      <c r="F26" s="24"/>
      <c r="G26" s="24"/>
      <c r="H26" s="24"/>
      <c r="I26" s="24"/>
      <c r="J26" s="24"/>
    </row>
    <row r="27" spans="1:10" s="21" customFormat="1" ht="16.5" customHeight="1" x14ac:dyDescent="0.3">
      <c r="A27" s="23"/>
      <c r="B27" s="24"/>
      <c r="C27" s="24"/>
      <c r="D27" s="24"/>
      <c r="E27" s="24"/>
      <c r="F27" s="24"/>
      <c r="G27" s="24"/>
      <c r="H27" s="24"/>
      <c r="I27" s="24"/>
      <c r="J27" s="24"/>
    </row>
    <row r="28" spans="1:10" s="21" customFormat="1" ht="16.5" customHeight="1" x14ac:dyDescent="0.3">
      <c r="A28" s="23"/>
      <c r="B28" s="24"/>
      <c r="E28" s="24"/>
      <c r="F28" s="24"/>
      <c r="G28" s="24"/>
      <c r="H28" s="24"/>
      <c r="I28" s="24"/>
      <c r="J28" s="24"/>
    </row>
    <row r="29" spans="1:10" s="21" customFormat="1" ht="16.5" customHeight="1" x14ac:dyDescent="0.3">
      <c r="A29" s="23"/>
      <c r="B29" s="24"/>
      <c r="E29" s="24"/>
      <c r="F29" s="24"/>
      <c r="G29" s="24"/>
      <c r="H29" s="24"/>
      <c r="I29" s="24"/>
      <c r="J29" s="24"/>
    </row>
    <row r="30" spans="1:10" s="21" customFormat="1" ht="16.5" customHeight="1" x14ac:dyDescent="0.3">
      <c r="A30" s="23"/>
      <c r="B30" s="24"/>
      <c r="E30" s="24"/>
      <c r="F30" s="24"/>
      <c r="G30" s="24"/>
      <c r="H30" s="24"/>
      <c r="I30" s="24"/>
      <c r="J30" s="24"/>
    </row>
    <row r="31" spans="1:10" s="21" customFormat="1" ht="16.5" customHeight="1" x14ac:dyDescent="0.3">
      <c r="A31" s="23"/>
      <c r="B31" s="24"/>
      <c r="E31" s="24"/>
      <c r="F31" s="24"/>
      <c r="G31" s="24"/>
      <c r="H31" s="24"/>
      <c r="I31" s="24"/>
      <c r="J31" s="24"/>
    </row>
    <row r="32" spans="1:10" s="21" customFormat="1" ht="16.5" customHeight="1" x14ac:dyDescent="0.3">
      <c r="A32" s="23"/>
      <c r="B32" s="24"/>
      <c r="E32" s="24"/>
      <c r="F32" s="24"/>
      <c r="G32" s="24"/>
      <c r="H32" s="24"/>
      <c r="I32" s="24"/>
      <c r="J32" s="24"/>
    </row>
    <row r="33" spans="1:12" s="21" customFormat="1" ht="16.5" customHeight="1" x14ac:dyDescent="0.3">
      <c r="A33" s="23"/>
      <c r="B33" s="24"/>
      <c r="E33" s="24"/>
      <c r="F33" s="24"/>
      <c r="G33" s="24"/>
      <c r="H33" s="24"/>
      <c r="I33" s="24"/>
      <c r="J33" s="24"/>
    </row>
    <row r="34" spans="1:12" s="21" customFormat="1" ht="16.5" customHeight="1" x14ac:dyDescent="0.3">
      <c r="A34" s="23"/>
      <c r="B34" s="24"/>
      <c r="E34" s="24"/>
      <c r="F34" s="24"/>
      <c r="G34" s="24"/>
      <c r="H34" s="24"/>
      <c r="I34" s="24"/>
      <c r="J34" s="24"/>
    </row>
    <row r="35" spans="1:12" s="21" customFormat="1" ht="16.5" customHeight="1" x14ac:dyDescent="0.3">
      <c r="A35" s="23"/>
      <c r="B35" s="24"/>
      <c r="C35" s="24"/>
      <c r="D35" s="24"/>
      <c r="E35" s="24"/>
      <c r="F35" s="24"/>
      <c r="G35" s="24"/>
      <c r="H35" s="24"/>
      <c r="I35" s="24"/>
      <c r="J35" s="24"/>
    </row>
    <row r="36" spans="1:12" s="21" customFormat="1" ht="16.5" customHeight="1" x14ac:dyDescent="0.3">
      <c r="A36" s="23"/>
      <c r="B36" s="24"/>
      <c r="C36" s="24"/>
      <c r="D36" s="24"/>
      <c r="E36" s="24"/>
      <c r="F36" s="24"/>
      <c r="G36" s="24"/>
      <c r="H36" s="24"/>
      <c r="I36" s="24"/>
      <c r="J36" s="24"/>
    </row>
    <row r="37" spans="1:12" x14ac:dyDescent="0.25">
      <c r="A37" s="1"/>
      <c r="B37" s="3"/>
      <c r="C37" s="3"/>
      <c r="D37" s="3"/>
      <c r="E37" s="3"/>
      <c r="F37" s="3"/>
      <c r="G37" s="3"/>
      <c r="H37" s="1"/>
      <c r="I37" s="1"/>
      <c r="J37" s="1"/>
      <c r="K37" s="1"/>
      <c r="L37" s="1"/>
    </row>
    <row r="38" spans="1:12" x14ac:dyDescent="0.25">
      <c r="A38" s="1"/>
      <c r="B38" s="3"/>
      <c r="C38" s="3"/>
      <c r="D38" s="3"/>
      <c r="E38" s="3"/>
      <c r="F38" s="3"/>
      <c r="G38" s="3"/>
      <c r="H38" s="1"/>
      <c r="I38" s="1"/>
      <c r="J38" s="1"/>
      <c r="K38" s="1"/>
      <c r="L38" s="1"/>
    </row>
    <row r="39" spans="1:12" x14ac:dyDescent="0.25">
      <c r="A39" s="1"/>
      <c r="B39" s="5"/>
      <c r="C39" s="6"/>
      <c r="D39" s="6"/>
      <c r="E39" s="6"/>
      <c r="F39" s="6"/>
      <c r="G39" s="3"/>
      <c r="H39" s="1"/>
      <c r="I39" s="1"/>
      <c r="J39" s="1"/>
      <c r="K39" s="1"/>
      <c r="L39" s="1"/>
    </row>
    <row r="40" spans="1:12" x14ac:dyDescent="0.25">
      <c r="A40" s="1"/>
      <c r="B40" s="2"/>
      <c r="C40" s="3"/>
      <c r="D40" s="3"/>
      <c r="E40" s="3"/>
      <c r="F40" s="3"/>
      <c r="G40" s="3"/>
      <c r="H40" s="1"/>
      <c r="I40" s="1"/>
      <c r="J40" s="1"/>
      <c r="K40" s="1"/>
      <c r="L40" s="1"/>
    </row>
    <row r="41" spans="1:12" x14ac:dyDescent="0.25">
      <c r="A41" s="1"/>
      <c r="B41" s="2"/>
      <c r="C41" s="3"/>
      <c r="D41" s="3"/>
      <c r="E41" s="3"/>
      <c r="F41" s="3"/>
      <c r="G41" s="3"/>
      <c r="H41" s="1"/>
      <c r="I41" s="1"/>
      <c r="J41" s="1"/>
      <c r="K41" s="1"/>
      <c r="L41" s="1"/>
    </row>
    <row r="42" spans="1:12" x14ac:dyDescent="0.25">
      <c r="A42" s="1"/>
      <c r="B42" s="2"/>
      <c r="C42" s="3"/>
      <c r="D42" s="3"/>
      <c r="E42" s="3"/>
      <c r="F42" s="3"/>
      <c r="G42" s="3"/>
      <c r="H42" s="1"/>
      <c r="I42" s="1"/>
      <c r="J42" s="1"/>
      <c r="K42" s="1"/>
      <c r="L42" s="1"/>
    </row>
    <row r="43" spans="1:12" x14ac:dyDescent="0.25">
      <c r="A43" s="1"/>
      <c r="B43" s="2"/>
      <c r="C43" s="3"/>
      <c r="D43" s="3"/>
      <c r="E43" s="3"/>
      <c r="F43" s="3"/>
      <c r="G43" s="3"/>
      <c r="H43" s="1"/>
      <c r="I43" s="1"/>
      <c r="J43" s="1"/>
      <c r="K43" s="1"/>
      <c r="L43" s="1"/>
    </row>
    <row r="44" spans="1:12" x14ac:dyDescent="0.25">
      <c r="A44" s="1"/>
      <c r="B44" s="2"/>
      <c r="C44" s="3"/>
      <c r="D44" s="3"/>
      <c r="E44" s="3"/>
      <c r="F44" s="3"/>
      <c r="G44" s="3"/>
      <c r="H44" s="1"/>
      <c r="I44" s="1"/>
      <c r="J44" s="1"/>
      <c r="K44" s="1"/>
      <c r="L44" s="1"/>
    </row>
    <row r="45" spans="1:12" x14ac:dyDescent="0.25">
      <c r="A45" s="1"/>
      <c r="B45" s="2"/>
      <c r="C45" s="3"/>
      <c r="D45" s="3"/>
      <c r="E45" s="3"/>
      <c r="F45" s="3"/>
      <c r="G45" s="3"/>
      <c r="H45" s="1"/>
      <c r="I45" s="1"/>
      <c r="J45" s="1"/>
      <c r="K45" s="1"/>
      <c r="L45" s="1"/>
    </row>
    <row r="46" spans="1:12" x14ac:dyDescent="0.25">
      <c r="A46" s="1"/>
      <c r="B46" s="3"/>
      <c r="C46" s="3"/>
      <c r="D46" s="3"/>
      <c r="E46" s="3"/>
      <c r="F46" s="3"/>
      <c r="G46" s="3"/>
      <c r="H46" s="1"/>
      <c r="I46" s="1"/>
      <c r="J46" s="1"/>
      <c r="K46" s="1"/>
      <c r="L46" s="1"/>
    </row>
    <row r="47" spans="1:12" x14ac:dyDescent="0.25">
      <c r="A47" s="1"/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</row>
    <row r="48" spans="1:12" x14ac:dyDescent="0.25">
      <c r="A48" s="1"/>
      <c r="B48" s="3"/>
      <c r="C48" s="3"/>
      <c r="D48" s="3"/>
      <c r="E48" s="3"/>
      <c r="F48" s="3"/>
      <c r="G48" s="3"/>
      <c r="H48" s="1"/>
      <c r="I48" s="1"/>
      <c r="J48" s="1"/>
      <c r="K48" s="1"/>
      <c r="L48" s="1"/>
    </row>
    <row r="49" spans="1:12" x14ac:dyDescent="0.25">
      <c r="A49" s="1"/>
      <c r="B49" s="3"/>
      <c r="C49" s="3"/>
      <c r="D49" s="3"/>
      <c r="E49" s="3"/>
      <c r="F49" s="3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30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30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30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27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27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</sheetData>
  <mergeCells count="8">
    <mergeCell ref="C6:D6"/>
    <mergeCell ref="C8:D8"/>
    <mergeCell ref="C10:D10"/>
    <mergeCell ref="C12:D12"/>
    <mergeCell ref="I6:J6"/>
    <mergeCell ref="I8:J8"/>
    <mergeCell ref="I10:J10"/>
    <mergeCell ref="I12:J12"/>
  </mergeCells>
  <conditionalFormatting sqref="C14:F14">
    <cfRule type="cellIs" dxfId="7" priority="1" operator="equal">
      <formula>$A$45</formula>
    </cfRule>
    <cfRule type="cellIs" dxfId="6" priority="2" operator="equal">
      <formula>$A$44</formula>
    </cfRule>
    <cfRule type="cellIs" dxfId="5" priority="3" operator="equal">
      <formula>$A$43</formula>
    </cfRule>
    <cfRule type="cellIs" dxfId="4" priority="4" operator="equal">
      <formula>$A$42</formula>
    </cfRule>
  </conditionalFormatting>
  <dataValidations count="1">
    <dataValidation type="list" allowBlank="1" showInputMessage="1" showErrorMessage="1" sqref="E37:E1048576" xr:uid="{00000000-0002-0000-0100-000000000000}">
      <formula1>#REF!</formula1>
    </dataValidation>
  </dataValidations>
  <pageMargins left="0.7" right="0.7" top="0.75" bottom="0.75" header="0.3" footer="0.3"/>
  <pageSetup paperSize="9" orientation="portrait" r:id="rId1"/>
  <ignoredErrors>
    <ignoredError sqref="I12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J47"/>
  <sheetViews>
    <sheetView showGridLines="0" tabSelected="1" topLeftCell="A19" workbookViewId="0">
      <selection activeCell="B31" sqref="B31"/>
    </sheetView>
  </sheetViews>
  <sheetFormatPr baseColWidth="10" defaultColWidth="12.5546875" defaultRowHeight="13.2" x14ac:dyDescent="0.3"/>
  <cols>
    <col min="1" max="1" width="44.33203125" style="8" customWidth="1"/>
    <col min="2" max="2" width="20" style="8" customWidth="1"/>
    <col min="3" max="3" width="16.88671875" style="8" customWidth="1"/>
    <col min="4" max="4" width="19.6640625" style="8" bestFit="1" customWidth="1"/>
    <col min="5" max="6" width="15.6640625" style="8" bestFit="1" customWidth="1"/>
    <col min="7" max="7" width="26" style="8" customWidth="1"/>
    <col min="8" max="8" width="20.6640625" style="8" customWidth="1"/>
    <col min="9" max="9" width="17.44140625" style="8" bestFit="1" customWidth="1"/>
    <col min="10" max="16384" width="12.5546875" style="8"/>
  </cols>
  <sheetData>
    <row r="2" spans="1:7" x14ac:dyDescent="0.3">
      <c r="A2" s="7" t="s">
        <v>55</v>
      </c>
    </row>
    <row r="3" spans="1:7" ht="26.55" customHeight="1" x14ac:dyDescent="0.3">
      <c r="A3" s="83" t="s">
        <v>56</v>
      </c>
      <c r="B3" s="83" t="s">
        <v>109</v>
      </c>
      <c r="C3" s="83" t="s">
        <v>47</v>
      </c>
      <c r="D3" s="83" t="s">
        <v>46</v>
      </c>
      <c r="E3" s="83" t="s">
        <v>112</v>
      </c>
      <c r="F3" s="85" t="s">
        <v>113</v>
      </c>
      <c r="G3" s="83" t="s">
        <v>1</v>
      </c>
    </row>
    <row r="4" spans="1:7" x14ac:dyDescent="0.3">
      <c r="A4" s="4" t="s">
        <v>57</v>
      </c>
      <c r="B4" s="4" t="s">
        <v>9</v>
      </c>
      <c r="C4" s="84">
        <v>44649</v>
      </c>
      <c r="D4" s="84">
        <v>44660</v>
      </c>
      <c r="E4" s="20">
        <f>D4-C4+1</f>
        <v>12</v>
      </c>
      <c r="F4" s="20">
        <f>NETWORKDAYS(C4,D4)</f>
        <v>9</v>
      </c>
      <c r="G4" s="14" t="s">
        <v>0</v>
      </c>
    </row>
    <row r="5" spans="1:7" ht="26.4" x14ac:dyDescent="0.3">
      <c r="A5" s="4" t="s">
        <v>58</v>
      </c>
      <c r="B5" s="4" t="s">
        <v>9</v>
      </c>
      <c r="C5" s="84">
        <v>44663</v>
      </c>
      <c r="D5" s="84">
        <v>44667</v>
      </c>
      <c r="E5" s="20">
        <f t="shared" ref="E5:E36" si="0">D5-C5+1</f>
        <v>5</v>
      </c>
      <c r="F5" s="20">
        <f t="shared" ref="F5:F36" si="1">NETWORKDAYS(C5,D5)</f>
        <v>4</v>
      </c>
      <c r="G5" s="15" t="s">
        <v>0</v>
      </c>
    </row>
    <row r="6" spans="1:7" x14ac:dyDescent="0.3">
      <c r="A6" s="4" t="s">
        <v>59</v>
      </c>
      <c r="B6" s="4" t="s">
        <v>9</v>
      </c>
      <c r="C6" s="84">
        <v>44670</v>
      </c>
      <c r="D6" s="84">
        <v>44680</v>
      </c>
      <c r="E6" s="20">
        <f t="shared" si="0"/>
        <v>11</v>
      </c>
      <c r="F6" s="20">
        <f t="shared" si="1"/>
        <v>9</v>
      </c>
      <c r="G6" s="14" t="s">
        <v>0</v>
      </c>
    </row>
    <row r="7" spans="1:7" x14ac:dyDescent="0.3">
      <c r="A7" s="4" t="s">
        <v>60</v>
      </c>
      <c r="B7" s="4" t="s">
        <v>9</v>
      </c>
      <c r="C7" s="84">
        <v>44681</v>
      </c>
      <c r="D7" s="84">
        <v>44681</v>
      </c>
      <c r="E7" s="20">
        <f t="shared" si="0"/>
        <v>1</v>
      </c>
      <c r="F7" s="20">
        <f t="shared" si="1"/>
        <v>0</v>
      </c>
      <c r="G7" s="16" t="s">
        <v>0</v>
      </c>
    </row>
    <row r="8" spans="1:7" x14ac:dyDescent="0.3">
      <c r="A8" s="4" t="s">
        <v>61</v>
      </c>
      <c r="B8" s="4" t="s">
        <v>100</v>
      </c>
      <c r="C8" s="84">
        <v>44684</v>
      </c>
      <c r="D8" s="84">
        <v>44709</v>
      </c>
      <c r="E8" s="20">
        <f t="shared" si="0"/>
        <v>26</v>
      </c>
      <c r="F8" s="20">
        <f t="shared" si="1"/>
        <v>19</v>
      </c>
      <c r="G8" s="17" t="s">
        <v>49</v>
      </c>
    </row>
    <row r="9" spans="1:7" x14ac:dyDescent="0.3">
      <c r="A9" s="4" t="s">
        <v>62</v>
      </c>
      <c r="B9" s="4" t="s">
        <v>9</v>
      </c>
      <c r="C9" s="84">
        <v>44712</v>
      </c>
      <c r="D9" s="84">
        <v>44741</v>
      </c>
      <c r="E9" s="20">
        <f t="shared" si="0"/>
        <v>30</v>
      </c>
      <c r="F9" s="20">
        <f t="shared" si="1"/>
        <v>22</v>
      </c>
      <c r="G9" s="17" t="s">
        <v>50</v>
      </c>
    </row>
    <row r="10" spans="1:7" x14ac:dyDescent="0.3">
      <c r="A10" s="4" t="s">
        <v>92</v>
      </c>
      <c r="B10" s="4" t="s">
        <v>9</v>
      </c>
      <c r="C10" s="84">
        <v>44712</v>
      </c>
      <c r="D10" s="84">
        <v>44741</v>
      </c>
      <c r="E10" s="20">
        <f t="shared" si="0"/>
        <v>30</v>
      </c>
      <c r="F10" s="20">
        <f t="shared" si="1"/>
        <v>22</v>
      </c>
      <c r="G10" s="17" t="s">
        <v>50</v>
      </c>
    </row>
    <row r="11" spans="1:7" x14ac:dyDescent="0.3">
      <c r="A11" s="4" t="s">
        <v>93</v>
      </c>
      <c r="B11" s="4" t="s">
        <v>12</v>
      </c>
      <c r="C11" s="84">
        <v>44712</v>
      </c>
      <c r="D11" s="84">
        <v>44741</v>
      </c>
      <c r="E11" s="20">
        <f t="shared" si="0"/>
        <v>30</v>
      </c>
      <c r="F11" s="20">
        <f t="shared" si="1"/>
        <v>22</v>
      </c>
      <c r="G11" s="18" t="s">
        <v>99</v>
      </c>
    </row>
    <row r="12" spans="1:7" ht="26.4" x14ac:dyDescent="0.3">
      <c r="A12" s="4" t="s">
        <v>63</v>
      </c>
      <c r="B12" s="4" t="s">
        <v>9</v>
      </c>
      <c r="C12" s="84">
        <v>44742</v>
      </c>
      <c r="D12" s="84">
        <v>44742</v>
      </c>
      <c r="E12" s="20">
        <f t="shared" si="0"/>
        <v>1</v>
      </c>
      <c r="F12" s="20">
        <f t="shared" si="1"/>
        <v>1</v>
      </c>
      <c r="G12" s="18" t="s">
        <v>99</v>
      </c>
    </row>
    <row r="13" spans="1:7" ht="26.4" x14ac:dyDescent="0.3">
      <c r="A13" s="4" t="s">
        <v>85</v>
      </c>
      <c r="B13" s="4" t="s">
        <v>101</v>
      </c>
      <c r="C13" s="84">
        <v>44743</v>
      </c>
      <c r="D13" s="84">
        <v>44833</v>
      </c>
      <c r="E13" s="20">
        <f t="shared" si="0"/>
        <v>91</v>
      </c>
      <c r="F13" s="20">
        <f t="shared" si="1"/>
        <v>65</v>
      </c>
      <c r="G13" s="18" t="s">
        <v>99</v>
      </c>
    </row>
    <row r="14" spans="1:7" ht="26.4" x14ac:dyDescent="0.3">
      <c r="A14" s="4" t="s">
        <v>84</v>
      </c>
      <c r="B14" s="4" t="s">
        <v>100</v>
      </c>
      <c r="C14" s="84">
        <v>44743</v>
      </c>
      <c r="D14" s="84">
        <v>44833</v>
      </c>
      <c r="E14" s="20">
        <f t="shared" si="0"/>
        <v>91</v>
      </c>
      <c r="F14" s="20">
        <f t="shared" si="1"/>
        <v>65</v>
      </c>
      <c r="G14" s="18" t="s">
        <v>99</v>
      </c>
    </row>
    <row r="15" spans="1:7" x14ac:dyDescent="0.3">
      <c r="A15" s="4" t="s">
        <v>64</v>
      </c>
      <c r="B15" s="4" t="s">
        <v>101</v>
      </c>
      <c r="C15" s="84">
        <v>44805</v>
      </c>
      <c r="D15" s="84">
        <v>44832</v>
      </c>
      <c r="E15" s="20">
        <f t="shared" si="0"/>
        <v>28</v>
      </c>
      <c r="F15" s="20">
        <f t="shared" si="1"/>
        <v>20</v>
      </c>
      <c r="G15" s="18" t="s">
        <v>99</v>
      </c>
    </row>
    <row r="16" spans="1:7" x14ac:dyDescent="0.3">
      <c r="A16" s="4" t="s">
        <v>65</v>
      </c>
      <c r="B16" s="4" t="s">
        <v>102</v>
      </c>
      <c r="C16" s="84">
        <v>44833</v>
      </c>
      <c r="D16" s="84">
        <v>44833</v>
      </c>
      <c r="E16" s="20">
        <f t="shared" si="0"/>
        <v>1</v>
      </c>
      <c r="F16" s="20">
        <f t="shared" si="1"/>
        <v>1</v>
      </c>
      <c r="G16" s="18" t="s">
        <v>99</v>
      </c>
    </row>
    <row r="17" spans="1:7" ht="26.4" x14ac:dyDescent="0.3">
      <c r="A17" s="4" t="s">
        <v>66</v>
      </c>
      <c r="B17" s="4" t="s">
        <v>9</v>
      </c>
      <c r="C17" s="84">
        <v>44834</v>
      </c>
      <c r="D17" s="84">
        <v>44834</v>
      </c>
      <c r="E17" s="20">
        <f t="shared" si="0"/>
        <v>1</v>
      </c>
      <c r="F17" s="20">
        <f t="shared" si="1"/>
        <v>1</v>
      </c>
      <c r="G17" s="18" t="s">
        <v>99</v>
      </c>
    </row>
    <row r="18" spans="1:7" ht="26.4" x14ac:dyDescent="0.3">
      <c r="A18" s="4" t="s">
        <v>67</v>
      </c>
      <c r="B18" s="4" t="s">
        <v>102</v>
      </c>
      <c r="C18" s="84">
        <v>44835</v>
      </c>
      <c r="D18" s="84">
        <v>44863</v>
      </c>
      <c r="E18" s="20">
        <f t="shared" si="0"/>
        <v>29</v>
      </c>
      <c r="F18" s="20">
        <f t="shared" si="1"/>
        <v>20</v>
      </c>
      <c r="G18" s="18" t="s">
        <v>99</v>
      </c>
    </row>
    <row r="19" spans="1:7" x14ac:dyDescent="0.3">
      <c r="A19" s="4" t="s">
        <v>94</v>
      </c>
      <c r="B19" s="4" t="s">
        <v>12</v>
      </c>
      <c r="C19" s="84">
        <v>44851</v>
      </c>
      <c r="D19" s="84">
        <v>44866</v>
      </c>
      <c r="E19" s="20">
        <f t="shared" si="0"/>
        <v>16</v>
      </c>
      <c r="F19" s="20">
        <f t="shared" si="1"/>
        <v>12</v>
      </c>
      <c r="G19" s="18" t="s">
        <v>99</v>
      </c>
    </row>
    <row r="20" spans="1:7" ht="26.4" x14ac:dyDescent="0.3">
      <c r="A20" s="4" t="s">
        <v>68</v>
      </c>
      <c r="B20" s="4" t="s">
        <v>100</v>
      </c>
      <c r="C20" s="84">
        <v>44866</v>
      </c>
      <c r="D20" s="84">
        <v>44891</v>
      </c>
      <c r="E20" s="20">
        <f t="shared" si="0"/>
        <v>26</v>
      </c>
      <c r="F20" s="20">
        <f t="shared" si="1"/>
        <v>19</v>
      </c>
      <c r="G20" s="18" t="s">
        <v>99</v>
      </c>
    </row>
    <row r="21" spans="1:7" x14ac:dyDescent="0.3">
      <c r="A21" s="4" t="s">
        <v>69</v>
      </c>
      <c r="B21" s="4" t="s">
        <v>100</v>
      </c>
      <c r="C21" s="84">
        <v>44892</v>
      </c>
      <c r="D21" s="84">
        <v>44892</v>
      </c>
      <c r="E21" s="20">
        <f t="shared" si="0"/>
        <v>1</v>
      </c>
      <c r="F21" s="20">
        <f t="shared" si="1"/>
        <v>0</v>
      </c>
      <c r="G21" s="18" t="s">
        <v>99</v>
      </c>
    </row>
    <row r="22" spans="1:7" x14ac:dyDescent="0.3">
      <c r="A22" s="4" t="s">
        <v>70</v>
      </c>
      <c r="B22" s="4" t="s">
        <v>100</v>
      </c>
      <c r="C22" s="84">
        <v>44893</v>
      </c>
      <c r="D22" s="84">
        <v>44893</v>
      </c>
      <c r="E22" s="20">
        <f t="shared" si="0"/>
        <v>1</v>
      </c>
      <c r="F22" s="20">
        <f t="shared" si="1"/>
        <v>1</v>
      </c>
      <c r="G22" s="18" t="s">
        <v>99</v>
      </c>
    </row>
    <row r="23" spans="1:7" x14ac:dyDescent="0.3">
      <c r="A23" s="4" t="s">
        <v>71</v>
      </c>
      <c r="B23" s="4" t="s">
        <v>100</v>
      </c>
      <c r="C23" s="84">
        <v>44893</v>
      </c>
      <c r="D23" s="84">
        <v>44893</v>
      </c>
      <c r="E23" s="20">
        <f t="shared" si="0"/>
        <v>1</v>
      </c>
      <c r="F23" s="20">
        <f t="shared" si="1"/>
        <v>1</v>
      </c>
      <c r="G23" s="18" t="s">
        <v>99</v>
      </c>
    </row>
    <row r="24" spans="1:7" x14ac:dyDescent="0.3">
      <c r="A24" s="4" t="s">
        <v>72</v>
      </c>
      <c r="B24" s="4" t="s">
        <v>100</v>
      </c>
      <c r="C24" s="84">
        <v>44893</v>
      </c>
      <c r="D24" s="84">
        <v>44893</v>
      </c>
      <c r="E24" s="20">
        <f t="shared" si="0"/>
        <v>1</v>
      </c>
      <c r="F24" s="20">
        <f t="shared" si="1"/>
        <v>1</v>
      </c>
      <c r="G24" s="18" t="s">
        <v>99</v>
      </c>
    </row>
    <row r="25" spans="1:7" x14ac:dyDescent="0.3">
      <c r="A25" s="42" t="s">
        <v>73</v>
      </c>
      <c r="B25" s="4" t="s">
        <v>102</v>
      </c>
      <c r="C25" s="84">
        <v>44893</v>
      </c>
      <c r="D25" s="84">
        <v>44893</v>
      </c>
      <c r="E25" s="20">
        <f t="shared" si="0"/>
        <v>1</v>
      </c>
      <c r="F25" s="20">
        <f t="shared" si="1"/>
        <v>1</v>
      </c>
      <c r="G25" s="18" t="s">
        <v>99</v>
      </c>
    </row>
    <row r="26" spans="1:7" x14ac:dyDescent="0.3">
      <c r="A26" s="41" t="s">
        <v>104</v>
      </c>
      <c r="B26" s="4" t="s">
        <v>103</v>
      </c>
      <c r="C26" s="84">
        <v>44894</v>
      </c>
      <c r="D26" s="84">
        <v>44894</v>
      </c>
      <c r="E26" s="20">
        <f t="shared" si="0"/>
        <v>1</v>
      </c>
      <c r="F26" s="20">
        <f t="shared" si="1"/>
        <v>1</v>
      </c>
      <c r="G26" s="18" t="s">
        <v>99</v>
      </c>
    </row>
    <row r="27" spans="1:7" ht="26.4" x14ac:dyDescent="0.3">
      <c r="A27" s="4" t="s">
        <v>74</v>
      </c>
      <c r="B27" s="4" t="s">
        <v>100</v>
      </c>
      <c r="C27" s="84">
        <v>44894</v>
      </c>
      <c r="D27" s="84">
        <v>44567</v>
      </c>
      <c r="E27" s="20">
        <f>D27-C27+1</f>
        <v>-326</v>
      </c>
      <c r="F27" s="20">
        <f t="shared" si="1"/>
        <v>-234</v>
      </c>
      <c r="G27" s="18" t="s">
        <v>99</v>
      </c>
    </row>
    <row r="28" spans="1:7" x14ac:dyDescent="0.3">
      <c r="A28" s="4" t="s">
        <v>75</v>
      </c>
      <c r="B28" s="4" t="s">
        <v>100</v>
      </c>
      <c r="C28" s="84">
        <v>44894</v>
      </c>
      <c r="D28" s="84">
        <v>44567</v>
      </c>
      <c r="E28" s="20">
        <f t="shared" si="0"/>
        <v>-326</v>
      </c>
      <c r="F28" s="20">
        <f t="shared" si="1"/>
        <v>-234</v>
      </c>
      <c r="G28" s="18" t="s">
        <v>99</v>
      </c>
    </row>
    <row r="29" spans="1:7" x14ac:dyDescent="0.3">
      <c r="A29" s="4" t="s">
        <v>76</v>
      </c>
      <c r="B29" s="4" t="s">
        <v>102</v>
      </c>
      <c r="C29" s="84">
        <v>44894</v>
      </c>
      <c r="D29" s="84">
        <v>44567</v>
      </c>
      <c r="E29" s="20">
        <f t="shared" si="0"/>
        <v>-326</v>
      </c>
      <c r="F29" s="20">
        <f t="shared" si="1"/>
        <v>-234</v>
      </c>
      <c r="G29" s="18" t="s">
        <v>99</v>
      </c>
    </row>
    <row r="30" spans="1:7" x14ac:dyDescent="0.3">
      <c r="A30" s="4" t="s">
        <v>77</v>
      </c>
      <c r="B30" s="4" t="s">
        <v>103</v>
      </c>
      <c r="C30" s="84">
        <v>44896</v>
      </c>
      <c r="D30" s="84">
        <v>44900</v>
      </c>
      <c r="E30" s="20">
        <f t="shared" si="0"/>
        <v>5</v>
      </c>
      <c r="F30" s="20">
        <f t="shared" si="1"/>
        <v>3</v>
      </c>
      <c r="G30" s="18" t="s">
        <v>99</v>
      </c>
    </row>
    <row r="31" spans="1:7" x14ac:dyDescent="0.3">
      <c r="A31" s="4" t="s">
        <v>78</v>
      </c>
      <c r="B31" s="4" t="s">
        <v>103</v>
      </c>
      <c r="C31" s="84">
        <v>44562</v>
      </c>
      <c r="D31" s="84">
        <v>44566</v>
      </c>
      <c r="E31" s="20">
        <f t="shared" si="0"/>
        <v>5</v>
      </c>
      <c r="F31" s="20">
        <f t="shared" si="1"/>
        <v>3</v>
      </c>
      <c r="G31" s="18" t="s">
        <v>99</v>
      </c>
    </row>
    <row r="32" spans="1:7" x14ac:dyDescent="0.3">
      <c r="A32" s="4" t="s">
        <v>105</v>
      </c>
      <c r="B32" s="4" t="s">
        <v>9</v>
      </c>
      <c r="C32" s="84">
        <v>44568</v>
      </c>
      <c r="D32" s="84">
        <v>44568</v>
      </c>
      <c r="E32" s="20">
        <f t="shared" si="0"/>
        <v>1</v>
      </c>
      <c r="F32" s="20">
        <f t="shared" si="1"/>
        <v>1</v>
      </c>
      <c r="G32" s="18" t="s">
        <v>99</v>
      </c>
    </row>
    <row r="33" spans="1:10" x14ac:dyDescent="0.3">
      <c r="A33" s="4" t="s">
        <v>95</v>
      </c>
      <c r="B33" s="4" t="s">
        <v>103</v>
      </c>
      <c r="C33" s="84">
        <v>44578</v>
      </c>
      <c r="D33" s="84">
        <v>44589</v>
      </c>
      <c r="E33" s="20">
        <f t="shared" si="0"/>
        <v>12</v>
      </c>
      <c r="F33" s="20">
        <f t="shared" si="1"/>
        <v>10</v>
      </c>
      <c r="G33" s="18" t="s">
        <v>99</v>
      </c>
    </row>
    <row r="34" spans="1:10" x14ac:dyDescent="0.3">
      <c r="A34" s="4" t="s">
        <v>79</v>
      </c>
      <c r="B34" s="4" t="s">
        <v>9</v>
      </c>
      <c r="C34" s="84">
        <v>44578</v>
      </c>
      <c r="D34" s="84">
        <v>44589</v>
      </c>
      <c r="E34" s="20">
        <f t="shared" si="0"/>
        <v>12</v>
      </c>
      <c r="F34" s="20">
        <f t="shared" si="1"/>
        <v>10</v>
      </c>
      <c r="G34" s="18" t="s">
        <v>99</v>
      </c>
    </row>
    <row r="35" spans="1:10" x14ac:dyDescent="0.3">
      <c r="A35" s="4" t="s">
        <v>80</v>
      </c>
      <c r="B35" s="4" t="s">
        <v>13</v>
      </c>
      <c r="C35" s="84">
        <v>44579</v>
      </c>
      <c r="D35" s="84">
        <v>44588</v>
      </c>
      <c r="E35" s="20">
        <f t="shared" si="0"/>
        <v>10</v>
      </c>
      <c r="F35" s="20">
        <f t="shared" si="1"/>
        <v>8</v>
      </c>
      <c r="G35" s="18" t="s">
        <v>99</v>
      </c>
    </row>
    <row r="36" spans="1:10" x14ac:dyDescent="0.3">
      <c r="A36" s="40" t="s">
        <v>81</v>
      </c>
      <c r="B36" s="4" t="s">
        <v>103</v>
      </c>
      <c r="C36" s="84">
        <v>44590</v>
      </c>
      <c r="D36" s="84">
        <v>44955</v>
      </c>
      <c r="E36" s="20">
        <f t="shared" si="0"/>
        <v>366</v>
      </c>
      <c r="F36" s="20">
        <f t="shared" si="1"/>
        <v>260</v>
      </c>
      <c r="G36" s="18" t="s">
        <v>99</v>
      </c>
    </row>
    <row r="37" spans="1:10" x14ac:dyDescent="0.3">
      <c r="A37" s="10"/>
      <c r="B37" s="11"/>
      <c r="C37" s="12"/>
      <c r="D37" s="12"/>
      <c r="E37" s="11"/>
      <c r="F37" s="11"/>
      <c r="G37" s="19"/>
      <c r="H37" s="9"/>
      <c r="I37" s="9"/>
      <c r="J37" s="9"/>
    </row>
    <row r="38" spans="1:10" x14ac:dyDescent="0.3">
      <c r="G38" s="9"/>
      <c r="H38" s="9"/>
      <c r="I38" s="9"/>
      <c r="J38" s="9"/>
    </row>
    <row r="39" spans="1:10" x14ac:dyDescent="0.3">
      <c r="G39" s="9"/>
      <c r="J39" s="9"/>
    </row>
    <row r="40" spans="1:10" x14ac:dyDescent="0.3">
      <c r="A40" s="52" t="s">
        <v>48</v>
      </c>
      <c r="B40" s="65" t="s">
        <v>7</v>
      </c>
      <c r="D40" s="58" t="s">
        <v>2</v>
      </c>
      <c r="E40" s="59" t="s">
        <v>51</v>
      </c>
      <c r="G40" s="9"/>
      <c r="H40" s="52" t="s">
        <v>52</v>
      </c>
      <c r="I40" s="53" t="s">
        <v>114</v>
      </c>
      <c r="J40" s="9"/>
    </row>
    <row r="41" spans="1:10" x14ac:dyDescent="0.3">
      <c r="A41" s="86" t="s">
        <v>0</v>
      </c>
      <c r="B41" s="64">
        <f>COUNTIF(G:G,A41)/(COUNTIF(G:G,A41)+COUNTIF(G:G,A42)+COUNTIF(G:G,A43)+COUNTIF(G:G,A44))</f>
        <v>0.12121212121212122</v>
      </c>
      <c r="D41" s="56" t="s">
        <v>88</v>
      </c>
      <c r="E41" s="57">
        <v>22000</v>
      </c>
      <c r="G41" s="9"/>
      <c r="H41" s="49" t="s">
        <v>53</v>
      </c>
      <c r="I41" s="50">
        <v>2</v>
      </c>
      <c r="J41" s="9"/>
    </row>
    <row r="42" spans="1:10" x14ac:dyDescent="0.3">
      <c r="A42" s="62" t="s">
        <v>49</v>
      </c>
      <c r="B42" s="64">
        <f>COUNTIF(G:G,A42)/(COUNTIF(G:G,A41)+COUNTIF(G:G,A42)+COUNTIF(G:G,A43)+COUNTIF(G:G,A44))</f>
        <v>3.0303030303030304E-2</v>
      </c>
      <c r="D42" s="60" t="s">
        <v>15</v>
      </c>
      <c r="E42" s="61">
        <v>420000</v>
      </c>
      <c r="G42" s="9"/>
      <c r="H42" s="49" t="s">
        <v>3</v>
      </c>
      <c r="I42" s="51">
        <v>5</v>
      </c>
      <c r="J42" s="9"/>
    </row>
    <row r="43" spans="1:10" x14ac:dyDescent="0.3">
      <c r="A43" s="63" t="s">
        <v>50</v>
      </c>
      <c r="B43" s="64">
        <f>COUNTIF(G:G,A43)/(COUNTIF(G:G,A41)+COUNTIF(G:G,A42)+COUNTIF(G:G,A43)+COUNTIF(G:G,A44))</f>
        <v>6.0606060606060608E-2</v>
      </c>
      <c r="G43" s="9"/>
      <c r="H43" s="54" t="s">
        <v>54</v>
      </c>
      <c r="I43" s="55">
        <v>4</v>
      </c>
      <c r="J43" s="9"/>
    </row>
    <row r="44" spans="1:10" x14ac:dyDescent="0.3">
      <c r="A44" s="66" t="s">
        <v>99</v>
      </c>
      <c r="B44" s="67">
        <f>COUNTIF(G:G,A44)/(COUNTIF(G:G,A41)+COUNTIF(G:G,A42)+COUNTIF(G:G,A43)+COUNTIF(G:G,A44))</f>
        <v>0.78787878787878785</v>
      </c>
      <c r="G44" s="9"/>
      <c r="H44" s="9"/>
      <c r="I44" s="9"/>
      <c r="J44" s="9"/>
    </row>
    <row r="45" spans="1:10" x14ac:dyDescent="0.3">
      <c r="G45" s="9"/>
      <c r="H45" s="9"/>
      <c r="I45" s="9"/>
      <c r="J45" s="9"/>
    </row>
    <row r="46" spans="1:10" x14ac:dyDescent="0.3">
      <c r="G46" s="9"/>
      <c r="J46" s="9"/>
    </row>
    <row r="47" spans="1:10" x14ac:dyDescent="0.3">
      <c r="G47" s="9"/>
      <c r="J47" s="9"/>
    </row>
  </sheetData>
  <conditionalFormatting sqref="A41:A44 G4:G37">
    <cfRule type="cellIs" dxfId="3" priority="41" operator="equal">
      <formula>$A$44</formula>
    </cfRule>
    <cfRule type="cellIs" dxfId="2" priority="42" operator="equal">
      <formula>$A$43</formula>
    </cfRule>
    <cfRule type="cellIs" dxfId="1" priority="43" operator="equal">
      <formula>$A$42</formula>
    </cfRule>
    <cfRule type="cellIs" dxfId="0" priority="44" operator="equal">
      <formula>$A$41</formula>
    </cfRule>
  </conditionalFormatting>
  <dataValidations count="1">
    <dataValidation type="list" allowBlank="1" showInputMessage="1" showErrorMessage="1" sqref="G48:G1048576 G1:G37" xr:uid="{00000000-0002-0000-0200-000000000000}">
      <formula1>$A$41:$A$44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User guide</vt:lpstr>
      <vt:lpstr>Project dashboard</vt:lpstr>
      <vt:lpstr>Data</vt:lpstr>
      <vt:lpstr>Budget</vt:lpstr>
      <vt:lpstr>Elements</vt:lpstr>
      <vt:lpstr>Taches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Manal Jalila</dc:creator>
  <cp:lastModifiedBy>Sara</cp:lastModifiedBy>
  <dcterms:created xsi:type="dcterms:W3CDTF">2020-05-06T12:23:49Z</dcterms:created>
  <dcterms:modified xsi:type="dcterms:W3CDTF">2022-03-15T09:06:55Z</dcterms:modified>
</cp:coreProperties>
</file>