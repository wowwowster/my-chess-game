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reelance\BGDP\Kit du chef de projet\Kit de Mangement de Projet 22022023\Version EN\LifeCycle\03-Planification\15- Gantt planning project\"/>
    </mc:Choice>
  </mc:AlternateContent>
  <xr:revisionPtr revIDLastSave="0" documentId="13_ncr:1_{9E44EF85-221B-4E30-9A94-7DF55F87128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User guide" sheetId="6" r:id="rId1"/>
    <sheet name="Gantt chart" sheetId="3" r:id="rId2"/>
    <sheet name="Resources" sheetId="7" r:id="rId3"/>
  </sheets>
  <definedNames>
    <definedName name="constYac">1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8" i="3" l="1"/>
  <c r="H54" i="3" s="1"/>
  <c r="K17" i="3"/>
  <c r="K16" i="3" s="1"/>
  <c r="I19" i="3"/>
  <c r="I31" i="3"/>
  <c r="I38" i="3"/>
  <c r="I54" i="3"/>
  <c r="I25" i="3"/>
  <c r="H20" i="3"/>
  <c r="F19" i="3"/>
  <c r="F25" i="3"/>
  <c r="F31" i="3"/>
  <c r="F38" i="3"/>
  <c r="F54" i="3"/>
  <c r="H21" i="3"/>
  <c r="H36" i="3"/>
  <c r="H22" i="3"/>
  <c r="H24" i="3"/>
  <c r="H57" i="3"/>
  <c r="H56" i="3"/>
  <c r="H55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7" i="3"/>
  <c r="H35" i="3"/>
  <c r="H34" i="3"/>
  <c r="H33" i="3"/>
  <c r="H32" i="3"/>
  <c r="H30" i="3"/>
  <c r="H29" i="3"/>
  <c r="H28" i="3"/>
  <c r="H27" i="3"/>
  <c r="H26" i="3"/>
  <c r="H23" i="3"/>
  <c r="G54" i="3" l="1"/>
  <c r="F18" i="3"/>
  <c r="H38" i="3"/>
  <c r="G38" i="3" s="1"/>
  <c r="H25" i="3"/>
  <c r="G25" i="3" s="1"/>
  <c r="H31" i="3"/>
  <c r="G31" i="3" s="1"/>
  <c r="H19" i="3"/>
  <c r="G19" i="3" s="1"/>
  <c r="I18" i="3"/>
  <c r="L17" i="3"/>
  <c r="I60" i="3"/>
  <c r="K15" i="3"/>
  <c r="H18" i="3"/>
  <c r="G18" i="3" s="1"/>
  <c r="K18" i="3"/>
  <c r="K14" i="3"/>
  <c r="M17" i="3" l="1"/>
  <c r="L16" i="3"/>
  <c r="L18" i="3"/>
  <c r="L15" i="3"/>
  <c r="N17" i="3" l="1"/>
  <c r="M16" i="3"/>
  <c r="M18" i="3"/>
  <c r="M15" i="3"/>
  <c r="N15" i="3" l="1"/>
  <c r="O17" i="3"/>
  <c r="N16" i="3"/>
  <c r="N18" i="3"/>
  <c r="O15" i="3" l="1"/>
  <c r="P17" i="3"/>
  <c r="O16" i="3"/>
  <c r="O18" i="3"/>
  <c r="P15" i="3" l="1"/>
  <c r="Q17" i="3"/>
  <c r="P16" i="3"/>
  <c r="P18" i="3"/>
  <c r="Q18" i="3" l="1"/>
  <c r="Q15" i="3"/>
  <c r="R17" i="3"/>
  <c r="Q16" i="3"/>
  <c r="R14" i="3" l="1"/>
  <c r="R18" i="3"/>
  <c r="R15" i="3"/>
  <c r="S17" i="3"/>
  <c r="R16" i="3"/>
  <c r="T17" i="3" l="1"/>
  <c r="S16" i="3"/>
  <c r="S18" i="3"/>
  <c r="S15" i="3"/>
  <c r="T16" i="3" l="1"/>
  <c r="T18" i="3"/>
  <c r="T15" i="3"/>
  <c r="U17" i="3"/>
  <c r="U16" i="3" l="1"/>
  <c r="U18" i="3"/>
  <c r="U15" i="3"/>
  <c r="V17" i="3"/>
  <c r="V15" i="3" l="1"/>
  <c r="V16" i="3"/>
  <c r="V18" i="3"/>
  <c r="W17" i="3"/>
  <c r="W15" i="3" l="1"/>
  <c r="W16" i="3"/>
  <c r="W18" i="3"/>
  <c r="X17" i="3"/>
  <c r="X15" i="3" l="1"/>
  <c r="X16" i="3"/>
  <c r="X18" i="3"/>
  <c r="Y17" i="3"/>
  <c r="Y18" i="3" l="1"/>
  <c r="Y15" i="3"/>
  <c r="Y16" i="3"/>
  <c r="Y14" i="3"/>
  <c r="Z17" i="3"/>
  <c r="Z18" i="3" l="1"/>
  <c r="Z15" i="3"/>
  <c r="Z16" i="3"/>
  <c r="AA17" i="3"/>
  <c r="AA16" i="3" l="1"/>
  <c r="AA18" i="3"/>
  <c r="AA15" i="3"/>
  <c r="AB17" i="3"/>
  <c r="AB16" i="3" l="1"/>
  <c r="AB18" i="3"/>
  <c r="AB15" i="3"/>
  <c r="AC17" i="3"/>
  <c r="AC16" i="3" l="1"/>
  <c r="AC18" i="3"/>
  <c r="AC15" i="3"/>
  <c r="AD17" i="3"/>
  <c r="AD15" i="3" l="1"/>
  <c r="AD16" i="3"/>
  <c r="AD18" i="3"/>
  <c r="AE17" i="3"/>
  <c r="AE15" i="3" l="1"/>
  <c r="AE16" i="3"/>
  <c r="AE18" i="3"/>
  <c r="AF17" i="3"/>
  <c r="AF15" i="3" l="1"/>
  <c r="AF16" i="3"/>
  <c r="AF14" i="3"/>
  <c r="AF18" i="3"/>
  <c r="AG17" i="3"/>
  <c r="AG18" i="3" l="1"/>
  <c r="AG15" i="3"/>
  <c r="AG16" i="3"/>
  <c r="AH17" i="3"/>
  <c r="AH18" i="3" l="1"/>
  <c r="AH15" i="3"/>
  <c r="AH16" i="3"/>
  <c r="AI17" i="3"/>
  <c r="AI16" i="3" l="1"/>
  <c r="AI18" i="3"/>
  <c r="AI15" i="3"/>
  <c r="AJ17" i="3"/>
  <c r="AJ16" i="3" l="1"/>
  <c r="AJ18" i="3"/>
  <c r="AJ15" i="3"/>
  <c r="AK17" i="3"/>
  <c r="AK16" i="3" l="1"/>
  <c r="AK18" i="3"/>
  <c r="AK15" i="3"/>
  <c r="AL17" i="3"/>
  <c r="AL15" i="3" l="1"/>
  <c r="AL16" i="3"/>
  <c r="AL18" i="3"/>
  <c r="AM17" i="3"/>
  <c r="AM15" i="3" l="1"/>
  <c r="AM16" i="3"/>
  <c r="AM14" i="3"/>
  <c r="AM18" i="3"/>
  <c r="AN17" i="3"/>
  <c r="AN15" i="3" l="1"/>
  <c r="AN16" i="3"/>
  <c r="AN18" i="3"/>
  <c r="AO17" i="3"/>
  <c r="AO18" i="3" l="1"/>
  <c r="AO15" i="3"/>
  <c r="AO16" i="3"/>
  <c r="AP17" i="3"/>
  <c r="AP18" i="3" l="1"/>
  <c r="AP15" i="3"/>
  <c r="AP16" i="3"/>
  <c r="AQ17" i="3"/>
  <c r="AQ16" i="3" l="1"/>
  <c r="AQ18" i="3"/>
  <c r="AQ15" i="3"/>
  <c r="AR17" i="3"/>
  <c r="AR16" i="3" l="1"/>
  <c r="AR18" i="3"/>
  <c r="AR15" i="3"/>
  <c r="AS17" i="3"/>
  <c r="AS16" i="3" l="1"/>
  <c r="AS18" i="3"/>
  <c r="AS15" i="3"/>
  <c r="AT17" i="3"/>
  <c r="AT15" i="3" l="1"/>
  <c r="AT16" i="3"/>
  <c r="AT14" i="3"/>
  <c r="AT18" i="3"/>
  <c r="AU17" i="3"/>
  <c r="AU15" i="3" l="1"/>
  <c r="AU16" i="3"/>
  <c r="AU18" i="3"/>
  <c r="AV17" i="3"/>
  <c r="AV15" i="3" l="1"/>
  <c r="AV16" i="3"/>
  <c r="AV18" i="3"/>
  <c r="AW17" i="3"/>
  <c r="AW18" i="3" l="1"/>
  <c r="AW15" i="3"/>
  <c r="AW16" i="3"/>
  <c r="AX17" i="3"/>
  <c r="AX18" i="3" l="1"/>
  <c r="AX15" i="3"/>
  <c r="AX16" i="3"/>
  <c r="AY17" i="3"/>
  <c r="AY16" i="3" l="1"/>
  <c r="AY18" i="3"/>
  <c r="AY15" i="3"/>
  <c r="AZ17" i="3"/>
  <c r="AZ16" i="3" l="1"/>
  <c r="AZ18" i="3"/>
  <c r="AZ15" i="3"/>
  <c r="BA17" i="3"/>
  <c r="BA16" i="3" l="1"/>
  <c r="BA14" i="3"/>
  <c r="BA18" i="3"/>
  <c r="BA15" i="3"/>
  <c r="BB17" i="3"/>
  <c r="BB15" i="3" l="1"/>
  <c r="BB16" i="3"/>
  <c r="BB18" i="3"/>
  <c r="BC17" i="3"/>
  <c r="BC15" i="3" l="1"/>
  <c r="BC16" i="3"/>
  <c r="BC18" i="3"/>
  <c r="BD17" i="3"/>
  <c r="BD15" i="3" l="1"/>
  <c r="BD16" i="3"/>
  <c r="BD18" i="3"/>
  <c r="BE17" i="3"/>
  <c r="BE18" i="3" l="1"/>
  <c r="BE15" i="3"/>
  <c r="BE16" i="3"/>
  <c r="BF17" i="3"/>
  <c r="BF18" i="3" l="1"/>
  <c r="BF15" i="3"/>
  <c r="BF16" i="3"/>
  <c r="BG17" i="3"/>
  <c r="BG16" i="3" l="1"/>
  <c r="BG18" i="3"/>
  <c r="BG15" i="3"/>
  <c r="BH17" i="3"/>
  <c r="BH16" i="3" l="1"/>
  <c r="BH14" i="3"/>
  <c r="BH18" i="3"/>
  <c r="BH15" i="3"/>
  <c r="BI17" i="3"/>
  <c r="BI16" i="3" l="1"/>
  <c r="BI18" i="3"/>
  <c r="BI15" i="3"/>
  <c r="BJ17" i="3"/>
  <c r="BJ15" i="3" l="1"/>
  <c r="BJ16" i="3"/>
  <c r="BJ18" i="3"/>
  <c r="BK17" i="3"/>
  <c r="BK15" i="3" l="1"/>
  <c r="BK16" i="3"/>
  <c r="BK18" i="3"/>
</calcChain>
</file>

<file path=xl/sharedStrings.xml><?xml version="1.0" encoding="utf-8"?>
<sst xmlns="http://schemas.openxmlformats.org/spreadsheetml/2006/main" count="279" uniqueCount="205">
  <si>
    <t>1.0</t>
  </si>
  <si>
    <t>2.1</t>
  </si>
  <si>
    <t>3.1</t>
  </si>
  <si>
    <t>4.1</t>
  </si>
  <si>
    <t>5.1</t>
  </si>
  <si>
    <t>Estimation avancement projet</t>
  </si>
  <si>
    <t>ID :</t>
  </si>
  <si>
    <t>Mme.Dupont</t>
  </si>
  <si>
    <t>V2.3</t>
  </si>
  <si>
    <t>ID</t>
  </si>
  <si>
    <t>Deadline</t>
  </si>
  <si>
    <t>Chantal Dupont</t>
  </si>
  <si>
    <t>1.1</t>
  </si>
  <si>
    <t>1.2</t>
  </si>
  <si>
    <t>Monique Davant</t>
  </si>
  <si>
    <t>1.3</t>
  </si>
  <si>
    <t>Denise Attali</t>
  </si>
  <si>
    <t>1.4</t>
  </si>
  <si>
    <t>Jean Albert</t>
  </si>
  <si>
    <t>2.2</t>
  </si>
  <si>
    <t>2.3</t>
  </si>
  <si>
    <t>2.4</t>
  </si>
  <si>
    <t>2.5</t>
  </si>
  <si>
    <t>3.2</t>
  </si>
  <si>
    <t>3.3</t>
  </si>
  <si>
    <t>3.4</t>
  </si>
  <si>
    <t>3.5</t>
  </si>
  <si>
    <t>3.6</t>
  </si>
  <si>
    <t xml:space="preserve"> 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</si>
  <si>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</si>
  <si>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</si>
  <si>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</si>
  <si>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</si>
  <si>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</si>
  <si>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</si>
  <si>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</si>
  <si>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</si>
  <si>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</si>
  <si>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</si>
  <si>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</si>
  <si>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</si>
  <si>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</si>
  <si>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</si>
  <si>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1,2,3,4</t>
  </si>
  <si>
    <t>5.2</t>
  </si>
  <si>
    <t>5.3</t>
  </si>
  <si>
    <t>5.4</t>
  </si>
  <si>
    <t>2.2-2,4</t>
  </si>
  <si>
    <t>3.1-3.3</t>
  </si>
  <si>
    <t>5.1-5.3</t>
  </si>
  <si>
    <t>Chef de Projet</t>
  </si>
  <si>
    <t>DupontC@confassis.com</t>
  </si>
  <si>
    <t>Olivier Robespierre</t>
  </si>
  <si>
    <t>Sponsor</t>
  </si>
  <si>
    <t>RobespierreO@confassis.com</t>
  </si>
  <si>
    <t>Jacques Meunier</t>
  </si>
  <si>
    <t>Responsable Intégration</t>
  </si>
  <si>
    <t>MeunierJ@confassis.com</t>
  </si>
  <si>
    <t>Coordinatrice Finances</t>
  </si>
  <si>
    <t>DavantM@confassis.com</t>
  </si>
  <si>
    <t>Coordinatrice Ventes</t>
  </si>
  <si>
    <t>AttaliD@confassis.com</t>
  </si>
  <si>
    <t>Coordinateur Achats</t>
  </si>
  <si>
    <t>AlbertJ@confassis.com</t>
  </si>
  <si>
    <t>Eric Duteil</t>
  </si>
  <si>
    <t>Coordinateur Logistique</t>
  </si>
  <si>
    <t>DuteilE@confassis.com</t>
  </si>
  <si>
    <t>Daniel Château</t>
  </si>
  <si>
    <t>Directeur Informatique</t>
  </si>
  <si>
    <t>ChateauD@confassis.com</t>
  </si>
  <si>
    <t>Responsable du Changement</t>
  </si>
  <si>
    <t>DupuisB@confassis.com</t>
  </si>
  <si>
    <t>Marianne Anselme</t>
  </si>
  <si>
    <t>Expert SAP Finances FI/CO</t>
  </si>
  <si>
    <t>AnselmeM@confassis.com</t>
  </si>
  <si>
    <t>Gérard Lourte</t>
  </si>
  <si>
    <t>Expert SAP Finances Immobilisations</t>
  </si>
  <si>
    <t>LourteG@confassis.com</t>
  </si>
  <si>
    <t>Marcel Poste</t>
  </si>
  <si>
    <t>Expert SAP Ventes</t>
  </si>
  <si>
    <t>PosteM@confassis.com</t>
  </si>
  <si>
    <t>Bernard Tassin</t>
  </si>
  <si>
    <t>TassinB@confassis.com</t>
  </si>
  <si>
    <t>Edouard Leperre</t>
  </si>
  <si>
    <t>Expert SAP Achats</t>
  </si>
  <si>
    <t>LeperreE@confassis.com</t>
  </si>
  <si>
    <t>Carine Refour</t>
  </si>
  <si>
    <t>RefourC@confassis.com</t>
  </si>
  <si>
    <t>Henri Saulnier</t>
  </si>
  <si>
    <t>Expert SAP Logistique</t>
  </si>
  <si>
    <t>SaulnierH@confassis.com</t>
  </si>
  <si>
    <t>Marc Ellin</t>
  </si>
  <si>
    <t>EllinM@confassis.com</t>
  </si>
  <si>
    <t>Juliette Binot</t>
  </si>
  <si>
    <t>Experte Master Data</t>
  </si>
  <si>
    <t>BinotJ@confassis.com</t>
  </si>
  <si>
    <t>Antoine Fleur</t>
  </si>
  <si>
    <t>Expert Master Data</t>
  </si>
  <si>
    <t>FleurA@confassis.com</t>
  </si>
  <si>
    <t>Georges Clonet</t>
  </si>
  <si>
    <t>Coordinateur Production</t>
  </si>
  <si>
    <t>ClonetG@confassis.com</t>
  </si>
  <si>
    <t>Utilisateurs CMRL</t>
  </si>
  <si>
    <t>Testeurs et valideurs</t>
  </si>
  <si>
    <t>Bernard Dupuis</t>
  </si>
  <si>
    <t>Name / Code project</t>
  </si>
  <si>
    <t>Reference</t>
  </si>
  <si>
    <t>Project manager</t>
  </si>
  <si>
    <t>Service/Organization</t>
  </si>
  <si>
    <t>Project 1/ABC</t>
  </si>
  <si>
    <t>Program PG01/Portfolio PF02</t>
  </si>
  <si>
    <t>Marketing/ Society XY</t>
  </si>
  <si>
    <t>Creation Date</t>
  </si>
  <si>
    <t>Version date</t>
  </si>
  <si>
    <t>Version number</t>
  </si>
  <si>
    <t>Project start date</t>
  </si>
  <si>
    <t>Planned project end date</t>
  </si>
  <si>
    <t>Estimated project end date</t>
  </si>
  <si>
    <t>WBS - Activity / task</t>
  </si>
  <si>
    <t>Dependency</t>
  </si>
  <si>
    <t>Assigned to</t>
  </si>
  <si>
    <t>Start</t>
  </si>
  <si>
    <t>Progress</t>
  </si>
  <si>
    <t>Initiation</t>
  </si>
  <si>
    <t>Opportunity and approval study</t>
  </si>
  <si>
    <t>Preparation of the Project Charter - Justification</t>
  </si>
  <si>
    <t>Cost / time estimate</t>
  </si>
  <si>
    <t>Drafting of the Project Charter</t>
  </si>
  <si>
    <t>Approval of the Project Charter</t>
  </si>
  <si>
    <t>Planning</t>
  </si>
  <si>
    <t>General design</t>
  </si>
  <si>
    <t>Drafting specifications</t>
  </si>
  <si>
    <t>Communication Plan</t>
  </si>
  <si>
    <t>Approval of Specifications, Communication Plan, Project Plan and Schedule</t>
  </si>
  <si>
    <t>Execution</t>
  </si>
  <si>
    <t>Parameterization and unit tests</t>
  </si>
  <si>
    <t>Master Data settings and corrections</t>
  </si>
  <si>
    <t>Parameter setting, programming and production test</t>
  </si>
  <si>
    <t>System tests, corrections and validation</t>
  </si>
  <si>
    <t>Official validation by users</t>
  </si>
  <si>
    <t>Validation of the phase by the management committee</t>
  </si>
  <si>
    <t>Control and monitoring</t>
  </si>
  <si>
    <t>Integration and consolidation tests</t>
  </si>
  <si>
    <t>Integration and consolidation tests, system validation</t>
  </si>
  <si>
    <t>USER TRAINING</t>
  </si>
  <si>
    <t>Preparation and validation of pre-production environment</t>
  </si>
  <si>
    <t>Deployment</t>
  </si>
  <si>
    <t>Failover and validation</t>
  </si>
  <si>
    <t>Master Data validation</t>
  </si>
  <si>
    <t>User validation</t>
  </si>
  <si>
    <t>Productive start-up decision</t>
  </si>
  <si>
    <t>Productive start</t>
  </si>
  <si>
    <t>Project monitoring, documentation and corrections</t>
  </si>
  <si>
    <t>Master Data Corrections</t>
  </si>
  <si>
    <t>User tracking</t>
  </si>
  <si>
    <t>Month-end</t>
  </si>
  <si>
    <t>PV Acknowledgment of receipt</t>
  </si>
  <si>
    <t>Closing</t>
  </si>
  <si>
    <t>List of corrections</t>
  </si>
  <si>
    <t>Documentation lessons learned Project</t>
  </si>
  <si>
    <t>Correction plan</t>
  </si>
  <si>
    <t>Closing meeting</t>
  </si>
  <si>
    <t>Using Gantt planning project template</t>
  </si>
  <si>
    <t>I. How to use the template</t>
  </si>
  <si>
    <t>Complete the "Gantt Chart" sheet as follows:</t>
  </si>
  <si>
    <t xml:space="preserve">WBS : Work Breakdown Structure </t>
  </si>
  <si>
    <t>Fill in the following columns:</t>
  </si>
  <si>
    <t>Fill in the ID of your task / activity taking into account its level in the WBS</t>
  </si>
  <si>
    <t>Activity / Task:</t>
  </si>
  <si>
    <t>Fill in the name of the task or activity</t>
  </si>
  <si>
    <t>dependency</t>
  </si>
  <si>
    <t>Put the ID of the tasks / activities that this task has a dependency on</t>
  </si>
  <si>
    <t>Assigned to:</t>
  </si>
  <si>
    <t>Fill in the name of the resource from the drop-down list.
You can add your resources, replacing the existing names on the "Resources" sheet. To add other names, just add it at the bottom of the list.</t>
  </si>
  <si>
    <t>Indicate the start date of the task</t>
  </si>
  <si>
    <t>Duration / day:</t>
  </si>
  <si>
    <t>Enter the duration of the task in days</t>
  </si>
  <si>
    <t>This information is calculated automatically based on the start date and duration</t>
  </si>
  <si>
    <t>Enter the % progress of the task. By default the progress is 0%. The cell is colored automatically according to the progress</t>
  </si>
  <si>
    <t>Based on this information, the schedule is automatically drawn up</t>
  </si>
  <si>
    <t>II. Template customization</t>
  </si>
  <si>
    <t>Adding a task</t>
  </si>
  <si>
    <t>1. Go to the "Gantt Chart" sheet</t>
  </si>
  <si>
    <t>2. Insert a line where you want to add a task.</t>
  </si>
  <si>
    <t>3. Fill in the dependencies (predecessors) of the task by noting the ID of the predecessor</t>
  </si>
  <si>
    <t>4. Complete the line manually : resources, start, and duration. The deadline is filled automatically. Then enter the percentage of progress manually.</t>
  </si>
  <si>
    <t>Warning: If you are planning simultaneous or overlapping tasks, consider modifying the deadline manually so that the resource is not "overbooked".</t>
  </si>
  <si>
    <t>Name /Project Code</t>
  </si>
  <si>
    <t>Creation date</t>
  </si>
  <si>
    <t>Name</t>
  </si>
  <si>
    <t>Role</t>
  </si>
  <si>
    <t>Email Address</t>
  </si>
  <si>
    <t>Phone</t>
  </si>
  <si>
    <t>Project start date:</t>
  </si>
  <si>
    <t>Enter the start date of your project. The calendar will be updated upon changing the project start date,</t>
  </si>
  <si>
    <t>Time scale:</t>
  </si>
  <si>
    <t>Note that you can display more weeks by using the right and left scroll. You can also change the time scale from "days" to "week" to "month":</t>
  </si>
  <si>
    <t>You can also highlight the current date by clicking on the green button, regardless of your progress in time:</t>
  </si>
  <si>
    <t>Progress:</t>
  </si>
  <si>
    <t>Deadline:</t>
  </si>
  <si>
    <t>Start:</t>
  </si>
  <si>
    <t>Duration</t>
  </si>
  <si>
    <t>March</t>
  </si>
  <si>
    <t>April</t>
  </si>
  <si>
    <t>Insert line above this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</si>
</sst>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&quot; &quot;00&quot; &quot;00&quot; &quot;00"/>
    <numFmt numFmtId="165" formatCode=";;;"/>
    <numFmt numFmtId="166" formatCode="yyyy\-mm\-dd;@"/>
    <numFmt numFmtId="167" formatCode="mm/dd/yy;@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Candara"/>
      <family val="2"/>
    </font>
    <font>
      <b/>
      <sz val="9"/>
      <color theme="1"/>
      <name val="Arial"/>
      <family val="2"/>
    </font>
    <font>
      <b/>
      <sz val="9"/>
      <color theme="1"/>
      <name val="Candara"/>
      <family val="2"/>
    </font>
    <font>
      <sz val="9"/>
      <name val="Arial"/>
      <family val="2"/>
    </font>
    <font>
      <sz val="11"/>
      <color theme="1"/>
      <name val="Candara"/>
      <family val="2"/>
    </font>
    <font>
      <b/>
      <sz val="18"/>
      <color theme="1"/>
      <name val="Candara"/>
      <family val="2"/>
    </font>
    <font>
      <b/>
      <sz val="11"/>
      <color theme="1"/>
      <name val="Candara"/>
      <family val="2"/>
    </font>
    <font>
      <b/>
      <sz val="14"/>
      <color theme="1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20"/>
      <color rgb="FF62BD8A"/>
      <name val="Candara"/>
      <family val="2"/>
    </font>
    <font>
      <b/>
      <sz val="12"/>
      <color rgb="FF439B69"/>
      <name val="Candara"/>
      <family val="2"/>
    </font>
    <font>
      <b/>
      <sz val="16"/>
      <color rgb="FF62BD8A"/>
      <name val="Candara"/>
      <family val="2"/>
    </font>
    <font>
      <b/>
      <sz val="18"/>
      <color rgb="FF62BD8A"/>
      <name val="Candara"/>
      <family val="2"/>
    </font>
    <font>
      <b/>
      <sz val="11"/>
      <color rgb="FF439B69"/>
      <name val="Candara"/>
      <family val="2"/>
    </font>
    <font>
      <sz val="11"/>
      <color rgb="FF439B69"/>
      <name val="Candara"/>
      <family val="2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b/>
      <sz val="11"/>
      <color rgb="FF000000"/>
      <name val="Calibri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name val="Candara"/>
      <family val="2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b/>
      <sz val="11"/>
      <color rgb="FF62BD8A"/>
      <name val="Candara"/>
      <family val="2"/>
    </font>
    <font>
      <b/>
      <sz val="16"/>
      <color theme="1"/>
      <name val="Candara"/>
      <family val="2"/>
    </font>
    <font>
      <b/>
      <sz val="14"/>
      <color rgb="FFFF0000"/>
      <name val="Candara"/>
      <family val="2"/>
    </font>
    <font>
      <sz val="8"/>
      <color rgb="FF000000"/>
      <name val="Segoe UI"/>
      <family val="2"/>
    </font>
    <font>
      <b/>
      <sz val="10"/>
      <color rgb="FF439B69"/>
      <name val="Arial"/>
      <family val="2"/>
    </font>
    <font>
      <sz val="8"/>
      <name val="Arial"/>
      <family val="2"/>
    </font>
    <font>
      <sz val="8"/>
      <color theme="1"/>
      <name val="Candara"/>
      <family val="2"/>
    </font>
    <font>
      <sz val="11"/>
      <color rgb="FFFFFFFF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39B69"/>
        <bgColor indexed="64"/>
      </patternFill>
    </fill>
    <fill>
      <patternFill patternType="solid">
        <fgColor rgb="FF62BD8A"/>
        <bgColor indexed="64"/>
      </patternFill>
    </fill>
    <fill>
      <patternFill patternType="solid">
        <fgColor theme="2" tint="-9.9978637043366805E-2"/>
        <bgColor indexed="64"/>
      </patternFill>
    </fill>
  </fills>
  <borders count="44"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rgb="FF62BD8A"/>
      </right>
      <top/>
      <bottom style="thin">
        <color rgb="FF439B69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439B69"/>
      </left>
      <right/>
      <top style="thin">
        <color rgb="FF439B69"/>
      </top>
      <bottom style="thin">
        <color rgb="FF439B69"/>
      </bottom>
      <diagonal/>
    </border>
    <border>
      <left/>
      <right style="thin">
        <color rgb="FF439B69"/>
      </right>
      <top style="thin">
        <color rgb="FF439B69"/>
      </top>
      <bottom style="thin">
        <color rgb="FF439B69"/>
      </bottom>
      <diagonal/>
    </border>
    <border>
      <left/>
      <right/>
      <top/>
      <bottom style="thin">
        <color rgb="FF439B69"/>
      </bottom>
      <diagonal/>
    </border>
    <border>
      <left/>
      <right style="thin">
        <color rgb="FF439B69"/>
      </right>
      <top/>
      <bottom style="thin">
        <color rgb="FF439B69"/>
      </bottom>
      <diagonal/>
    </border>
    <border>
      <left/>
      <right/>
      <top style="thin">
        <color rgb="FF439B69"/>
      </top>
      <bottom style="thin">
        <color rgb="FF439B69"/>
      </bottom>
      <diagonal/>
    </border>
    <border>
      <left/>
      <right/>
      <top style="thin">
        <color rgb="FF439B69"/>
      </top>
      <bottom/>
      <diagonal/>
    </border>
    <border>
      <left style="medium">
        <color rgb="FF439B69"/>
      </left>
      <right/>
      <top style="medium">
        <color rgb="FF439B69"/>
      </top>
      <bottom style="medium">
        <color rgb="FF439B69"/>
      </bottom>
      <diagonal/>
    </border>
    <border>
      <left/>
      <right style="medium">
        <color rgb="FF439B69"/>
      </right>
      <top style="medium">
        <color rgb="FF439B69"/>
      </top>
      <bottom style="medium">
        <color rgb="FF439B69"/>
      </bottom>
      <diagonal/>
    </border>
    <border>
      <left/>
      <right/>
      <top style="medium">
        <color rgb="FF439B69"/>
      </top>
      <bottom style="medium">
        <color rgb="FF439B69"/>
      </bottom>
      <diagonal/>
    </border>
    <border>
      <left style="medium">
        <color rgb="FF439B69"/>
      </left>
      <right/>
      <top/>
      <bottom/>
      <diagonal/>
    </border>
    <border>
      <left style="thin">
        <color theme="1"/>
      </left>
      <right style="medium">
        <color rgb="FF439B69"/>
      </right>
      <top/>
      <bottom/>
      <diagonal/>
    </border>
    <border>
      <left style="medium">
        <color rgb="FF439B69"/>
      </left>
      <right/>
      <top/>
      <bottom style="medium">
        <color rgb="FF439B69"/>
      </bottom>
      <diagonal/>
    </border>
    <border>
      <left style="medium">
        <color rgb="FF439B69"/>
      </left>
      <right/>
      <top/>
      <bottom style="thin">
        <color rgb="FF62BD8A"/>
      </bottom>
      <diagonal/>
    </border>
    <border>
      <left/>
      <right/>
      <top/>
      <bottom style="thin">
        <color rgb="FF62BD8A"/>
      </bottom>
      <diagonal/>
    </border>
    <border>
      <left/>
      <right style="medium">
        <color rgb="FF439B69"/>
      </right>
      <top/>
      <bottom style="thin">
        <color rgb="FF62BD8A"/>
      </bottom>
      <diagonal/>
    </border>
    <border>
      <left style="medium">
        <color rgb="FF439B69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medium">
        <color rgb="FF439B69"/>
      </right>
      <top style="thin">
        <color rgb="FF62BD8A"/>
      </top>
      <bottom style="thin">
        <color rgb="FF62BD8A"/>
      </bottom>
      <diagonal/>
    </border>
    <border>
      <left style="medium">
        <color rgb="FF439B69"/>
      </left>
      <right/>
      <top style="medium">
        <color rgb="FF439B69"/>
      </top>
      <bottom style="thin">
        <color theme="1"/>
      </bottom>
      <diagonal/>
    </border>
    <border>
      <left/>
      <right/>
      <top style="medium">
        <color rgb="FF439B69"/>
      </top>
      <bottom style="thin">
        <color theme="1"/>
      </bottom>
      <diagonal/>
    </border>
    <border>
      <left/>
      <right style="medium">
        <color rgb="FF439B69"/>
      </right>
      <top style="medium">
        <color rgb="FF439B69"/>
      </top>
      <bottom style="thin">
        <color theme="1"/>
      </bottom>
      <diagonal/>
    </border>
    <border>
      <left style="medium">
        <color rgb="FF439B69"/>
      </left>
      <right/>
      <top style="thin">
        <color theme="1"/>
      </top>
      <bottom style="thin">
        <color theme="1"/>
      </bottom>
      <diagonal/>
    </border>
    <border>
      <left/>
      <right style="medium">
        <color rgb="FF439B69"/>
      </right>
      <top style="thin">
        <color theme="1"/>
      </top>
      <bottom style="thin">
        <color theme="1"/>
      </bottom>
      <diagonal/>
    </border>
    <border>
      <left style="thin">
        <color rgb="FF62BD8A"/>
      </left>
      <right/>
      <top/>
      <bottom style="thin">
        <color rgb="FF62BD8A"/>
      </bottom>
      <diagonal/>
    </border>
    <border>
      <left style="medium">
        <color rgb="FF439B69"/>
      </left>
      <right style="medium">
        <color rgb="FF439B69"/>
      </right>
      <top/>
      <bottom style="medium">
        <color rgb="FF439B69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rgb="FF439B69"/>
      </right>
      <top/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439B69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 style="thin">
        <color theme="0"/>
      </left>
      <right/>
      <top style="thin">
        <color rgb="FF62BD8A"/>
      </top>
      <bottom style="thin">
        <color rgb="FF62BD8A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rgb="FF439B69"/>
      </left>
      <right/>
      <top style="medium">
        <color rgb="FF439B69"/>
      </top>
      <bottom/>
      <diagonal/>
    </border>
    <border>
      <left/>
      <right/>
      <top style="medium">
        <color rgb="FF439B69"/>
      </top>
      <bottom/>
      <diagonal/>
    </border>
    <border>
      <left/>
      <right/>
      <top/>
      <bottom style="medium">
        <color rgb="FF439B69"/>
      </bottom>
      <diagonal/>
    </border>
    <border>
      <left/>
      <right style="medium">
        <color rgb="FF439B69"/>
      </right>
      <top/>
      <bottom style="medium">
        <color rgb="FF439B69"/>
      </bottom>
      <diagonal/>
    </border>
    <border>
      <left style="medium">
        <color rgb="FF439B69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54">
    <xf numFmtId="0" fontId="0" fillId="0" borderId="0" xfId="0"/>
    <xf numFmtId="0" fontId="2" fillId="2" borderId="0" xfId="0" applyFont="1" applyFill="1" applyProtection="1">
      <protection locked="0"/>
    </xf>
    <xf numFmtId="0" fontId="6" fillId="2" borderId="2" xfId="0" applyFont="1" applyFill="1" applyBorder="1" applyProtection="1">
      <protection locked="0"/>
    </xf>
    <xf numFmtId="0" fontId="2" fillId="2" borderId="3" xfId="0" applyFont="1" applyFill="1" applyBorder="1" applyProtection="1">
      <protection locked="0"/>
    </xf>
    <xf numFmtId="0" fontId="7" fillId="2" borderId="0" xfId="0" applyFont="1" applyFill="1"/>
    <xf numFmtId="0" fontId="7" fillId="0" borderId="0" xfId="0" applyFont="1"/>
    <xf numFmtId="0" fontId="8" fillId="2" borderId="0" xfId="0" applyFont="1" applyFill="1"/>
    <xf numFmtId="0" fontId="7" fillId="2" borderId="0" xfId="0" applyFont="1" applyFill="1" applyAlignment="1">
      <alignment vertical="top"/>
    </xf>
    <xf numFmtId="0" fontId="7" fillId="0" borderId="0" xfId="0" applyFont="1" applyAlignment="1">
      <alignment vertical="top"/>
    </xf>
    <xf numFmtId="0" fontId="10" fillId="2" borderId="0" xfId="0" applyFont="1" applyFill="1"/>
    <xf numFmtId="0" fontId="11" fillId="2" borderId="0" xfId="0" applyFont="1" applyFill="1"/>
    <xf numFmtId="0" fontId="12" fillId="2" borderId="0" xfId="0" applyFont="1" applyFill="1"/>
    <xf numFmtId="0" fontId="12" fillId="2" borderId="0" xfId="0" applyFont="1" applyFill="1" applyAlignment="1">
      <alignment vertical="top"/>
    </xf>
    <xf numFmtId="0" fontId="7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vertical="center" wrapText="1"/>
    </xf>
    <xf numFmtId="14" fontId="15" fillId="2" borderId="0" xfId="0" applyNumberFormat="1" applyFont="1" applyFill="1" applyAlignment="1">
      <alignment horizontal="center" vertical="center"/>
    </xf>
    <xf numFmtId="0" fontId="16" fillId="2" borderId="0" xfId="0" applyFont="1" applyFill="1" applyAlignment="1">
      <alignment horizontal="center"/>
    </xf>
    <xf numFmtId="0" fontId="17" fillId="2" borderId="4" xfId="0" applyFont="1" applyFill="1" applyBorder="1" applyAlignment="1">
      <alignment vertical="center"/>
    </xf>
    <xf numFmtId="0" fontId="7" fillId="2" borderId="4" xfId="0" applyFont="1" applyFill="1" applyBorder="1" applyAlignment="1">
      <alignment wrapText="1"/>
    </xf>
    <xf numFmtId="0" fontId="17" fillId="2" borderId="0" xfId="0" applyFont="1" applyFill="1" applyAlignment="1">
      <alignment vertical="center"/>
    </xf>
    <xf numFmtId="0" fontId="9" fillId="2" borderId="0" xfId="0" applyFont="1" applyFill="1" applyAlignment="1">
      <alignment vertical="center"/>
    </xf>
    <xf numFmtId="0" fontId="17" fillId="2" borderId="11" xfId="0" applyFont="1" applyFill="1" applyBorder="1" applyAlignment="1">
      <alignment horizontal="left" vertical="center"/>
    </xf>
    <xf numFmtId="0" fontId="7" fillId="2" borderId="11" xfId="0" applyFont="1" applyFill="1" applyBorder="1" applyAlignment="1">
      <alignment horizontal="left"/>
    </xf>
    <xf numFmtId="0" fontId="18" fillId="2" borderId="0" xfId="0" applyFont="1" applyFill="1" applyAlignment="1">
      <alignment vertical="center"/>
    </xf>
    <xf numFmtId="0" fontId="18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/>
    </xf>
    <xf numFmtId="0" fontId="7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4" fillId="2" borderId="0" xfId="0" applyFont="1" applyFill="1" applyAlignment="1" applyProtection="1">
      <alignment horizontal="right" vertical="center"/>
      <protection locked="0"/>
    </xf>
    <xf numFmtId="0" fontId="17" fillId="2" borderId="0" xfId="0" applyFont="1" applyFill="1" applyAlignment="1">
      <alignment horizontal="center" vertical="center"/>
    </xf>
    <xf numFmtId="49" fontId="9" fillId="2" borderId="0" xfId="0" applyNumberFormat="1" applyFont="1" applyFill="1" applyAlignment="1" applyProtection="1">
      <alignment horizontal="center" vertical="center" wrapText="1"/>
      <protection locked="0"/>
    </xf>
    <xf numFmtId="49" fontId="9" fillId="2" borderId="0" xfId="0" applyNumberFormat="1" applyFont="1" applyFill="1" applyAlignment="1" applyProtection="1">
      <alignment horizontal="center" vertical="center"/>
      <protection locked="0"/>
    </xf>
    <xf numFmtId="0" fontId="19" fillId="2" borderId="0" xfId="0" applyFont="1" applyFill="1"/>
    <xf numFmtId="0" fontId="21" fillId="3" borderId="18" xfId="0" applyFont="1" applyFill="1" applyBorder="1" applyAlignment="1">
      <alignment horizontal="left" vertical="center"/>
    </xf>
    <xf numFmtId="0" fontId="21" fillId="3" borderId="19" xfId="0" applyFont="1" applyFill="1" applyBorder="1" applyAlignment="1">
      <alignment horizontal="center" vertical="center" wrapText="1"/>
    </xf>
    <xf numFmtId="9" fontId="21" fillId="3" borderId="20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wrapText="1"/>
    </xf>
    <xf numFmtId="0" fontId="21" fillId="7" borderId="21" xfId="0" applyFont="1" applyFill="1" applyBorder="1" applyAlignment="1">
      <alignment horizontal="center" vertical="center" wrapText="1"/>
    </xf>
    <xf numFmtId="0" fontId="21" fillId="7" borderId="5" xfId="0" applyFont="1" applyFill="1" applyBorder="1" applyAlignment="1">
      <alignment horizontal="center" vertical="center" wrapText="1"/>
    </xf>
    <xf numFmtId="0" fontId="22" fillId="7" borderId="5" xfId="2" applyFill="1" applyBorder="1" applyAlignment="1">
      <alignment horizontal="center" vertical="center" wrapText="1"/>
    </xf>
    <xf numFmtId="164" fontId="23" fillId="7" borderId="5" xfId="0" applyNumberFormat="1" applyFont="1" applyFill="1" applyBorder="1" applyAlignment="1">
      <alignment horizontal="center" vertical="center" wrapText="1"/>
    </xf>
    <xf numFmtId="1" fontId="21" fillId="7" borderId="5" xfId="0" applyNumberFormat="1" applyFont="1" applyFill="1" applyBorder="1" applyAlignment="1">
      <alignment horizontal="center" vertical="center" wrapText="1"/>
    </xf>
    <xf numFmtId="9" fontId="24" fillId="7" borderId="22" xfId="1" applyFont="1" applyFill="1" applyBorder="1" applyAlignment="1">
      <alignment horizontal="left" vertical="center" wrapText="1" indent="1"/>
    </xf>
    <xf numFmtId="0" fontId="6" fillId="2" borderId="23" xfId="0" applyFont="1" applyFill="1" applyBorder="1"/>
    <xf numFmtId="0" fontId="6" fillId="2" borderId="24" xfId="0" applyFont="1" applyFill="1" applyBorder="1"/>
    <xf numFmtId="0" fontId="6" fillId="2" borderId="24" xfId="0" applyFont="1" applyFill="1" applyBorder="1" applyProtection="1">
      <protection locked="0"/>
    </xf>
    <xf numFmtId="0" fontId="6" fillId="2" borderId="25" xfId="0" applyFont="1" applyFill="1" applyBorder="1" applyProtection="1">
      <protection locked="0"/>
    </xf>
    <xf numFmtId="0" fontId="25" fillId="2" borderId="0" xfId="0" applyFont="1" applyFill="1"/>
    <xf numFmtId="0" fontId="21" fillId="2" borderId="21" xfId="0" applyFont="1" applyFill="1" applyBorder="1" applyAlignment="1">
      <alignment horizontal="center" vertical="center" wrapText="1"/>
    </xf>
    <xf numFmtId="0" fontId="21" fillId="2" borderId="5" xfId="0" applyFont="1" applyFill="1" applyBorder="1" applyAlignment="1">
      <alignment horizontal="center" vertical="center" wrapText="1"/>
    </xf>
    <xf numFmtId="0" fontId="22" fillId="2" borderId="5" xfId="2" applyFill="1" applyBorder="1" applyAlignment="1">
      <alignment horizontal="center" vertical="center" wrapText="1"/>
    </xf>
    <xf numFmtId="1" fontId="23" fillId="2" borderId="5" xfId="0" applyNumberFormat="1" applyFont="1" applyFill="1" applyBorder="1" applyAlignment="1">
      <alignment horizontal="center" vertical="center" wrapText="1"/>
    </xf>
    <xf numFmtId="9" fontId="24" fillId="2" borderId="22" xfId="1" applyFont="1" applyFill="1" applyBorder="1" applyAlignment="1">
      <alignment horizontal="left" vertical="center" wrapText="1" indent="1"/>
    </xf>
    <xf numFmtId="0" fontId="6" fillId="2" borderId="26" xfId="0" applyFont="1" applyFill="1" applyBorder="1"/>
    <xf numFmtId="0" fontId="6" fillId="2" borderId="2" xfId="0" applyFont="1" applyFill="1" applyBorder="1"/>
    <xf numFmtId="0" fontId="6" fillId="2" borderId="27" xfId="0" applyFont="1" applyFill="1" applyBorder="1" applyProtection="1">
      <protection locked="0"/>
    </xf>
    <xf numFmtId="0" fontId="2" fillId="2" borderId="0" xfId="0" applyFont="1" applyFill="1"/>
    <xf numFmtId="0" fontId="21" fillId="7" borderId="5" xfId="1" applyNumberFormat="1" applyFont="1" applyFill="1" applyBorder="1" applyAlignment="1">
      <alignment horizontal="center" vertical="center" wrapText="1"/>
    </xf>
    <xf numFmtId="0" fontId="2" fillId="2" borderId="0" xfId="0" applyFont="1" applyFill="1" applyAlignment="1" applyProtection="1">
      <alignment wrapText="1"/>
      <protection locked="0"/>
    </xf>
    <xf numFmtId="9" fontId="24" fillId="2" borderId="29" xfId="1" applyFont="1" applyFill="1" applyBorder="1" applyAlignment="1">
      <alignment horizontal="left" vertical="center" wrapText="1" indent="1"/>
    </xf>
    <xf numFmtId="0" fontId="2" fillId="0" borderId="30" xfId="0" applyFont="1" applyBorder="1"/>
    <xf numFmtId="0" fontId="2" fillId="0" borderId="3" xfId="0" applyFont="1" applyBorder="1"/>
    <xf numFmtId="0" fontId="27" fillId="2" borderId="0" xfId="0" applyFont="1" applyFill="1"/>
    <xf numFmtId="0" fontId="17" fillId="2" borderId="19" xfId="0" applyFont="1" applyFill="1" applyBorder="1" applyAlignment="1">
      <alignment vertical="center"/>
    </xf>
    <xf numFmtId="0" fontId="17" fillId="2" borderId="32" xfId="0" applyFont="1" applyFill="1" applyBorder="1" applyAlignment="1">
      <alignment vertical="center"/>
    </xf>
    <xf numFmtId="0" fontId="28" fillId="2" borderId="0" xfId="0" applyFont="1" applyFill="1" applyAlignment="1">
      <alignment vertical="center"/>
    </xf>
    <xf numFmtId="0" fontId="21" fillId="6" borderId="35" xfId="0" applyFont="1" applyFill="1" applyBorder="1" applyAlignment="1">
      <alignment horizontal="center" vertical="center" wrapText="1"/>
    </xf>
    <xf numFmtId="0" fontId="21" fillId="6" borderId="36" xfId="0" applyFont="1" applyFill="1" applyBorder="1" applyAlignment="1">
      <alignment horizontal="center" vertical="center" wrapText="1"/>
    </xf>
    <xf numFmtId="164" fontId="23" fillId="2" borderId="5" xfId="0" applyNumberFormat="1" applyFont="1" applyFill="1" applyBorder="1" applyAlignment="1">
      <alignment horizontal="center" vertical="center" wrapText="1"/>
    </xf>
    <xf numFmtId="9" fontId="23" fillId="2" borderId="5" xfId="1" applyFont="1" applyFill="1" applyBorder="1" applyAlignment="1">
      <alignment horizontal="center" vertical="center" wrapText="1"/>
    </xf>
    <xf numFmtId="0" fontId="22" fillId="2" borderId="5" xfId="2" quotePrefix="1" applyFill="1" applyBorder="1" applyAlignment="1">
      <alignment horizontal="center" vertical="center" wrapText="1"/>
    </xf>
    <xf numFmtId="0" fontId="29" fillId="2" borderId="0" xfId="0" applyFont="1" applyFill="1"/>
    <xf numFmtId="0" fontId="7" fillId="2" borderId="0" xfId="0" quotePrefix="1" applyFont="1" applyFill="1"/>
    <xf numFmtId="0" fontId="7" fillId="5" borderId="14" xfId="0" applyFont="1" applyFill="1" applyBorder="1"/>
    <xf numFmtId="0" fontId="7" fillId="5" borderId="13" xfId="0" applyFont="1" applyFill="1" applyBorder="1"/>
    <xf numFmtId="0" fontId="0" fillId="2" borderId="0" xfId="0" applyFill="1"/>
    <xf numFmtId="0" fontId="2" fillId="2" borderId="31" xfId="0" applyFont="1" applyFill="1" applyBorder="1"/>
    <xf numFmtId="0" fontId="2" fillId="2" borderId="3" xfId="0" applyFont="1" applyFill="1" applyBorder="1"/>
    <xf numFmtId="0" fontId="2" fillId="2" borderId="37" xfId="0" applyFont="1" applyFill="1" applyBorder="1" applyProtection="1">
      <protection locked="0"/>
    </xf>
    <xf numFmtId="0" fontId="2" fillId="2" borderId="37" xfId="0" applyFont="1" applyFill="1" applyBorder="1"/>
    <xf numFmtId="0" fontId="32" fillId="5" borderId="13" xfId="0" applyFont="1" applyFill="1" applyBorder="1" applyProtection="1">
      <protection locked="0"/>
    </xf>
    <xf numFmtId="165" fontId="19" fillId="2" borderId="0" xfId="0" applyNumberFormat="1" applyFont="1" applyFill="1" applyAlignment="1">
      <alignment vertical="center"/>
    </xf>
    <xf numFmtId="0" fontId="34" fillId="2" borderId="0" xfId="0" applyFont="1" applyFill="1" applyAlignment="1">
      <alignment horizontal="left"/>
    </xf>
    <xf numFmtId="0" fontId="34" fillId="2" borderId="0" xfId="0" applyFont="1" applyFill="1"/>
    <xf numFmtId="0" fontId="7" fillId="0" borderId="0" xfId="0" applyFont="1" applyAlignment="1">
      <alignment wrapText="1"/>
    </xf>
    <xf numFmtId="0" fontId="2" fillId="0" borderId="0" xfId="0" applyFont="1"/>
    <xf numFmtId="165" fontId="33" fillId="2" borderId="15" xfId="0" applyNumberFormat="1" applyFont="1" applyFill="1" applyBorder="1" applyAlignment="1">
      <alignment horizontal="center" vertical="center"/>
    </xf>
    <xf numFmtId="165" fontId="33" fillId="2" borderId="1" xfId="0" applyNumberFormat="1" applyFont="1" applyFill="1" applyBorder="1" applyAlignment="1">
      <alignment horizontal="center" vertical="center"/>
    </xf>
    <xf numFmtId="165" fontId="33" fillId="2" borderId="16" xfId="0" applyNumberFormat="1" applyFont="1" applyFill="1" applyBorder="1" applyAlignment="1">
      <alignment horizontal="center" vertical="center"/>
    </xf>
    <xf numFmtId="165" fontId="33" fillId="2" borderId="17" xfId="0" applyNumberFormat="1" applyFont="1" applyFill="1" applyBorder="1" applyAlignment="1">
      <alignment horizontal="center" vertical="center"/>
    </xf>
    <xf numFmtId="165" fontId="33" fillId="2" borderId="40" xfId="0" applyNumberFormat="1" applyFont="1" applyFill="1" applyBorder="1" applyAlignment="1">
      <alignment horizontal="center" vertical="center"/>
    </xf>
    <xf numFmtId="165" fontId="33" fillId="2" borderId="41" xfId="0" applyNumberFormat="1" applyFont="1" applyFill="1" applyBorder="1" applyAlignment="1">
      <alignment horizontal="center" vertical="center"/>
    </xf>
    <xf numFmtId="0" fontId="0" fillId="2" borderId="38" xfId="0" applyFill="1" applyBorder="1" applyAlignment="1">
      <alignment vertical="center"/>
    </xf>
    <xf numFmtId="0" fontId="32" fillId="5" borderId="12" xfId="0" applyFont="1" applyFill="1" applyBorder="1" applyProtection="1">
      <protection locked="0"/>
    </xf>
    <xf numFmtId="0" fontId="0" fillId="2" borderId="15" xfId="0" applyFill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20" fillId="2" borderId="0" xfId="0" quotePrefix="1" applyFont="1" applyFill="1" applyAlignment="1">
      <alignment horizontal="center" vertical="center" wrapText="1" readingOrder="1"/>
    </xf>
    <xf numFmtId="0" fontId="35" fillId="6" borderId="17" xfId="0" applyFont="1" applyFill="1" applyBorder="1"/>
    <xf numFmtId="14" fontId="19" fillId="0" borderId="0" xfId="0" applyNumberFormat="1" applyFont="1"/>
    <xf numFmtId="0" fontId="35" fillId="6" borderId="38" xfId="0" applyFont="1" applyFill="1" applyBorder="1"/>
    <xf numFmtId="0" fontId="7" fillId="2" borderId="0" xfId="0" applyFont="1" applyFill="1" applyAlignment="1">
      <alignment horizontal="left" vertical="top" wrapText="1"/>
    </xf>
    <xf numFmtId="0" fontId="30" fillId="2" borderId="0" xfId="0" applyFont="1" applyFill="1"/>
    <xf numFmtId="167" fontId="21" fillId="3" borderId="19" xfId="0" applyNumberFormat="1" applyFont="1" applyFill="1" applyBorder="1" applyAlignment="1">
      <alignment horizontal="center" vertical="center" wrapText="1"/>
    </xf>
    <xf numFmtId="167" fontId="21" fillId="7" borderId="5" xfId="1" applyNumberFormat="1" applyFont="1" applyFill="1" applyBorder="1" applyAlignment="1">
      <alignment horizontal="center" vertical="center" wrapText="1"/>
    </xf>
    <xf numFmtId="167" fontId="23" fillId="2" borderId="5" xfId="1" applyNumberFormat="1" applyFont="1" applyFill="1" applyBorder="1" applyAlignment="1">
      <alignment horizontal="center" vertical="center" wrapText="1"/>
    </xf>
    <xf numFmtId="167" fontId="23" fillId="7" borderId="5" xfId="1" applyNumberFormat="1" applyFont="1" applyFill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/>
    </xf>
    <xf numFmtId="0" fontId="36" fillId="0" borderId="14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7" fillId="6" borderId="12" xfId="0" applyFont="1" applyFill="1" applyBorder="1" applyAlignment="1">
      <alignment horizontal="center" vertical="center"/>
    </xf>
    <xf numFmtId="0" fontId="37" fillId="6" borderId="14" xfId="0" applyFont="1" applyFill="1" applyBorder="1" applyAlignment="1">
      <alignment horizontal="center" vertical="center"/>
    </xf>
    <xf numFmtId="0" fontId="37" fillId="6" borderId="13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left" vertical="top" wrapText="1"/>
    </xf>
    <xf numFmtId="0" fontId="29" fillId="4" borderId="0" xfId="0" applyFont="1" applyFill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0" fontId="9" fillId="2" borderId="0" xfId="0" applyFont="1" applyFill="1" applyAlignment="1">
      <alignment horizontal="left" vertical="top" wrapText="1"/>
    </xf>
    <xf numFmtId="0" fontId="21" fillId="6" borderId="38" xfId="0" applyFont="1" applyFill="1" applyBorder="1" applyAlignment="1">
      <alignment horizontal="center" vertical="center" wrapText="1"/>
    </xf>
    <xf numFmtId="0" fontId="21" fillId="6" borderId="15" xfId="0" applyFont="1" applyFill="1" applyBorder="1" applyAlignment="1">
      <alignment horizontal="center" vertical="center" wrapText="1"/>
    </xf>
    <xf numFmtId="14" fontId="14" fillId="2" borderId="0" xfId="0" applyNumberFormat="1" applyFont="1" applyFill="1" applyAlignment="1">
      <alignment horizontal="center" vertical="center"/>
    </xf>
    <xf numFmtId="0" fontId="3" fillId="2" borderId="8" xfId="0" applyFont="1" applyFill="1" applyBorder="1" applyAlignment="1" applyProtection="1">
      <alignment horizontal="left" vertical="center"/>
      <protection locked="0"/>
    </xf>
    <xf numFmtId="0" fontId="3" fillId="2" borderId="9" xfId="0" applyFont="1" applyFill="1" applyBorder="1" applyAlignment="1" applyProtection="1">
      <alignment horizontal="left" vertical="center"/>
      <protection locked="0"/>
    </xf>
    <xf numFmtId="167" fontId="5" fillId="4" borderId="6" xfId="0" applyNumberFormat="1" applyFont="1" applyFill="1" applyBorder="1" applyAlignment="1">
      <alignment horizontal="center" vertical="center"/>
    </xf>
    <xf numFmtId="167" fontId="5" fillId="4" borderId="10" xfId="0" applyNumberFormat="1" applyFont="1" applyFill="1" applyBorder="1" applyAlignment="1">
      <alignment horizontal="center" vertical="center"/>
    </xf>
    <xf numFmtId="167" fontId="5" fillId="4" borderId="7" xfId="0" applyNumberFormat="1" applyFont="1" applyFill="1" applyBorder="1" applyAlignment="1">
      <alignment horizontal="center" vertical="center"/>
    </xf>
    <xf numFmtId="0" fontId="21" fillId="6" borderId="39" xfId="0" applyFont="1" applyFill="1" applyBorder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/>
    </xf>
    <xf numFmtId="49" fontId="9" fillId="4" borderId="5" xfId="0" applyNumberFormat="1" applyFont="1" applyFill="1" applyBorder="1" applyAlignment="1" applyProtection="1">
      <alignment horizontal="center" vertical="center"/>
      <protection locked="0"/>
    </xf>
    <xf numFmtId="0" fontId="17" fillId="2" borderId="8" xfId="0" applyFont="1" applyFill="1" applyBorder="1" applyAlignment="1">
      <alignment horizontal="left" vertical="center"/>
    </xf>
    <xf numFmtId="49" fontId="9" fillId="4" borderId="6" xfId="0" applyNumberFormat="1" applyFont="1" applyFill="1" applyBorder="1" applyAlignment="1" applyProtection="1">
      <alignment horizontal="center" vertical="center"/>
      <protection locked="0"/>
    </xf>
    <xf numFmtId="49" fontId="9" fillId="4" borderId="7" xfId="0" applyNumberFormat="1" applyFont="1" applyFill="1" applyBorder="1" applyAlignment="1" applyProtection="1">
      <alignment horizontal="center" vertical="center"/>
      <protection locked="0"/>
    </xf>
    <xf numFmtId="0" fontId="17" fillId="2" borderId="0" xfId="0" applyFont="1" applyFill="1" applyAlignment="1">
      <alignment horizontal="left" vertical="center"/>
    </xf>
    <xf numFmtId="166" fontId="9" fillId="4" borderId="6" xfId="0" applyNumberFormat="1" applyFont="1" applyFill="1" applyBorder="1" applyAlignment="1" applyProtection="1">
      <alignment horizontal="center" vertical="center"/>
      <protection locked="0"/>
    </xf>
    <xf numFmtId="166" fontId="9" fillId="4" borderId="7" xfId="0" applyNumberFormat="1" applyFont="1" applyFill="1" applyBorder="1" applyAlignment="1" applyProtection="1">
      <alignment horizontal="center" vertical="center"/>
      <protection locked="0"/>
    </xf>
    <xf numFmtId="14" fontId="9" fillId="4" borderId="6" xfId="0" applyNumberFormat="1" applyFont="1" applyFill="1" applyBorder="1" applyAlignment="1" applyProtection="1">
      <alignment horizontal="center" vertical="center"/>
      <protection locked="0"/>
    </xf>
    <xf numFmtId="14" fontId="9" fillId="4" borderId="7" xfId="0" applyNumberFormat="1" applyFont="1" applyFill="1" applyBorder="1" applyAlignment="1" applyProtection="1">
      <alignment horizontal="center" vertical="center"/>
      <protection locked="0"/>
    </xf>
    <xf numFmtId="164" fontId="26" fillId="5" borderId="28" xfId="0" applyNumberFormat="1" applyFont="1" applyFill="1" applyBorder="1" applyAlignment="1">
      <alignment horizontal="center" vertical="center" wrapText="1"/>
    </xf>
    <xf numFmtId="164" fontId="26" fillId="5" borderId="19" xfId="0" applyNumberFormat="1" applyFont="1" applyFill="1" applyBorder="1" applyAlignment="1">
      <alignment horizontal="center" vertical="center" wrapText="1"/>
    </xf>
    <xf numFmtId="0" fontId="38" fillId="0" borderId="12" xfId="0" quotePrefix="1" applyFont="1" applyBorder="1" applyAlignment="1">
      <alignment horizontal="center" vertical="center"/>
    </xf>
    <xf numFmtId="0" fontId="38" fillId="0" borderId="14" xfId="0" quotePrefix="1" applyFont="1" applyBorder="1" applyAlignment="1">
      <alignment horizontal="center" vertical="center"/>
    </xf>
    <xf numFmtId="0" fontId="38" fillId="0" borderId="13" xfId="0" quotePrefix="1" applyFont="1" applyBorder="1" applyAlignment="1">
      <alignment horizontal="center" vertical="center"/>
    </xf>
    <xf numFmtId="0" fontId="39" fillId="0" borderId="12" xfId="0" quotePrefix="1" applyFont="1" applyBorder="1" applyAlignment="1">
      <alignment horizontal="center" vertical="center"/>
    </xf>
    <xf numFmtId="0" fontId="39" fillId="0" borderId="14" xfId="0" quotePrefix="1" applyFont="1" applyBorder="1" applyAlignment="1">
      <alignment horizontal="center" vertical="center"/>
    </xf>
    <xf numFmtId="0" fontId="39" fillId="0" borderId="13" xfId="0" quotePrefix="1" applyFont="1" applyBorder="1" applyAlignment="1">
      <alignment horizontal="center" vertical="center"/>
    </xf>
    <xf numFmtId="49" fontId="9" fillId="4" borderId="33" xfId="0" applyNumberFormat="1" applyFont="1" applyFill="1" applyBorder="1" applyAlignment="1" applyProtection="1">
      <alignment horizontal="center" vertical="center"/>
      <protection locked="0"/>
    </xf>
    <xf numFmtId="49" fontId="9" fillId="4" borderId="34" xfId="0" applyNumberFormat="1" applyFont="1" applyFill="1" applyBorder="1" applyAlignment="1" applyProtection="1">
      <alignment horizontal="center" vertical="center"/>
      <protection locked="0"/>
    </xf>
    <xf numFmtId="167" fontId="9" fillId="4" borderId="6" xfId="0" applyNumberFormat="1" applyFont="1" applyFill="1" applyBorder="1" applyAlignment="1" applyProtection="1">
      <alignment horizontal="center" vertical="center"/>
      <protection locked="0"/>
    </xf>
    <xf numFmtId="167" fontId="9" fillId="4" borderId="7" xfId="0" applyNumberFormat="1" applyFont="1" applyFill="1" applyBorder="1" applyAlignment="1" applyProtection="1">
      <alignment horizontal="center" vertical="center"/>
      <protection locked="0"/>
    </xf>
    <xf numFmtId="0" fontId="21" fillId="7" borderId="42" xfId="0" applyFont="1" applyFill="1" applyBorder="1" applyAlignment="1">
      <alignment horizontal="left" vertical="center" wrapText="1"/>
    </xf>
    <xf numFmtId="0" fontId="21" fillId="7" borderId="43" xfId="0" applyFont="1" applyFill="1" applyBorder="1" applyAlignment="1">
      <alignment horizontal="left" vertical="center" wrapText="1"/>
    </xf>
    <xf numFmtId="0" fontId="21" fillId="7" borderId="33" xfId="0" applyFont="1" applyFill="1" applyBorder="1" applyAlignment="1">
      <alignment horizontal="left" vertical="center" wrapText="1"/>
    </xf>
  </cellXfs>
  <cellStyles count="3">
    <cellStyle name="Lien hypertexte" xfId="2" builtinId="8"/>
    <cellStyle name="Normal" xfId="0" builtinId="0"/>
    <cellStyle name="Pourcentage" xfId="1" builtinId="5"/>
  </cellStyles>
  <dxfs count="11">
    <dxf>
      <fill>
        <patternFill>
          <bgColor theme="0" tint="-0.49998474074526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4" tint="-0.499984740745262"/>
      </font>
      <fill>
        <patternFill>
          <bgColor theme="4" tint="0.39994506668294322"/>
        </patternFill>
      </fill>
      <border>
        <left/>
        <right/>
        <top/>
        <bottom/>
      </border>
    </dxf>
    <dxf>
      <font>
        <color auto="1"/>
      </font>
      <fill>
        <patternFill>
          <bgColor theme="9" tint="0.59996337778862885"/>
        </patternFill>
      </fill>
      <border>
        <left/>
        <right/>
        <top/>
        <bottom/>
      </border>
    </dxf>
    <dxf>
      <font>
        <color rgb="FF9C0006"/>
      </font>
      <fill>
        <patternFill>
          <bgColor theme="0" tint="-0.49998474074526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auto="1"/>
      </font>
      <fill>
        <patternFill>
          <bgColor theme="0" tint="-0.2499465926084170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lor theme="1"/>
      </font>
      <fill>
        <patternFill patternType="gray0625">
          <fgColor theme="0"/>
          <bgColor rgb="FFF8CBAD"/>
        </patternFill>
      </fill>
    </dxf>
    <dxf>
      <font>
        <color rgb="FFFF0000"/>
      </font>
    </dxf>
    <dxf>
      <font>
        <color rgb="FFC00000"/>
      </font>
    </dxf>
    <dxf>
      <font>
        <color auto="1"/>
      </font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00863D"/>
      <color rgb="FF00B853"/>
      <color rgb="FF62BD8A"/>
      <color rgb="FF439B69"/>
      <color rgb="FFF8CBAD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checked="Checked" firstButton="1" fmlaLink="$L$1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Scroll" dx="22" fmlaLink="$K$12" horiz="1" inc="7" max="7000" min="1" noThreeD="1" page="14" val="43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731520</xdr:colOff>
      <xdr:row>1</xdr:row>
      <xdr:rowOff>30481</xdr:rowOff>
    </xdr:from>
    <xdr:ext cx="2528449" cy="5334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" y="220981"/>
          <a:ext cx="2528449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0</xdr:col>
      <xdr:colOff>760095</xdr:colOff>
      <xdr:row>68</xdr:row>
      <xdr:rowOff>114301</xdr:rowOff>
    </xdr:from>
    <xdr:to>
      <xdr:col>8</xdr:col>
      <xdr:colOff>1257300</xdr:colOff>
      <xdr:row>76</xdr:row>
      <xdr:rowOff>12083</xdr:rowOff>
    </xdr:to>
    <xdr:grpSp>
      <xdr:nvGrpSpPr>
        <xdr:cNvPr id="6" name="Groupe 2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60095" y="16748761"/>
          <a:ext cx="9184005" cy="1360822"/>
          <a:chOff x="769620" y="8366761"/>
          <a:chExt cx="9174480" cy="1360822"/>
        </a:xfrm>
      </xdr:grpSpPr>
      <xdr:pic>
        <xdr:nvPicPr>
          <xdr:cNvPr id="7" name="Image 2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769620" y="8366761"/>
            <a:ext cx="9166860" cy="1360822"/>
          </a:xfrm>
          <a:prstGeom prst="rect">
            <a:avLst/>
          </a:prstGeom>
        </xdr:spPr>
      </xdr:pic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822960" y="9319260"/>
            <a:ext cx="9121140" cy="25146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754380</xdr:colOff>
      <xdr:row>79</xdr:row>
      <xdr:rowOff>129540</xdr:rowOff>
    </xdr:from>
    <xdr:to>
      <xdr:col>9</xdr:col>
      <xdr:colOff>110608</xdr:colOff>
      <xdr:row>98</xdr:row>
      <xdr:rowOff>1433</xdr:rowOff>
    </xdr:to>
    <xdr:grpSp>
      <xdr:nvGrpSpPr>
        <xdr:cNvPr id="9" name="Groupe 2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4380" y="19057620"/>
          <a:ext cx="9475588" cy="3460913"/>
          <a:chOff x="754380" y="10675620"/>
          <a:chExt cx="9475588" cy="3460913"/>
        </a:xfrm>
      </xdr:grpSpPr>
      <xdr:sp macro="" textlink="">
        <xdr:nvSpPr>
          <xdr:cNvPr id="10" name="Flèche : bas 24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7900777" y="12187119"/>
            <a:ext cx="290089" cy="363008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1" name="Image 25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754380" y="10675620"/>
            <a:ext cx="9475588" cy="1402079"/>
          </a:xfrm>
          <a:prstGeom prst="rect">
            <a:avLst/>
          </a:prstGeom>
        </xdr:spPr>
      </xdr:pic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6781800" y="11643360"/>
            <a:ext cx="906780" cy="24384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3" name="Image 2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777240" y="12763500"/>
            <a:ext cx="9449247" cy="1373033"/>
          </a:xfrm>
          <a:prstGeom prst="rect">
            <a:avLst/>
          </a:prstGeom>
        </xdr:spPr>
      </xdr:pic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7650480" y="13738860"/>
            <a:ext cx="1714500" cy="228600"/>
          </a:xfrm>
          <a:prstGeom prst="rect">
            <a:avLst/>
          </a:prstGeom>
          <a:noFill/>
          <a:ln w="3810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38100</xdr:colOff>
      <xdr:row>13</xdr:row>
      <xdr:rowOff>93980</xdr:rowOff>
    </xdr:from>
    <xdr:to>
      <xdr:col>12</xdr:col>
      <xdr:colOff>281942</xdr:colOff>
      <xdr:row>24</xdr:row>
      <xdr:rowOff>160020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GrpSpPr/>
      </xdr:nvGrpSpPr>
      <xdr:grpSpPr>
        <a:xfrm>
          <a:off x="2651760" y="2722880"/>
          <a:ext cx="10104122" cy="2245360"/>
          <a:chOff x="2651760" y="2669540"/>
          <a:chExt cx="10104122" cy="2245360"/>
        </a:xfrm>
      </xdr:grpSpPr>
      <xdr:pic>
        <xdr:nvPicPr>
          <xdr:cNvPr id="36" name="Imag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651760" y="2669540"/>
            <a:ext cx="10104122" cy="2245360"/>
          </a:xfrm>
          <a:prstGeom prst="rect">
            <a:avLst/>
          </a:prstGeom>
        </xdr:spPr>
      </xdr:pic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4396740" y="2766060"/>
            <a:ext cx="822960" cy="16002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2659380" y="3749040"/>
            <a:ext cx="967740" cy="25908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0</xdr:colOff>
      <xdr:row>35</xdr:row>
      <xdr:rowOff>35983</xdr:rowOff>
    </xdr:from>
    <xdr:to>
      <xdr:col>11</xdr:col>
      <xdr:colOff>118111</xdr:colOff>
      <xdr:row>42</xdr:row>
      <xdr:rowOff>134803</xdr:rowOff>
    </xdr:to>
    <xdr:grpSp>
      <xdr:nvGrpSpPr>
        <xdr:cNvPr id="42" name="Group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2613660" y="7595023"/>
          <a:ext cx="9193531" cy="2179080"/>
          <a:chOff x="2613660" y="7595023"/>
          <a:chExt cx="9193531" cy="2179080"/>
        </a:xfrm>
      </xdr:grpSpPr>
      <xdr:pic>
        <xdr:nvPicPr>
          <xdr:cNvPr id="40" name="Imag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613660" y="7595023"/>
            <a:ext cx="9193531" cy="2179080"/>
          </a:xfrm>
          <a:prstGeom prst="rect">
            <a:avLst/>
          </a:prstGeom>
        </xdr:spPr>
      </xdr:pic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2613660" y="8290560"/>
            <a:ext cx="9182100" cy="70866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53340</xdr:colOff>
      <xdr:row>44</xdr:row>
      <xdr:rowOff>121921</xdr:rowOff>
    </xdr:from>
    <xdr:to>
      <xdr:col>12</xdr:col>
      <xdr:colOff>129540</xdr:colOff>
      <xdr:row>53</xdr:row>
      <xdr:rowOff>266701</xdr:rowOff>
    </xdr:to>
    <xdr:grpSp>
      <xdr:nvGrpSpPr>
        <xdr:cNvPr id="43" name="Group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2667000" y="10256521"/>
          <a:ext cx="9936480" cy="2682240"/>
          <a:chOff x="2217420" y="7825740"/>
          <a:chExt cx="9193531" cy="2199823"/>
        </a:xfrm>
      </xdr:grpSpPr>
      <xdr:pic>
        <xdr:nvPicPr>
          <xdr:cNvPr id="44" name="Imag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17420" y="7846483"/>
            <a:ext cx="9193531" cy="2179080"/>
          </a:xfrm>
          <a:prstGeom prst="rect">
            <a:avLst/>
          </a:prstGeom>
        </xdr:spPr>
      </xdr:pic>
      <xdr:sp macro="" textlink="">
        <xdr:nvSpPr>
          <xdr:cNvPr id="45" name="Rectangl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6461760" y="7825740"/>
            <a:ext cx="708660" cy="70866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30481</xdr:colOff>
      <xdr:row>55</xdr:row>
      <xdr:rowOff>203804</xdr:rowOff>
    </xdr:from>
    <xdr:to>
      <xdr:col>12</xdr:col>
      <xdr:colOff>45721</xdr:colOff>
      <xdr:row>63</xdr:row>
      <xdr:rowOff>91440</xdr:rowOff>
    </xdr:to>
    <xdr:grpSp>
      <xdr:nvGrpSpPr>
        <xdr:cNvPr id="49" name="Group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GrpSpPr/>
      </xdr:nvGrpSpPr>
      <xdr:grpSpPr>
        <a:xfrm>
          <a:off x="2644141" y="13439744"/>
          <a:ext cx="9875520" cy="2143156"/>
          <a:chOff x="2613661" y="13287344"/>
          <a:chExt cx="9875520" cy="2143156"/>
        </a:xfrm>
      </xdr:grpSpPr>
      <xdr:pic>
        <xdr:nvPicPr>
          <xdr:cNvPr id="46" name="Imag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613661" y="13287344"/>
            <a:ext cx="9875520" cy="2129409"/>
          </a:xfrm>
          <a:prstGeom prst="rect">
            <a:avLst/>
          </a:prstGeom>
        </xdr:spPr>
      </xdr:pic>
      <xdr:sp macro="" textlink="">
        <xdr:nvSpPr>
          <xdr:cNvPr id="47" name="Rectangle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7978140" y="13586460"/>
            <a:ext cx="1630680" cy="31242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8343900" y="14805660"/>
            <a:ext cx="289560" cy="62484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1489922</xdr:colOff>
      <xdr:row>2</xdr:row>
      <xdr:rowOff>188360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508776" cy="6935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389965</xdr:colOff>
      <xdr:row>2</xdr:row>
      <xdr:rowOff>42598</xdr:rowOff>
    </xdr:from>
    <xdr:to>
      <xdr:col>6</xdr:col>
      <xdr:colOff>809625</xdr:colOff>
      <xdr:row>3</xdr:row>
      <xdr:rowOff>133350</xdr:rowOff>
    </xdr:to>
    <xdr:sp macro="" textlink="">
      <xdr:nvSpPr>
        <xdr:cNvPr id="3" name="Rectangle: Rounded Corners 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29605" y="553138"/>
          <a:ext cx="6119420" cy="418412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Gantt chart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144780</xdr:colOff>
          <xdr:row>4</xdr:row>
          <xdr:rowOff>213360</xdr:rowOff>
        </xdr:from>
        <xdr:to>
          <xdr:col>48</xdr:col>
          <xdr:colOff>0</xdr:colOff>
          <xdr:row>10</xdr:row>
          <xdr:rowOff>68580</xdr:rowOff>
        </xdr:to>
        <xdr:sp macro="" textlink="">
          <xdr:nvSpPr>
            <xdr:cNvPr id="3075" name="Group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Time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190500</xdr:colOff>
          <xdr:row>6</xdr:row>
          <xdr:rowOff>22860</xdr:rowOff>
        </xdr:from>
        <xdr:to>
          <xdr:col>39</xdr:col>
          <xdr:colOff>182880</xdr:colOff>
          <xdr:row>7</xdr:row>
          <xdr:rowOff>38100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190500</xdr:colOff>
          <xdr:row>7</xdr:row>
          <xdr:rowOff>60960</xdr:rowOff>
        </xdr:from>
        <xdr:to>
          <xdr:col>39</xdr:col>
          <xdr:colOff>182880</xdr:colOff>
          <xdr:row>8</xdr:row>
          <xdr:rowOff>76200</xdr:rowOff>
        </xdr:to>
        <xdr:sp macro="" textlink="">
          <xdr:nvSpPr>
            <xdr:cNvPr id="3077" name="Option 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190500</xdr:colOff>
          <xdr:row>8</xdr:row>
          <xdr:rowOff>83820</xdr:rowOff>
        </xdr:from>
        <xdr:to>
          <xdr:col>39</xdr:col>
          <xdr:colOff>182880</xdr:colOff>
          <xdr:row>9</xdr:row>
          <xdr:rowOff>106680</xdr:rowOff>
        </xdr:to>
        <xdr:sp macro="" textlink="">
          <xdr:nvSpPr>
            <xdr:cNvPr id="3078" name="Option 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</a:t>
              </a:r>
            </a:p>
          </xdr:txBody>
        </xdr:sp>
        <xdr:clientData/>
      </xdr:twoCellAnchor>
    </mc:Choice>
    <mc:Fallback/>
  </mc:AlternateContent>
  <xdr:twoCellAnchor>
    <xdr:from>
      <xdr:col>59</xdr:col>
      <xdr:colOff>114300</xdr:colOff>
      <xdr:row>16</xdr:row>
      <xdr:rowOff>0</xdr:rowOff>
    </xdr:from>
    <xdr:to>
      <xdr:col>59</xdr:col>
      <xdr:colOff>114300</xdr:colOff>
      <xdr:row>59</xdr:row>
      <xdr:rowOff>0</xdr:rowOff>
    </xdr:to>
    <xdr:cxnSp macro="">
      <xdr:nvCxnSpPr>
        <xdr:cNvPr id="5" name="todayBar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3507700" y="3581400"/>
          <a:ext cx="0" cy="8450580"/>
        </a:xfrm>
        <a:prstGeom prst="line">
          <a:avLst/>
        </a:prstGeom>
        <a:ln w="19050">
          <a:solidFill>
            <a:srgbClr val="F8CBAD"/>
          </a:solidFill>
        </a:ln>
        <a:effectLst>
          <a:glow rad="88900">
            <a:srgbClr val="FFFF00">
              <a:alpha val="30000"/>
            </a:srgbClr>
          </a:glow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241481</xdr:colOff>
      <xdr:row>6</xdr:row>
      <xdr:rowOff>134471</xdr:rowOff>
    </xdr:from>
    <xdr:to>
      <xdr:col>47</xdr:col>
      <xdr:colOff>123265</xdr:colOff>
      <xdr:row>8</xdr:row>
      <xdr:rowOff>179295</xdr:rowOff>
    </xdr:to>
    <xdr:sp macro="[0]!afficherBarre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7812305" y="1815353"/>
          <a:ext cx="2201401" cy="425824"/>
        </a:xfrm>
        <a:prstGeom prst="roundRect">
          <a:avLst/>
        </a:prstGeom>
        <a:solidFill>
          <a:srgbClr val="439B69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Highlight today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10</xdr:row>
          <xdr:rowOff>144780</xdr:rowOff>
        </xdr:from>
        <xdr:to>
          <xdr:col>63</xdr:col>
          <xdr:colOff>0</xdr:colOff>
          <xdr:row>12</xdr:row>
          <xdr:rowOff>7620</xdr:rowOff>
        </xdr:to>
        <xdr:sp macro="" textlink="">
          <xdr:nvSpPr>
            <xdr:cNvPr id="3079" name="scrollBAR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35</xdr:col>
      <xdr:colOff>168090</xdr:colOff>
      <xdr:row>6</xdr:row>
      <xdr:rowOff>22413</xdr:rowOff>
    </xdr:from>
    <xdr:to>
      <xdr:col>38</xdr:col>
      <xdr:colOff>22414</xdr:colOff>
      <xdr:row>7</xdr:row>
      <xdr:rowOff>56031</xdr:rowOff>
    </xdr:to>
    <xdr:sp macro="[0]!jourrrrr" textlink="">
      <xdr:nvSpPr>
        <xdr:cNvPr id="3823" name="Rectangle à coins arrondis 3822">
          <a:extLst>
            <a:ext uri="{FF2B5EF4-FFF2-40B4-BE49-F238E27FC236}">
              <a16:creationId xmlns:a16="http://schemas.microsoft.com/office/drawing/2014/main" id="{00000000-0008-0000-0100-0000EF0E0000}"/>
            </a:ext>
          </a:extLst>
        </xdr:cNvPr>
        <xdr:cNvSpPr/>
      </xdr:nvSpPr>
      <xdr:spPr>
        <a:xfrm>
          <a:off x="16651943" y="1703295"/>
          <a:ext cx="627530" cy="224118"/>
        </a:xfrm>
        <a:prstGeom prst="roundRect">
          <a:avLst/>
        </a:prstGeom>
        <a:solidFill>
          <a:srgbClr val="FFFFFF">
            <a:alpha val="117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35</xdr:col>
      <xdr:colOff>179302</xdr:colOff>
      <xdr:row>7</xdr:row>
      <xdr:rowOff>56030</xdr:rowOff>
    </xdr:from>
    <xdr:to>
      <xdr:col>38</xdr:col>
      <xdr:colOff>33626</xdr:colOff>
      <xdr:row>8</xdr:row>
      <xdr:rowOff>89648</xdr:rowOff>
    </xdr:to>
    <xdr:sp macro="[0]!semainnnnnnnnnnnnnnnnne" textlink="">
      <xdr:nvSpPr>
        <xdr:cNvPr id="132" name="Rectangle à coins arrondis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6663155" y="1927412"/>
          <a:ext cx="627530" cy="224118"/>
        </a:xfrm>
        <a:prstGeom prst="roundRect">
          <a:avLst/>
        </a:prstGeom>
        <a:solidFill>
          <a:srgbClr val="FFFFFF">
            <a:alpha val="117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35</xdr:col>
      <xdr:colOff>152404</xdr:colOff>
      <xdr:row>8</xdr:row>
      <xdr:rowOff>62754</xdr:rowOff>
    </xdr:from>
    <xdr:to>
      <xdr:col>38</xdr:col>
      <xdr:colOff>6728</xdr:colOff>
      <xdr:row>9</xdr:row>
      <xdr:rowOff>96372</xdr:rowOff>
    </xdr:to>
    <xdr:sp macro="[0]!moissssssssssss" textlink="">
      <xdr:nvSpPr>
        <xdr:cNvPr id="133" name="Rectangle à coins arrondis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6636257" y="2124636"/>
          <a:ext cx="627530" cy="224118"/>
        </a:xfrm>
        <a:prstGeom prst="roundRect">
          <a:avLst/>
        </a:prstGeom>
        <a:solidFill>
          <a:srgbClr val="FFFFFF">
            <a:alpha val="117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23593</xdr:rowOff>
    </xdr:from>
    <xdr:to>
      <xdr:col>2</xdr:col>
      <xdr:colOff>1266825</xdr:colOff>
      <xdr:row>3</xdr:row>
      <xdr:rowOff>78601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156943"/>
          <a:ext cx="1781175" cy="4360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1143000</xdr:colOff>
      <xdr:row>2</xdr:row>
      <xdr:rowOff>23549</xdr:rowOff>
    </xdr:from>
    <xdr:to>
      <xdr:col>8</xdr:col>
      <xdr:colOff>47625</xdr:colOff>
      <xdr:row>3</xdr:row>
      <xdr:rowOff>228601</xdr:rowOff>
    </xdr:to>
    <xdr:sp macro="" textlink="">
      <xdr:nvSpPr>
        <xdr:cNvPr id="3" name="Rectangle: Rounded Corners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467100" y="347399"/>
          <a:ext cx="5695950" cy="395552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Resources involved in the project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SaulnierH@confassis.com" TargetMode="External"/><Relationship Id="rId13" Type="http://schemas.openxmlformats.org/officeDocument/2006/relationships/drawing" Target="../drawings/drawing3.xml"/><Relationship Id="rId3" Type="http://schemas.openxmlformats.org/officeDocument/2006/relationships/hyperlink" Target="mailto:LourteG@confassis.com" TargetMode="External"/><Relationship Id="rId7" Type="http://schemas.openxmlformats.org/officeDocument/2006/relationships/hyperlink" Target="mailto:RefourC@confassis.com" TargetMode="External"/><Relationship Id="rId12" Type="http://schemas.openxmlformats.org/officeDocument/2006/relationships/hyperlink" Target="mailto:ClonetG@confassis.com" TargetMode="External"/><Relationship Id="rId2" Type="http://schemas.openxmlformats.org/officeDocument/2006/relationships/hyperlink" Target="mailto:AnselmeM@confassis.com" TargetMode="External"/><Relationship Id="rId1" Type="http://schemas.openxmlformats.org/officeDocument/2006/relationships/hyperlink" Target="mailto:DupuisB@confassis.com" TargetMode="External"/><Relationship Id="rId6" Type="http://schemas.openxmlformats.org/officeDocument/2006/relationships/hyperlink" Target="mailto:LeperreE@confassis.com" TargetMode="External"/><Relationship Id="rId11" Type="http://schemas.openxmlformats.org/officeDocument/2006/relationships/hyperlink" Target="mailto:FleurA@confassis.com" TargetMode="External"/><Relationship Id="rId5" Type="http://schemas.openxmlformats.org/officeDocument/2006/relationships/hyperlink" Target="mailto:TassinB@confassis.com" TargetMode="External"/><Relationship Id="rId10" Type="http://schemas.openxmlformats.org/officeDocument/2006/relationships/hyperlink" Target="mailto:BinotJ@confassis.com" TargetMode="External"/><Relationship Id="rId4" Type="http://schemas.openxmlformats.org/officeDocument/2006/relationships/hyperlink" Target="mailto:PosteM@confassis.com" TargetMode="External"/><Relationship Id="rId9" Type="http://schemas.openxmlformats.org/officeDocument/2006/relationships/hyperlink" Target="mailto:EllinM@confassi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L682"/>
  <sheetViews>
    <sheetView showRowColHeaders="0" topLeftCell="A25" workbookViewId="0">
      <selection activeCell="B37" sqref="B37"/>
    </sheetView>
  </sheetViews>
  <sheetFormatPr baseColWidth="10" defaultColWidth="11.44140625" defaultRowHeight="14.4" x14ac:dyDescent="0.3"/>
  <cols>
    <col min="1" max="1" width="11.44140625" style="5"/>
    <col min="2" max="2" width="26.6640625" style="5" customWidth="1"/>
    <col min="3" max="3" width="15.88671875" style="5" customWidth="1"/>
    <col min="4" max="4" width="16" style="5" customWidth="1"/>
    <col min="5" max="5" width="11.44140625" style="5"/>
    <col min="6" max="6" width="18.44140625" style="5" customWidth="1"/>
    <col min="7" max="7" width="11.44140625" style="5"/>
    <col min="8" max="8" width="15.33203125" style="5" customWidth="1"/>
    <col min="9" max="9" width="20.88671875" style="5" customWidth="1"/>
    <col min="10" max="16384" width="11.44140625" style="5"/>
  </cols>
  <sheetData>
    <row r="1" spans="1:38" x14ac:dyDescent="0.3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x14ac:dyDescent="0.3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</row>
    <row r="3" spans="1:38" x14ac:dyDescent="0.3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</row>
    <row r="5" spans="1:38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</row>
    <row r="6" spans="1:38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</row>
    <row r="7" spans="1:38" ht="21" x14ac:dyDescent="0.4">
      <c r="A7" s="4"/>
      <c r="B7" s="74" t="s">
        <v>162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38" s="8" customFormat="1" ht="20.399999999999999" customHeight="1" x14ac:dyDescent="0.3">
      <c r="A9" s="7"/>
      <c r="B9" s="116" t="s">
        <v>163</v>
      </c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4"/>
      <c r="O9" s="4"/>
      <c r="P9" s="4"/>
      <c r="Q9" s="4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</row>
    <row r="10" spans="1:38" ht="18" x14ac:dyDescent="0.35">
      <c r="A10" s="4"/>
      <c r="B10" s="11" t="s">
        <v>164</v>
      </c>
      <c r="C10" s="9"/>
      <c r="D10" s="9"/>
      <c r="E10" s="9"/>
      <c r="F10" s="9"/>
      <c r="G10" s="9"/>
      <c r="H10" s="10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  <row r="11" spans="1:38" ht="15.6" x14ac:dyDescent="0.3">
      <c r="A11" s="4"/>
      <c r="B11" s="10" t="s">
        <v>165</v>
      </c>
      <c r="C11" s="10"/>
      <c r="D11" s="10"/>
      <c r="E11" s="10"/>
      <c r="F11" s="10"/>
      <c r="G11" s="10"/>
      <c r="H11" s="10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</row>
    <row r="12" spans="1:38" ht="15.6" x14ac:dyDescent="0.3">
      <c r="A12" s="4"/>
      <c r="B12" s="10" t="s">
        <v>166</v>
      </c>
      <c r="C12" s="10"/>
      <c r="D12" s="10"/>
      <c r="E12" s="10"/>
      <c r="F12" s="10"/>
      <c r="G12" s="10"/>
      <c r="H12" s="10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</row>
    <row r="13" spans="1:38" ht="15.6" x14ac:dyDescent="0.3">
      <c r="A13" s="4"/>
      <c r="B13" s="11" t="s">
        <v>193</v>
      </c>
      <c r="C13" s="10" t="s">
        <v>194</v>
      </c>
      <c r="D13" s="10"/>
      <c r="E13" s="10"/>
      <c r="F13" s="10"/>
      <c r="G13" s="10"/>
      <c r="H13" s="10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</row>
    <row r="14" spans="1:38" ht="15.6" x14ac:dyDescent="0.3">
      <c r="A14" s="4"/>
      <c r="B14" s="10"/>
      <c r="C14" s="10"/>
      <c r="D14" s="10"/>
      <c r="E14" s="10"/>
      <c r="F14" s="10"/>
      <c r="G14" s="10"/>
      <c r="H14" s="10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</row>
    <row r="15" spans="1:38" ht="15.6" x14ac:dyDescent="0.3">
      <c r="A15" s="4"/>
      <c r="B15" s="10"/>
      <c r="C15" s="10"/>
      <c r="D15" s="10"/>
      <c r="E15" s="10"/>
      <c r="F15" s="10"/>
      <c r="G15" s="10"/>
      <c r="H15" s="10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</row>
    <row r="16" spans="1:38" ht="15.6" x14ac:dyDescent="0.3">
      <c r="A16" s="4"/>
      <c r="B16" s="10"/>
      <c r="C16" s="10"/>
      <c r="D16" s="10"/>
      <c r="E16" s="10"/>
      <c r="F16" s="10"/>
      <c r="G16" s="10"/>
      <c r="H16" s="10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</row>
    <row r="17" spans="1:38" ht="15.6" x14ac:dyDescent="0.3">
      <c r="A17" s="4"/>
      <c r="B17" s="10"/>
      <c r="C17" s="10"/>
      <c r="D17" s="10"/>
      <c r="E17" s="10"/>
      <c r="F17" s="10"/>
      <c r="G17" s="10"/>
      <c r="H17" s="10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</row>
    <row r="18" spans="1:38" ht="15.6" x14ac:dyDescent="0.3">
      <c r="A18" s="4"/>
      <c r="B18" s="10"/>
      <c r="C18" s="10"/>
      <c r="D18" s="10"/>
      <c r="E18" s="10"/>
      <c r="F18" s="10"/>
      <c r="G18" s="10"/>
      <c r="H18" s="10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</row>
    <row r="19" spans="1:38" ht="15.6" x14ac:dyDescent="0.3">
      <c r="A19" s="4"/>
      <c r="B19" s="10"/>
      <c r="C19" s="10"/>
      <c r="D19" s="10"/>
      <c r="E19" s="10"/>
      <c r="F19" s="10"/>
      <c r="G19" s="10"/>
      <c r="H19" s="10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</row>
    <row r="20" spans="1:38" ht="15.6" x14ac:dyDescent="0.3">
      <c r="A20" s="4"/>
      <c r="B20" s="10"/>
      <c r="C20" s="10"/>
      <c r="D20" s="10"/>
      <c r="E20" s="10"/>
      <c r="F20" s="10"/>
      <c r="G20" s="10"/>
      <c r="H20" s="10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</row>
    <row r="21" spans="1:38" ht="15.6" x14ac:dyDescent="0.3">
      <c r="A21" s="4"/>
      <c r="B21" s="10"/>
      <c r="C21" s="10"/>
      <c r="D21" s="10"/>
      <c r="E21" s="10"/>
      <c r="F21" s="10"/>
      <c r="G21" s="10"/>
      <c r="H21" s="10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</row>
    <row r="22" spans="1:38" ht="15.6" x14ac:dyDescent="0.3">
      <c r="A22" s="4"/>
      <c r="B22" s="10"/>
      <c r="C22" s="10"/>
      <c r="D22" s="10"/>
      <c r="E22" s="10"/>
      <c r="F22" s="10"/>
      <c r="G22" s="10"/>
      <c r="H22" s="10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</row>
    <row r="23" spans="1:38" ht="15.6" x14ac:dyDescent="0.3">
      <c r="A23" s="4"/>
      <c r="B23" s="10"/>
      <c r="C23" s="10"/>
      <c r="D23" s="10"/>
      <c r="E23" s="10"/>
      <c r="F23" s="10"/>
      <c r="G23" s="10"/>
      <c r="H23" s="10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</row>
    <row r="24" spans="1:38" ht="15.6" x14ac:dyDescent="0.3">
      <c r="A24" s="4"/>
      <c r="B24" s="10"/>
      <c r="C24" s="10"/>
      <c r="D24" s="10"/>
      <c r="E24" s="10"/>
      <c r="F24" s="10"/>
      <c r="G24" s="10"/>
      <c r="H24" s="10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</row>
    <row r="25" spans="1:38" ht="15.6" x14ac:dyDescent="0.3">
      <c r="A25" s="4"/>
      <c r="B25" s="10"/>
      <c r="C25" s="10"/>
      <c r="D25" s="10"/>
      <c r="E25" s="10"/>
      <c r="F25" s="10"/>
      <c r="G25" s="10"/>
      <c r="H25" s="10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</row>
    <row r="26" spans="1:38" ht="15.6" x14ac:dyDescent="0.3">
      <c r="A26" s="4"/>
      <c r="B26" s="11" t="s">
        <v>6</v>
      </c>
      <c r="C26" s="10" t="s">
        <v>167</v>
      </c>
      <c r="D26" s="10"/>
      <c r="E26" s="10"/>
      <c r="F26" s="10"/>
      <c r="G26" s="10"/>
      <c r="H26" s="10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</row>
    <row r="27" spans="1:38" ht="18.75" customHeight="1" x14ac:dyDescent="0.3">
      <c r="A27" s="4"/>
      <c r="B27" s="12" t="s">
        <v>168</v>
      </c>
      <c r="C27" s="115" t="s">
        <v>169</v>
      </c>
      <c r="D27" s="115"/>
      <c r="E27" s="115"/>
      <c r="F27" s="115"/>
      <c r="G27" s="115"/>
      <c r="H27" s="115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</row>
    <row r="28" spans="1:38" ht="15.6" x14ac:dyDescent="0.3">
      <c r="A28" s="4"/>
      <c r="B28" s="11" t="s">
        <v>170</v>
      </c>
      <c r="C28" s="10" t="s">
        <v>171</v>
      </c>
      <c r="D28" s="10"/>
      <c r="E28" s="10"/>
      <c r="F28" s="10"/>
      <c r="G28" s="10"/>
      <c r="H28" s="10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</row>
    <row r="29" spans="1:38" ht="15.6" x14ac:dyDescent="0.3">
      <c r="A29" s="4"/>
      <c r="B29" s="11"/>
      <c r="C29" s="10"/>
      <c r="D29" s="10"/>
      <c r="E29" s="10"/>
      <c r="F29" s="10"/>
      <c r="G29" s="10"/>
      <c r="H29" s="10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</row>
    <row r="30" spans="1:38" ht="38.4" customHeight="1" x14ac:dyDescent="0.3">
      <c r="A30" s="4"/>
      <c r="B30" s="12" t="s">
        <v>172</v>
      </c>
      <c r="C30" s="115" t="s">
        <v>173</v>
      </c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</row>
    <row r="31" spans="1:38" ht="25.5" customHeight="1" x14ac:dyDescent="0.3">
      <c r="A31" s="4"/>
      <c r="B31" s="12" t="s">
        <v>200</v>
      </c>
      <c r="C31" s="115" t="s">
        <v>174</v>
      </c>
      <c r="D31" s="115"/>
      <c r="E31" s="115"/>
      <c r="F31" s="115"/>
      <c r="G31" s="115"/>
      <c r="H31" s="115"/>
      <c r="I31" s="115"/>
      <c r="J31" s="13"/>
      <c r="K31" s="13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</row>
    <row r="32" spans="1:38" ht="23.25" customHeight="1" x14ac:dyDescent="0.3">
      <c r="A32" s="4"/>
      <c r="B32" s="12" t="s">
        <v>175</v>
      </c>
      <c r="C32" s="115" t="s">
        <v>176</v>
      </c>
      <c r="D32" s="115"/>
      <c r="E32" s="115"/>
      <c r="F32" s="115"/>
      <c r="G32" s="115"/>
      <c r="H32" s="115"/>
      <c r="I32" s="115"/>
      <c r="J32" s="13"/>
      <c r="K32" s="13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</row>
    <row r="33" spans="1:38" ht="15.6" x14ac:dyDescent="0.3">
      <c r="A33" s="4"/>
      <c r="B33" s="12" t="s">
        <v>199</v>
      </c>
      <c r="C33" s="115" t="s">
        <v>177</v>
      </c>
      <c r="D33" s="115"/>
      <c r="E33" s="115"/>
      <c r="F33" s="115"/>
      <c r="G33" s="115"/>
      <c r="H33" s="115"/>
      <c r="I33" s="115"/>
      <c r="J33" s="115"/>
      <c r="K33" s="115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</row>
    <row r="34" spans="1:38" ht="15.6" x14ac:dyDescent="0.3">
      <c r="A34" s="4"/>
      <c r="B34" s="12" t="s">
        <v>198</v>
      </c>
      <c r="C34" s="115" t="s">
        <v>178</v>
      </c>
      <c r="D34" s="115"/>
      <c r="E34" s="115"/>
      <c r="F34" s="115"/>
      <c r="G34" s="115"/>
      <c r="H34" s="115"/>
      <c r="I34" s="115"/>
      <c r="J34" s="115"/>
      <c r="K34" s="115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</row>
    <row r="35" spans="1:38" ht="18" customHeight="1" x14ac:dyDescent="0.3">
      <c r="A35" s="4"/>
      <c r="B35" s="12"/>
      <c r="C35" s="115" t="s">
        <v>179</v>
      </c>
      <c r="D35" s="115"/>
      <c r="E35" s="115"/>
      <c r="F35" s="115"/>
      <c r="G35" s="115"/>
      <c r="H35" s="115"/>
      <c r="I35" s="115"/>
      <c r="J35" s="13"/>
      <c r="K35" s="13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</row>
    <row r="36" spans="1:38" ht="23.4" x14ac:dyDescent="0.45">
      <c r="A36" s="4"/>
      <c r="B36" s="6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</row>
    <row r="37" spans="1:38" ht="23.4" x14ac:dyDescent="0.45">
      <c r="A37" s="4"/>
      <c r="B37" s="6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</row>
    <row r="38" spans="1:38" ht="23.4" x14ac:dyDescent="0.45">
      <c r="A38" s="4"/>
      <c r="B38" s="6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pans="1:38" ht="23.4" x14ac:dyDescent="0.45">
      <c r="A39" s="4"/>
      <c r="B39" s="6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pans="1:38" ht="23.4" x14ac:dyDescent="0.45">
      <c r="A40" s="4"/>
      <c r="B40" s="6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pans="1:38" ht="23.4" x14ac:dyDescent="0.45">
      <c r="A41" s="4"/>
      <c r="B41" s="6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pans="1:38" ht="23.4" x14ac:dyDescent="0.45">
      <c r="A42" s="4"/>
      <c r="B42" s="6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pans="1:38" ht="23.4" x14ac:dyDescent="0.45">
      <c r="A43" s="4"/>
      <c r="B43" s="6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pans="1:38" ht="15.6" x14ac:dyDescent="0.3">
      <c r="A44" s="4"/>
      <c r="B44" s="12" t="s">
        <v>195</v>
      </c>
      <c r="C44" s="4" t="s">
        <v>196</v>
      </c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pans="1:38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pans="1:38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pans="1:38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pans="1:38" x14ac:dyDescent="0.3">
      <c r="A48" s="4"/>
      <c r="B48" s="14"/>
      <c r="C48" s="1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pans="1:38" ht="18.75" customHeight="1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pans="1:38" ht="43.5" customHeight="1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pans="1:38" ht="36" customHeight="1" x14ac:dyDescent="0.3">
      <c r="A51" s="4"/>
      <c r="B51" s="4"/>
      <c r="C51" s="4"/>
      <c r="D51" s="4"/>
      <c r="E51" s="117"/>
      <c r="F51" s="117"/>
      <c r="G51" s="117"/>
      <c r="H51" s="117"/>
      <c r="I51" s="117"/>
      <c r="J51" s="117"/>
      <c r="K51" s="117"/>
      <c r="L51" s="117"/>
      <c r="M51" s="117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pans="1:38" ht="22.2" customHeight="1" x14ac:dyDescent="0.3">
      <c r="A52" s="4"/>
      <c r="B52" s="4"/>
      <c r="C52" s="4"/>
      <c r="D52" s="4"/>
      <c r="E52" s="103"/>
      <c r="F52" s="103"/>
      <c r="G52" s="103"/>
      <c r="H52" s="103"/>
      <c r="I52" s="103"/>
      <c r="J52" s="103"/>
      <c r="K52" s="103"/>
      <c r="L52" s="103"/>
      <c r="M52" s="103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pans="1:38" ht="22.2" customHeight="1" x14ac:dyDescent="0.3">
      <c r="A53" s="4"/>
      <c r="B53" s="4"/>
      <c r="C53" s="4"/>
      <c r="D53" s="4"/>
      <c r="E53" s="103"/>
      <c r="F53" s="103"/>
      <c r="G53" s="103"/>
      <c r="H53" s="103"/>
      <c r="I53" s="103"/>
      <c r="J53" s="103"/>
      <c r="K53" s="103"/>
      <c r="L53" s="103"/>
      <c r="M53" s="103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pans="1:38" ht="22.2" customHeight="1" x14ac:dyDescent="0.3">
      <c r="A54" s="4"/>
      <c r="B54" s="4"/>
      <c r="D54" s="4"/>
      <c r="E54" s="103"/>
      <c r="F54" s="103"/>
      <c r="G54" s="103"/>
      <c r="H54" s="103"/>
      <c r="I54" s="103"/>
      <c r="J54" s="103"/>
      <c r="K54" s="103"/>
      <c r="L54" s="103"/>
      <c r="M54" s="103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pans="1:38" ht="22.2" customHeight="1" x14ac:dyDescent="0.3">
      <c r="A55" s="4"/>
      <c r="B55" s="4"/>
      <c r="C55" s="4" t="s">
        <v>197</v>
      </c>
      <c r="D55" s="4"/>
      <c r="E55" s="103"/>
      <c r="F55" s="103"/>
      <c r="G55" s="103"/>
      <c r="H55" s="103"/>
      <c r="I55" s="103"/>
      <c r="J55" s="103"/>
      <c r="K55" s="103"/>
      <c r="L55" s="103"/>
      <c r="M55" s="103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pans="1:38" ht="22.2" customHeight="1" x14ac:dyDescent="0.3">
      <c r="A56" s="4"/>
      <c r="B56" s="4"/>
      <c r="C56" s="4"/>
      <c r="D56" s="4"/>
      <c r="E56" s="103"/>
      <c r="F56" s="103"/>
      <c r="G56" s="103"/>
      <c r="H56" s="103"/>
      <c r="I56" s="103"/>
      <c r="J56" s="103"/>
      <c r="K56" s="103"/>
      <c r="L56" s="103"/>
      <c r="M56" s="103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pans="1:38" ht="22.2" customHeight="1" x14ac:dyDescent="0.3">
      <c r="A57" s="4"/>
      <c r="B57" s="4"/>
      <c r="C57" s="4"/>
      <c r="D57" s="4"/>
      <c r="E57" s="103"/>
      <c r="F57" s="103"/>
      <c r="G57" s="103"/>
      <c r="H57" s="103"/>
      <c r="I57" s="103"/>
      <c r="J57" s="103"/>
      <c r="K57" s="103"/>
      <c r="L57" s="103"/>
      <c r="M57" s="103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pans="1:38" ht="22.2" customHeight="1" x14ac:dyDescent="0.3">
      <c r="A58" s="4"/>
      <c r="B58" s="4"/>
      <c r="C58" s="4"/>
      <c r="D58" s="4"/>
      <c r="E58" s="103"/>
      <c r="F58" s="103"/>
      <c r="G58" s="103"/>
      <c r="H58" s="103"/>
      <c r="I58" s="103"/>
      <c r="J58" s="103"/>
      <c r="K58" s="103"/>
      <c r="L58" s="103"/>
      <c r="M58" s="103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pans="1:38" ht="22.2" customHeight="1" x14ac:dyDescent="0.3">
      <c r="A59" s="4"/>
      <c r="B59" s="4"/>
      <c r="C59" s="4"/>
      <c r="D59" s="4"/>
      <c r="E59" s="103"/>
      <c r="F59" s="103"/>
      <c r="G59" s="103"/>
      <c r="H59" s="103"/>
      <c r="I59" s="103"/>
      <c r="J59" s="103"/>
      <c r="K59" s="103"/>
      <c r="L59" s="103"/>
      <c r="M59" s="103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pans="1:38" ht="22.2" customHeight="1" x14ac:dyDescent="0.3">
      <c r="A60" s="4"/>
      <c r="B60" s="4"/>
      <c r="C60" s="4"/>
      <c r="D60" s="4"/>
      <c r="E60" s="103"/>
      <c r="F60" s="103"/>
      <c r="G60" s="103"/>
      <c r="H60" s="103"/>
      <c r="I60" s="103"/>
      <c r="J60" s="103"/>
      <c r="K60" s="103"/>
      <c r="L60" s="103"/>
      <c r="M60" s="103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pans="1:38" ht="22.2" customHeight="1" x14ac:dyDescent="0.3">
      <c r="A61" s="4"/>
      <c r="B61" s="4"/>
      <c r="C61" s="4"/>
      <c r="D61" s="4"/>
      <c r="E61" s="103"/>
      <c r="F61" s="103"/>
      <c r="G61" s="103"/>
      <c r="H61" s="103"/>
      <c r="I61" s="103"/>
      <c r="J61" s="103"/>
      <c r="K61" s="103"/>
      <c r="L61" s="103"/>
      <c r="M61" s="103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pans="1:38" ht="22.2" customHeight="1" x14ac:dyDescent="0.3">
      <c r="A62" s="4"/>
      <c r="B62" s="4"/>
      <c r="C62" s="4"/>
      <c r="D62" s="4"/>
      <c r="E62" s="103"/>
      <c r="F62" s="103"/>
      <c r="G62" s="103"/>
      <c r="H62" s="103"/>
      <c r="I62" s="103"/>
      <c r="J62" s="103"/>
      <c r="K62" s="103"/>
      <c r="L62" s="103"/>
      <c r="M62" s="103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pans="1:38" ht="22.2" customHeight="1" x14ac:dyDescent="0.3">
      <c r="A63" s="4"/>
      <c r="B63" s="4"/>
      <c r="C63" s="4"/>
      <c r="D63" s="4"/>
      <c r="E63" s="103"/>
      <c r="F63" s="103"/>
      <c r="G63" s="103"/>
      <c r="H63" s="103"/>
      <c r="I63" s="103"/>
      <c r="J63" s="103"/>
      <c r="K63" s="103"/>
      <c r="L63" s="103"/>
      <c r="M63" s="103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pans="1:38" ht="22.2" customHeight="1" x14ac:dyDescent="0.3">
      <c r="A64" s="4"/>
      <c r="B64" s="4"/>
      <c r="C64" s="4"/>
      <c r="D64" s="4"/>
      <c r="E64" s="103"/>
      <c r="F64" s="103"/>
      <c r="G64" s="103"/>
      <c r="H64" s="103"/>
      <c r="I64" s="103"/>
      <c r="J64" s="103"/>
      <c r="K64" s="103"/>
      <c r="L64" s="103"/>
      <c r="M64" s="103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pans="1:38" ht="21" x14ac:dyDescent="0.3">
      <c r="A65" s="4"/>
      <c r="B65" s="116" t="s">
        <v>180</v>
      </c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pans="1:38" ht="15.6" x14ac:dyDescent="0.3">
      <c r="A66" s="4"/>
      <c r="B66" s="11" t="s">
        <v>181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pans="1:38" ht="15.6" x14ac:dyDescent="0.3">
      <c r="A67" s="4"/>
      <c r="B67" s="10" t="s">
        <v>182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pans="1:38" ht="15.6" x14ac:dyDescent="0.3">
      <c r="A68" s="4"/>
      <c r="B68" s="10" t="s">
        <v>183</v>
      </c>
      <c r="C68" s="4"/>
      <c r="D68" s="4"/>
      <c r="E68" s="117"/>
      <c r="F68" s="117"/>
      <c r="G68" s="117"/>
      <c r="H68" s="117"/>
      <c r="I68" s="117"/>
      <c r="J68" s="117"/>
      <c r="K68" s="117"/>
      <c r="L68" s="117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pans="1:38" x14ac:dyDescent="0.3">
      <c r="A69" s="4"/>
      <c r="B69" s="118"/>
      <c r="C69" s="118"/>
      <c r="D69" s="118"/>
      <c r="E69" s="117"/>
      <c r="F69" s="117"/>
      <c r="G69" s="117"/>
      <c r="H69" s="117"/>
      <c r="I69" s="117"/>
      <c r="J69" s="117"/>
      <c r="K69" s="117"/>
      <c r="L69" s="11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pans="1:38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pans="1:38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pans="1:38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pans="1:38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pans="1:38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pans="1:38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pans="1:38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pans="1:38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pans="1:38" ht="15.6" x14ac:dyDescent="0.3">
      <c r="A78" s="4"/>
      <c r="B78" s="10" t="s">
        <v>184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pans="1:38" ht="35.700000000000003" customHeight="1" x14ac:dyDescent="0.3">
      <c r="A79" s="4"/>
      <c r="B79" s="115" t="s">
        <v>185</v>
      </c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pans="1:38" x14ac:dyDescent="0.3">
      <c r="A80" s="4"/>
      <c r="B80" s="4"/>
      <c r="C80" s="4"/>
      <c r="D80" s="4"/>
      <c r="E80" s="4"/>
      <c r="F80" s="4"/>
      <c r="G80" s="4"/>
      <c r="H80" s="4"/>
      <c r="I80" s="14"/>
      <c r="J80" s="15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pans="1:38" x14ac:dyDescent="0.3">
      <c r="A81" s="4"/>
      <c r="B81" s="4"/>
      <c r="C81" s="4"/>
      <c r="D81" s="4"/>
      <c r="E81" s="4"/>
      <c r="F81" s="4"/>
      <c r="G81" s="4"/>
      <c r="H81" s="4"/>
      <c r="I81" s="14"/>
      <c r="J81" s="15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pans="1:38" x14ac:dyDescent="0.3">
      <c r="A82" s="4"/>
      <c r="B82" s="4"/>
      <c r="C82" s="4"/>
      <c r="D82" s="4"/>
      <c r="E82" s="4"/>
      <c r="F82" s="4"/>
      <c r="G82" s="4"/>
      <c r="H82" s="4"/>
      <c r="I82" s="14"/>
      <c r="J82" s="15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pans="1:38" x14ac:dyDescent="0.3">
      <c r="A83" s="4"/>
      <c r="B83" s="4"/>
      <c r="C83" s="4"/>
      <c r="D83" s="4"/>
      <c r="E83" s="4"/>
      <c r="F83" s="4"/>
      <c r="G83" s="4"/>
      <c r="H83" s="4"/>
      <c r="I83" s="14"/>
      <c r="J83" s="15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pans="1:38" x14ac:dyDescent="0.3">
      <c r="A84" s="4"/>
      <c r="B84" s="4"/>
      <c r="C84" s="4"/>
      <c r="D84" s="4"/>
      <c r="E84" s="4"/>
      <c r="F84" s="4"/>
      <c r="G84" s="4"/>
      <c r="H84" s="4"/>
      <c r="I84" s="14"/>
      <c r="J84" s="15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pans="1:38" x14ac:dyDescent="0.3">
      <c r="A85" s="4"/>
      <c r="B85" s="4"/>
      <c r="C85" s="4"/>
      <c r="D85" s="4"/>
      <c r="E85" s="4"/>
      <c r="F85" s="4"/>
      <c r="G85" s="4"/>
      <c r="H85" s="4"/>
      <c r="I85" s="14"/>
      <c r="J85" s="15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pans="1:38" x14ac:dyDescent="0.3">
      <c r="A86" s="4"/>
      <c r="B86" s="4"/>
      <c r="C86" s="4"/>
      <c r="D86" s="4"/>
      <c r="E86" s="4"/>
      <c r="F86" s="4"/>
      <c r="G86" s="4"/>
      <c r="H86" s="4"/>
      <c r="I86" s="14"/>
      <c r="J86" s="15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pans="1:38" ht="16.5" customHeight="1" x14ac:dyDescent="0.3">
      <c r="A87" s="4"/>
      <c r="B87" s="4"/>
      <c r="C87" s="4"/>
      <c r="D87" s="4"/>
      <c r="E87" s="4"/>
      <c r="F87" s="4"/>
      <c r="G87" s="4"/>
      <c r="H87" s="4"/>
      <c r="I87" s="14"/>
      <c r="J87" s="15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pans="1:38" ht="16.5" customHeight="1" x14ac:dyDescent="0.3">
      <c r="A88" s="4"/>
      <c r="B88" s="4"/>
      <c r="C88" s="4"/>
      <c r="D88" s="4"/>
      <c r="E88" s="4"/>
      <c r="F88" s="4"/>
      <c r="G88" s="4"/>
      <c r="H88" s="4"/>
      <c r="I88" s="14"/>
      <c r="J88" s="15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pans="1:38" ht="16.5" customHeight="1" x14ac:dyDescent="0.3">
      <c r="A89" s="4"/>
      <c r="B89" s="4"/>
      <c r="C89" s="4"/>
      <c r="D89" s="4"/>
      <c r="E89" s="4"/>
      <c r="F89" s="4"/>
      <c r="G89" s="4"/>
      <c r="H89" s="4"/>
      <c r="I89" s="14"/>
      <c r="J89" s="15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pans="1:38" ht="16.5" customHeight="1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pans="1:38" ht="16.5" customHeight="1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pans="1:38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pans="1:38" x14ac:dyDescent="0.3">
      <c r="A93" s="4"/>
      <c r="B93" s="1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pans="1:38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pans="1:38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pans="1:38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pans="1:38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pans="1:38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  <row r="99" spans="1:38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</row>
    <row r="100" spans="1:38" ht="22.2" customHeight="1" x14ac:dyDescent="0.35">
      <c r="A100" s="4"/>
      <c r="B100" s="104" t="s">
        <v>186</v>
      </c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</row>
    <row r="101" spans="1:38" x14ac:dyDescent="0.3">
      <c r="A101" s="4"/>
      <c r="B101" s="4"/>
      <c r="C101" s="4"/>
      <c r="D101" s="4"/>
      <c r="E101" s="117"/>
      <c r="F101" s="117"/>
      <c r="G101" s="117"/>
      <c r="H101" s="117"/>
      <c r="I101" s="117"/>
      <c r="J101" s="117"/>
      <c r="K101" s="117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</row>
    <row r="102" spans="1:38" x14ac:dyDescent="0.3">
      <c r="A102" s="4"/>
      <c r="B102" s="4"/>
      <c r="C102" s="4"/>
      <c r="D102" s="4"/>
      <c r="E102" s="117"/>
      <c r="F102" s="117"/>
      <c r="G102" s="117"/>
      <c r="H102" s="117"/>
      <c r="I102" s="117"/>
      <c r="J102" s="117"/>
      <c r="K102" s="117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</row>
    <row r="103" spans="1:38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</row>
    <row r="104" spans="1:38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</row>
    <row r="105" spans="1:38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</row>
    <row r="106" spans="1:38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</row>
    <row r="107" spans="1:38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</row>
    <row r="108" spans="1:38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</row>
    <row r="109" spans="1:38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</row>
    <row r="110" spans="1:38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</row>
    <row r="111" spans="1:38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</row>
    <row r="112" spans="1:38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</row>
    <row r="113" spans="1:38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</row>
    <row r="114" spans="1:38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</row>
    <row r="115" spans="1:38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</row>
    <row r="116" spans="1:38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</row>
    <row r="117" spans="1:38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</row>
    <row r="118" spans="1:38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</row>
    <row r="119" spans="1:38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</row>
    <row r="120" spans="1:38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</row>
    <row r="121" spans="1:38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</row>
    <row r="122" spans="1:38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</row>
    <row r="123" spans="1:38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</row>
    <row r="124" spans="1:38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</row>
    <row r="125" spans="1:38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</row>
    <row r="126" spans="1:38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</row>
    <row r="127" spans="1:38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</row>
    <row r="128" spans="1:38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</row>
    <row r="129" spans="1:38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</row>
    <row r="130" spans="1:38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</row>
    <row r="131" spans="1:38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</row>
    <row r="132" spans="1:38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</row>
    <row r="133" spans="1:38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</row>
    <row r="134" spans="1:38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</row>
    <row r="135" spans="1:38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</row>
    <row r="136" spans="1:38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</row>
    <row r="137" spans="1:38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</row>
    <row r="138" spans="1:38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</row>
    <row r="139" spans="1:38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</row>
    <row r="140" spans="1:38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</row>
    <row r="141" spans="1:38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</row>
    <row r="142" spans="1:38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</row>
    <row r="143" spans="1:38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</row>
    <row r="144" spans="1:38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</row>
    <row r="145" spans="1:38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</row>
    <row r="146" spans="1:38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</row>
    <row r="147" spans="1:38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</row>
    <row r="148" spans="1:38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</row>
    <row r="149" spans="1:38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</row>
    <row r="150" spans="1:38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</row>
    <row r="151" spans="1:38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</row>
    <row r="152" spans="1:38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</row>
    <row r="153" spans="1:38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</row>
    <row r="154" spans="1:38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</row>
    <row r="155" spans="1:38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</row>
    <row r="156" spans="1:38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</row>
    <row r="157" spans="1:38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</row>
    <row r="158" spans="1:38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</row>
    <row r="159" spans="1:38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</row>
    <row r="160" spans="1:38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</row>
    <row r="161" spans="1:38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</row>
    <row r="162" spans="1:38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</row>
    <row r="163" spans="1:38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</row>
    <row r="164" spans="1:38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</row>
    <row r="165" spans="1:38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</row>
    <row r="166" spans="1:38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</row>
    <row r="167" spans="1:38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</row>
    <row r="168" spans="1:38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</row>
    <row r="169" spans="1:38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</row>
    <row r="170" spans="1:38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</row>
    <row r="171" spans="1:38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</row>
    <row r="172" spans="1:38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</row>
    <row r="173" spans="1:38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</row>
    <row r="174" spans="1:38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</row>
    <row r="175" spans="1:38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</row>
    <row r="176" spans="1:38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</row>
    <row r="177" spans="1:38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</row>
    <row r="178" spans="1:38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</row>
    <row r="179" spans="1:38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</row>
    <row r="180" spans="1:38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</row>
    <row r="181" spans="1:38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</row>
    <row r="182" spans="1:38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</row>
    <row r="183" spans="1:38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</row>
    <row r="184" spans="1:38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</row>
    <row r="185" spans="1:38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</row>
    <row r="186" spans="1:38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</row>
    <row r="187" spans="1:38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</row>
    <row r="188" spans="1:38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</row>
    <row r="189" spans="1:38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</row>
    <row r="190" spans="1:38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</row>
    <row r="191" spans="1:38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</row>
    <row r="192" spans="1:38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</row>
    <row r="193" spans="1:38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</row>
    <row r="194" spans="1:38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</row>
    <row r="195" spans="1:38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</row>
    <row r="196" spans="1:38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</row>
    <row r="197" spans="1:38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</row>
    <row r="198" spans="1:38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</row>
    <row r="199" spans="1:38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</row>
    <row r="200" spans="1:38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</row>
    <row r="201" spans="1:38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</row>
    <row r="202" spans="1:38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</row>
    <row r="203" spans="1:38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</row>
    <row r="204" spans="1:38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</row>
    <row r="205" spans="1:38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</row>
    <row r="206" spans="1:38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</row>
    <row r="207" spans="1:38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</row>
    <row r="208" spans="1:38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</row>
    <row r="209" spans="1:38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</row>
    <row r="210" spans="1:38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</row>
    <row r="211" spans="1:38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</row>
    <row r="212" spans="1:38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</row>
    <row r="213" spans="1:38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</row>
    <row r="214" spans="1:38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</row>
    <row r="215" spans="1:38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</row>
    <row r="216" spans="1:38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</row>
    <row r="217" spans="1:38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</row>
    <row r="218" spans="1:38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</row>
    <row r="219" spans="1:38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</row>
    <row r="220" spans="1:38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</row>
    <row r="221" spans="1:38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</row>
    <row r="222" spans="1:38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</row>
    <row r="223" spans="1:38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</row>
    <row r="224" spans="1:38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</row>
    <row r="225" spans="1:38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</row>
    <row r="226" spans="1:38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</row>
    <row r="227" spans="1:38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</row>
    <row r="228" spans="1:38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</row>
    <row r="229" spans="1:38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</row>
    <row r="230" spans="1:38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</row>
    <row r="231" spans="1:38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</row>
    <row r="232" spans="1:38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</row>
    <row r="233" spans="1:38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</row>
    <row r="234" spans="1:38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</row>
    <row r="235" spans="1:38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</row>
    <row r="236" spans="1:38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</row>
    <row r="237" spans="1:38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</row>
    <row r="238" spans="1:38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</row>
    <row r="239" spans="1:38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</row>
    <row r="240" spans="1:38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</row>
    <row r="241" spans="1:38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</row>
    <row r="242" spans="1:38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</row>
    <row r="243" spans="1:38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</row>
    <row r="244" spans="1:38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</row>
    <row r="245" spans="1:38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</row>
    <row r="246" spans="1:38" x14ac:dyDescent="0.3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</row>
    <row r="247" spans="1:38" x14ac:dyDescent="0.3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</row>
    <row r="248" spans="1:38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</row>
    <row r="249" spans="1:38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</row>
    <row r="250" spans="1:38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</row>
    <row r="251" spans="1:38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</row>
    <row r="252" spans="1:38" x14ac:dyDescent="0.3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</row>
    <row r="253" spans="1:38" x14ac:dyDescent="0.3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</row>
    <row r="254" spans="1:38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</row>
    <row r="255" spans="1:38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</row>
    <row r="256" spans="1:38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</row>
    <row r="257" spans="1:38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</row>
    <row r="258" spans="1:38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</row>
    <row r="259" spans="1:38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</row>
    <row r="260" spans="1:38" x14ac:dyDescent="0.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</row>
    <row r="261" spans="1:38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</row>
    <row r="262" spans="1:38" x14ac:dyDescent="0.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</row>
    <row r="263" spans="1:38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</row>
    <row r="264" spans="1:38" x14ac:dyDescent="0.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</row>
    <row r="265" spans="1:38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</row>
    <row r="266" spans="1:38" x14ac:dyDescent="0.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</row>
    <row r="267" spans="1:38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</row>
    <row r="268" spans="1:38" x14ac:dyDescent="0.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</row>
    <row r="269" spans="1:38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</row>
    <row r="270" spans="1:38" x14ac:dyDescent="0.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</row>
    <row r="271" spans="1:38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</row>
    <row r="272" spans="1:38" x14ac:dyDescent="0.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</row>
    <row r="273" spans="1:38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</row>
    <row r="274" spans="1:38" x14ac:dyDescent="0.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</row>
    <row r="275" spans="1:38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</row>
    <row r="276" spans="1:38" x14ac:dyDescent="0.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</row>
    <row r="277" spans="1:38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</row>
    <row r="278" spans="1:38" x14ac:dyDescent="0.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</row>
    <row r="279" spans="1:38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</row>
    <row r="280" spans="1:38" x14ac:dyDescent="0.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</row>
    <row r="281" spans="1:38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</row>
    <row r="282" spans="1:38" x14ac:dyDescent="0.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</row>
    <row r="283" spans="1:38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</row>
    <row r="284" spans="1:38" x14ac:dyDescent="0.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</row>
    <row r="285" spans="1:38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</row>
    <row r="286" spans="1:38" x14ac:dyDescent="0.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</row>
    <row r="287" spans="1:38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</row>
    <row r="288" spans="1:38" x14ac:dyDescent="0.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</row>
    <row r="289" spans="1:38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</row>
    <row r="290" spans="1:38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</row>
    <row r="291" spans="1:38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</row>
    <row r="292" spans="1:38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</row>
    <row r="293" spans="1:38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</row>
    <row r="294" spans="1:38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</row>
    <row r="295" spans="1:38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</row>
    <row r="296" spans="1:38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</row>
    <row r="297" spans="1:38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</row>
    <row r="298" spans="1:38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</row>
    <row r="299" spans="1:38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</row>
    <row r="300" spans="1:38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</row>
    <row r="301" spans="1:38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</row>
    <row r="302" spans="1:38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</row>
    <row r="303" spans="1:38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</row>
    <row r="304" spans="1:38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</row>
    <row r="305" spans="1:38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</row>
    <row r="306" spans="1:38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</row>
    <row r="307" spans="1:38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</row>
    <row r="308" spans="1:38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</row>
    <row r="309" spans="1:38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</row>
    <row r="310" spans="1:38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</row>
    <row r="311" spans="1:38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</row>
    <row r="312" spans="1:38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</row>
    <row r="313" spans="1:38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</row>
    <row r="314" spans="1:38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</row>
    <row r="315" spans="1:38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</row>
    <row r="316" spans="1:38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</row>
    <row r="317" spans="1:38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</row>
    <row r="318" spans="1:38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</row>
    <row r="319" spans="1:38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</row>
    <row r="320" spans="1:38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</row>
    <row r="321" spans="1:38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</row>
    <row r="322" spans="1:38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</row>
    <row r="323" spans="1:38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</row>
    <row r="324" spans="1:38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</row>
    <row r="325" spans="1:38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</row>
    <row r="326" spans="1:38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</row>
    <row r="327" spans="1:38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</row>
    <row r="328" spans="1:38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</row>
    <row r="329" spans="1:38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</row>
    <row r="330" spans="1:38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</row>
    <row r="331" spans="1:38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</row>
    <row r="332" spans="1:38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</row>
    <row r="333" spans="1:38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</row>
    <row r="334" spans="1:38" x14ac:dyDescent="0.3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</row>
    <row r="335" spans="1:38" x14ac:dyDescent="0.3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</row>
    <row r="336" spans="1:38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</row>
    <row r="337" spans="1:38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</row>
    <row r="338" spans="1:38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</row>
    <row r="339" spans="1:38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</row>
    <row r="340" spans="1:38" x14ac:dyDescent="0.3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</row>
    <row r="341" spans="1:38" x14ac:dyDescent="0.3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</row>
    <row r="342" spans="1:38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</row>
    <row r="343" spans="1:38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</row>
    <row r="344" spans="1:38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</row>
    <row r="345" spans="1:38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</row>
    <row r="346" spans="1:38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</row>
    <row r="347" spans="1:38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</row>
    <row r="348" spans="1:38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</row>
    <row r="349" spans="1:38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</row>
    <row r="350" spans="1:38" x14ac:dyDescent="0.3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</row>
    <row r="351" spans="1:38" x14ac:dyDescent="0.3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</row>
    <row r="352" spans="1:38" x14ac:dyDescent="0.3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</row>
    <row r="353" spans="1:38" x14ac:dyDescent="0.3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</row>
    <row r="354" spans="1:38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</row>
    <row r="355" spans="1:38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</row>
    <row r="356" spans="1:38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</row>
    <row r="357" spans="1:38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</row>
    <row r="358" spans="1:38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</row>
    <row r="359" spans="1:38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</row>
    <row r="360" spans="1:38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</row>
    <row r="361" spans="1:38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</row>
    <row r="362" spans="1:38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</row>
    <row r="363" spans="1:38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</row>
    <row r="364" spans="1:38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</row>
    <row r="365" spans="1:38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</row>
    <row r="366" spans="1:38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</row>
    <row r="367" spans="1:38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</row>
    <row r="368" spans="1:38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</row>
    <row r="369" spans="1:38" x14ac:dyDescent="0.3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</row>
    <row r="370" spans="1:38" x14ac:dyDescent="0.3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</row>
    <row r="371" spans="1:38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</row>
    <row r="372" spans="1:38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</row>
    <row r="373" spans="1:38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</row>
    <row r="374" spans="1:38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</row>
    <row r="375" spans="1:38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</row>
    <row r="376" spans="1:38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</row>
    <row r="377" spans="1:38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</row>
    <row r="378" spans="1:38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</row>
    <row r="379" spans="1:38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</row>
    <row r="380" spans="1:38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</row>
    <row r="381" spans="1:38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</row>
    <row r="382" spans="1:38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</row>
    <row r="383" spans="1:38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</row>
    <row r="384" spans="1:38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</row>
    <row r="385" spans="1:38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</row>
    <row r="386" spans="1:38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</row>
    <row r="387" spans="1:38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</row>
    <row r="388" spans="1:38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</row>
    <row r="389" spans="1:38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</row>
    <row r="390" spans="1:38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</row>
    <row r="391" spans="1:38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</row>
    <row r="392" spans="1:38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</row>
    <row r="393" spans="1:38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</row>
    <row r="394" spans="1:38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</row>
    <row r="395" spans="1:38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</row>
    <row r="396" spans="1:38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</row>
    <row r="397" spans="1:38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</row>
    <row r="398" spans="1:38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</row>
    <row r="399" spans="1:38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</row>
    <row r="400" spans="1:38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</row>
    <row r="401" spans="1:38" x14ac:dyDescent="0.3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</row>
    <row r="402" spans="1:38" x14ac:dyDescent="0.3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</row>
    <row r="403" spans="1:38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</row>
    <row r="404" spans="1:38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</row>
    <row r="405" spans="1:38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</row>
    <row r="406" spans="1:38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</row>
    <row r="407" spans="1:38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</row>
    <row r="408" spans="1:38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</row>
    <row r="409" spans="1:38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</row>
    <row r="410" spans="1:38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</row>
    <row r="411" spans="1:38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</row>
    <row r="412" spans="1:38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</row>
    <row r="413" spans="1:38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</row>
    <row r="414" spans="1:38" x14ac:dyDescent="0.3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</row>
    <row r="415" spans="1:38" x14ac:dyDescent="0.3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</row>
    <row r="416" spans="1:38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</row>
    <row r="417" spans="1:38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</row>
    <row r="418" spans="1:38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</row>
    <row r="419" spans="1:38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</row>
    <row r="420" spans="1:38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</row>
    <row r="421" spans="1:38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</row>
    <row r="422" spans="1:38" x14ac:dyDescent="0.3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</row>
    <row r="423" spans="1:38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</row>
    <row r="424" spans="1:38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</row>
    <row r="425" spans="1:38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</row>
    <row r="426" spans="1:38" x14ac:dyDescent="0.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</row>
    <row r="427" spans="1:38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</row>
    <row r="428" spans="1:38" x14ac:dyDescent="0.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</row>
    <row r="429" spans="1:38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</row>
    <row r="430" spans="1:38" x14ac:dyDescent="0.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</row>
    <row r="431" spans="1:38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</row>
    <row r="432" spans="1:38" x14ac:dyDescent="0.3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</row>
    <row r="433" spans="1:38" x14ac:dyDescent="0.3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</row>
    <row r="434" spans="1:38" x14ac:dyDescent="0.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</row>
    <row r="435" spans="1:38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</row>
    <row r="436" spans="1:38" x14ac:dyDescent="0.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</row>
    <row r="437" spans="1:38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</row>
    <row r="438" spans="1:38" x14ac:dyDescent="0.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</row>
    <row r="439" spans="1:38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</row>
    <row r="440" spans="1:38" x14ac:dyDescent="0.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</row>
    <row r="441" spans="1:38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</row>
    <row r="442" spans="1:38" x14ac:dyDescent="0.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</row>
    <row r="443" spans="1:38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</row>
    <row r="444" spans="1:38" x14ac:dyDescent="0.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</row>
    <row r="445" spans="1:38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</row>
    <row r="446" spans="1:38" x14ac:dyDescent="0.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</row>
    <row r="447" spans="1:38" x14ac:dyDescent="0.3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</row>
    <row r="448" spans="1:38" x14ac:dyDescent="0.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</row>
    <row r="449" spans="1:38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</row>
    <row r="450" spans="1:38" x14ac:dyDescent="0.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</row>
    <row r="451" spans="1:38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</row>
    <row r="452" spans="1:38" x14ac:dyDescent="0.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</row>
    <row r="453" spans="1:38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</row>
    <row r="454" spans="1:38" x14ac:dyDescent="0.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</row>
    <row r="455" spans="1:38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</row>
    <row r="456" spans="1:38" x14ac:dyDescent="0.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</row>
    <row r="457" spans="1:38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</row>
    <row r="458" spans="1:38" x14ac:dyDescent="0.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</row>
    <row r="459" spans="1:38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</row>
    <row r="460" spans="1:38" x14ac:dyDescent="0.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</row>
    <row r="461" spans="1:38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</row>
    <row r="462" spans="1:38" x14ac:dyDescent="0.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</row>
    <row r="463" spans="1:38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</row>
    <row r="464" spans="1:38" x14ac:dyDescent="0.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</row>
    <row r="465" spans="1:38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</row>
    <row r="466" spans="1:38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</row>
    <row r="467" spans="1:38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</row>
    <row r="468" spans="1:38" x14ac:dyDescent="0.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</row>
    <row r="469" spans="1:38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</row>
    <row r="470" spans="1:38" x14ac:dyDescent="0.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</row>
    <row r="471" spans="1:38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</row>
    <row r="472" spans="1:38" x14ac:dyDescent="0.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</row>
    <row r="473" spans="1:38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</row>
    <row r="474" spans="1:38" x14ac:dyDescent="0.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</row>
    <row r="475" spans="1:38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</row>
    <row r="476" spans="1:38" x14ac:dyDescent="0.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</row>
    <row r="477" spans="1:38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</row>
    <row r="478" spans="1:38" x14ac:dyDescent="0.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</row>
    <row r="479" spans="1:38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</row>
    <row r="480" spans="1:38" x14ac:dyDescent="0.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</row>
    <row r="481" spans="1:38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</row>
    <row r="482" spans="1:38" x14ac:dyDescent="0.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</row>
    <row r="483" spans="1:38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</row>
    <row r="484" spans="1:38" x14ac:dyDescent="0.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</row>
    <row r="485" spans="1:38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</row>
    <row r="486" spans="1:38" x14ac:dyDescent="0.3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</row>
    <row r="487" spans="1:38" x14ac:dyDescent="0.3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</row>
    <row r="488" spans="1:38" x14ac:dyDescent="0.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</row>
    <row r="489" spans="1:38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</row>
    <row r="490" spans="1:38" x14ac:dyDescent="0.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</row>
    <row r="491" spans="1:38" x14ac:dyDescent="0.3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</row>
    <row r="492" spans="1:38" x14ac:dyDescent="0.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</row>
    <row r="493" spans="1:38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</row>
    <row r="494" spans="1:38" x14ac:dyDescent="0.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</row>
    <row r="495" spans="1:38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</row>
    <row r="496" spans="1:38" x14ac:dyDescent="0.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</row>
    <row r="497" spans="1:38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</row>
    <row r="498" spans="1:38" x14ac:dyDescent="0.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</row>
    <row r="499" spans="1:38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  <c r="AJ499" s="4"/>
      <c r="AK499" s="4"/>
      <c r="AL499" s="4"/>
    </row>
    <row r="500" spans="1:38" x14ac:dyDescent="0.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  <c r="AJ500" s="4"/>
      <c r="AK500" s="4"/>
      <c r="AL500" s="4"/>
    </row>
    <row r="501" spans="1:38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/>
    </row>
    <row r="502" spans="1:38" x14ac:dyDescent="0.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/>
    </row>
    <row r="503" spans="1:38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/>
    </row>
    <row r="504" spans="1:38" x14ac:dyDescent="0.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/>
    </row>
    <row r="505" spans="1:38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/>
    </row>
    <row r="506" spans="1:38" x14ac:dyDescent="0.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/>
    </row>
    <row r="507" spans="1:38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/>
    </row>
    <row r="508" spans="1:38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/>
    </row>
    <row r="509" spans="1:38" x14ac:dyDescent="0.3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/>
    </row>
    <row r="510" spans="1:38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/>
    </row>
    <row r="511" spans="1:38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/>
    </row>
    <row r="512" spans="1:38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/>
    </row>
    <row r="513" spans="1:38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/>
    </row>
    <row r="514" spans="1:38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/>
    </row>
    <row r="515" spans="1:38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/>
    </row>
    <row r="516" spans="1:38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/>
    </row>
    <row r="517" spans="1:38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/>
    </row>
    <row r="518" spans="1:38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  <c r="AJ518" s="4"/>
      <c r="AK518" s="4"/>
      <c r="AL518" s="4"/>
    </row>
    <row r="519" spans="1:38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/>
    </row>
    <row r="520" spans="1:38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/>
    </row>
    <row r="521" spans="1:38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  <c r="AJ521" s="4"/>
      <c r="AK521" s="4"/>
      <c r="AL521" s="4"/>
    </row>
    <row r="522" spans="1:38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/>
    </row>
    <row r="523" spans="1:38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  <c r="AJ523" s="4"/>
      <c r="AK523" s="4"/>
      <c r="AL523" s="4"/>
    </row>
    <row r="524" spans="1:38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  <c r="AJ524" s="4"/>
      <c r="AK524" s="4"/>
      <c r="AL524" s="4"/>
    </row>
    <row r="525" spans="1:38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4"/>
    </row>
    <row r="526" spans="1:38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/>
    </row>
    <row r="527" spans="1:38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4"/>
    </row>
    <row r="528" spans="1:38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/>
    </row>
    <row r="529" spans="1:38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  <c r="AJ529" s="4"/>
      <c r="AK529" s="4"/>
      <c r="AL529" s="4"/>
    </row>
    <row r="530" spans="1:38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/>
    </row>
    <row r="531" spans="1:38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/>
    </row>
    <row r="532" spans="1:38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  <c r="AJ532" s="4"/>
      <c r="AK532" s="4"/>
      <c r="AL532" s="4"/>
    </row>
    <row r="533" spans="1:38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/>
    </row>
    <row r="534" spans="1:38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  <c r="AJ534" s="4"/>
      <c r="AK534" s="4"/>
      <c r="AL534" s="4"/>
    </row>
    <row r="535" spans="1:38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4"/>
    </row>
    <row r="536" spans="1:38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/>
    </row>
    <row r="537" spans="1:38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  <c r="AJ537" s="4"/>
      <c r="AK537" s="4"/>
      <c r="AL537" s="4"/>
    </row>
    <row r="538" spans="1:38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4"/>
    </row>
    <row r="539" spans="1:38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  <c r="AJ539" s="4"/>
      <c r="AK539" s="4"/>
      <c r="AL539" s="4"/>
    </row>
    <row r="540" spans="1:38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  <c r="AJ540" s="4"/>
      <c r="AK540" s="4"/>
      <c r="AL540" s="4"/>
    </row>
    <row r="541" spans="1:38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  <c r="AJ541" s="4"/>
      <c r="AK541" s="4"/>
      <c r="AL541" s="4"/>
    </row>
    <row r="542" spans="1:38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  <c r="AJ542" s="4"/>
      <c r="AK542" s="4"/>
      <c r="AL542" s="4"/>
    </row>
    <row r="543" spans="1:38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/>
    </row>
    <row r="544" spans="1:38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  <c r="AJ544" s="4"/>
      <c r="AK544" s="4"/>
      <c r="AL544" s="4"/>
    </row>
    <row r="545" spans="1:38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/>
    </row>
    <row r="546" spans="1:38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  <c r="AJ546" s="4"/>
      <c r="AK546" s="4"/>
      <c r="AL546" s="4"/>
    </row>
    <row r="547" spans="1:38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/>
    </row>
    <row r="548" spans="1:38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  <c r="AJ548" s="4"/>
      <c r="AK548" s="4"/>
      <c r="AL548" s="4"/>
    </row>
    <row r="549" spans="1:38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4"/>
    </row>
    <row r="550" spans="1:38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/>
    </row>
    <row r="551" spans="1:38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  <c r="AJ551" s="4"/>
      <c r="AK551" s="4"/>
      <c r="AL551" s="4"/>
    </row>
    <row r="552" spans="1:38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/>
    </row>
    <row r="553" spans="1:38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  <c r="AJ553" s="4"/>
      <c r="AK553" s="4"/>
      <c r="AL553" s="4"/>
    </row>
    <row r="554" spans="1:38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  <c r="AJ554" s="4"/>
      <c r="AK554" s="4"/>
      <c r="AL554" s="4"/>
    </row>
    <row r="555" spans="1:38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  <c r="AJ555" s="4"/>
      <c r="AK555" s="4"/>
      <c r="AL555" s="4"/>
    </row>
    <row r="556" spans="1:38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  <c r="AJ556" s="4"/>
      <c r="AK556" s="4"/>
      <c r="AL556" s="4"/>
    </row>
    <row r="557" spans="1:38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  <c r="AJ557" s="4"/>
      <c r="AK557" s="4"/>
      <c r="AL557" s="4"/>
    </row>
    <row r="558" spans="1:38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  <c r="AJ558" s="4"/>
      <c r="AK558" s="4"/>
      <c r="AL558" s="4"/>
    </row>
    <row r="559" spans="1:38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  <c r="AJ559" s="4"/>
      <c r="AK559" s="4"/>
      <c r="AL559" s="4"/>
    </row>
    <row r="560" spans="1:38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  <c r="AJ560" s="4"/>
      <c r="AK560" s="4"/>
      <c r="AL560" s="4"/>
    </row>
    <row r="561" spans="1:38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  <c r="AJ561" s="4"/>
      <c r="AK561" s="4"/>
      <c r="AL561" s="4"/>
    </row>
    <row r="562" spans="1:38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  <c r="AJ562" s="4"/>
      <c r="AK562" s="4"/>
      <c r="AL562" s="4"/>
    </row>
    <row r="563" spans="1:38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  <c r="AJ563" s="4"/>
      <c r="AK563" s="4"/>
      <c r="AL563" s="4"/>
    </row>
    <row r="564" spans="1:38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  <c r="AI564" s="4"/>
      <c r="AJ564" s="4"/>
      <c r="AK564" s="4"/>
      <c r="AL564" s="4"/>
    </row>
    <row r="565" spans="1:38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  <c r="AI565" s="4"/>
      <c r="AJ565" s="4"/>
      <c r="AK565" s="4"/>
      <c r="AL565" s="4"/>
    </row>
    <row r="566" spans="1:38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  <c r="AI566" s="4"/>
      <c r="AJ566" s="4"/>
      <c r="AK566" s="4"/>
      <c r="AL566" s="4"/>
    </row>
    <row r="567" spans="1:38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  <c r="AI567" s="4"/>
      <c r="AJ567" s="4"/>
      <c r="AK567" s="4"/>
      <c r="AL567" s="4"/>
    </row>
    <row r="568" spans="1:38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  <c r="AI568" s="4"/>
      <c r="AJ568" s="4"/>
      <c r="AK568" s="4"/>
      <c r="AL568" s="4"/>
    </row>
    <row r="569" spans="1:38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  <c r="AI569" s="4"/>
      <c r="AJ569" s="4"/>
      <c r="AK569" s="4"/>
      <c r="AL569" s="4"/>
    </row>
    <row r="570" spans="1:38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  <c r="AI570" s="4"/>
      <c r="AJ570" s="4"/>
      <c r="AK570" s="4"/>
      <c r="AL570" s="4"/>
    </row>
    <row r="571" spans="1:38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  <c r="AI571" s="4"/>
      <c r="AJ571" s="4"/>
      <c r="AK571" s="4"/>
      <c r="AL571" s="4"/>
    </row>
    <row r="572" spans="1:38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  <c r="AI572" s="4"/>
      <c r="AJ572" s="4"/>
      <c r="AK572" s="4"/>
      <c r="AL572" s="4"/>
    </row>
    <row r="573" spans="1:38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  <c r="AI573" s="4"/>
      <c r="AJ573" s="4"/>
      <c r="AK573" s="4"/>
      <c r="AL573" s="4"/>
    </row>
    <row r="574" spans="1:38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  <c r="AI574" s="4"/>
      <c r="AJ574" s="4"/>
      <c r="AK574" s="4"/>
      <c r="AL574" s="4"/>
    </row>
    <row r="575" spans="1:38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  <c r="AI575" s="4"/>
      <c r="AJ575" s="4"/>
      <c r="AK575" s="4"/>
      <c r="AL575" s="4"/>
    </row>
    <row r="576" spans="1:38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  <c r="AI576" s="4"/>
      <c r="AJ576" s="4"/>
      <c r="AK576" s="4"/>
      <c r="AL576" s="4"/>
    </row>
    <row r="577" spans="1:38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  <c r="AI577" s="4"/>
      <c r="AJ577" s="4"/>
      <c r="AK577" s="4"/>
      <c r="AL577" s="4"/>
    </row>
    <row r="578" spans="1:38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  <c r="AI578" s="4"/>
      <c r="AJ578" s="4"/>
      <c r="AK578" s="4"/>
      <c r="AL578" s="4"/>
    </row>
    <row r="579" spans="1:38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  <c r="AI579" s="4"/>
      <c r="AJ579" s="4"/>
      <c r="AK579" s="4"/>
      <c r="AL579" s="4"/>
    </row>
    <row r="580" spans="1:38" x14ac:dyDescent="0.3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  <c r="AI580" s="4"/>
      <c r="AJ580" s="4"/>
      <c r="AK580" s="4"/>
      <c r="AL580" s="4"/>
    </row>
    <row r="581" spans="1:38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  <c r="AI581" s="4"/>
      <c r="AJ581" s="4"/>
      <c r="AK581" s="4"/>
      <c r="AL581" s="4"/>
    </row>
    <row r="582" spans="1:38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  <c r="AI582" s="4"/>
      <c r="AJ582" s="4"/>
      <c r="AK582" s="4"/>
      <c r="AL582" s="4"/>
    </row>
    <row r="583" spans="1:38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  <c r="AI583" s="4"/>
      <c r="AJ583" s="4"/>
      <c r="AK583" s="4"/>
      <c r="AL583" s="4"/>
    </row>
    <row r="584" spans="1:38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/>
    </row>
    <row r="585" spans="1:38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/>
    </row>
    <row r="586" spans="1:38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/>
    </row>
    <row r="587" spans="1:38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4"/>
    </row>
    <row r="588" spans="1:38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/>
    </row>
    <row r="589" spans="1:38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4"/>
    </row>
    <row r="590" spans="1:38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/>
    </row>
    <row r="591" spans="1:38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/>
    </row>
    <row r="592" spans="1:38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4"/>
    </row>
    <row r="593" spans="1:38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/>
    </row>
    <row r="594" spans="1:38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/>
    </row>
    <row r="595" spans="1:38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/>
    </row>
    <row r="596" spans="1:38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/>
    </row>
    <row r="597" spans="1:38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/>
    </row>
    <row r="598" spans="1:38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4"/>
    </row>
    <row r="599" spans="1:38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/>
    </row>
    <row r="600" spans="1:38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4"/>
    </row>
    <row r="601" spans="1:38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4"/>
      <c r="AJ601" s="4"/>
      <c r="AK601" s="4"/>
      <c r="AL601" s="4"/>
    </row>
    <row r="602" spans="1:38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/>
    </row>
    <row r="603" spans="1:38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/>
    </row>
    <row r="604" spans="1:38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  <c r="AJ604" s="4"/>
      <c r="AK604" s="4"/>
      <c r="AL604" s="4"/>
    </row>
    <row r="605" spans="1:38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/>
    </row>
    <row r="606" spans="1:38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  <c r="AJ606" s="4"/>
      <c r="AK606" s="4"/>
      <c r="AL606" s="4"/>
    </row>
    <row r="607" spans="1:38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  <c r="AJ607" s="4"/>
      <c r="AK607" s="4"/>
      <c r="AL607" s="4"/>
    </row>
    <row r="608" spans="1:38" x14ac:dyDescent="0.3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4"/>
    </row>
    <row r="609" spans="1:38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/>
    </row>
    <row r="610" spans="1:38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4"/>
    </row>
    <row r="611" spans="1:38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/>
    </row>
    <row r="612" spans="1:38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  <c r="AJ612" s="4"/>
      <c r="AK612" s="4"/>
      <c r="AL612" s="4"/>
    </row>
    <row r="613" spans="1:38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/>
    </row>
    <row r="614" spans="1:38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/>
    </row>
    <row r="615" spans="1:38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  <c r="AJ615" s="4"/>
      <c r="AK615" s="4"/>
      <c r="AL615" s="4"/>
    </row>
    <row r="616" spans="1:38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/>
    </row>
    <row r="617" spans="1:38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  <c r="AJ617" s="4"/>
      <c r="AK617" s="4"/>
      <c r="AL617" s="4"/>
    </row>
    <row r="618" spans="1:38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4"/>
    </row>
    <row r="619" spans="1:38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/>
    </row>
    <row r="620" spans="1:38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  <c r="AJ620" s="4"/>
      <c r="AK620" s="4"/>
      <c r="AL620" s="4"/>
    </row>
    <row r="621" spans="1:38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4"/>
    </row>
    <row r="622" spans="1:38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  <c r="AJ622" s="4"/>
      <c r="AK622" s="4"/>
      <c r="AL622" s="4"/>
    </row>
    <row r="623" spans="1:38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  <c r="AJ623" s="4"/>
      <c r="AK623" s="4"/>
      <c r="AL623" s="4"/>
    </row>
    <row r="624" spans="1:38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  <c r="AJ624" s="4"/>
      <c r="AK624" s="4"/>
      <c r="AL624" s="4"/>
    </row>
    <row r="625" spans="1:38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  <c r="AJ625" s="4"/>
      <c r="AK625" s="4"/>
      <c r="AL625" s="4"/>
    </row>
    <row r="626" spans="1:38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/>
    </row>
    <row r="627" spans="1:38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  <c r="AJ627" s="4"/>
      <c r="AK627" s="4"/>
      <c r="AL627" s="4"/>
    </row>
    <row r="628" spans="1:38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/>
    </row>
    <row r="629" spans="1:38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  <c r="AJ629" s="4"/>
      <c r="AK629" s="4"/>
      <c r="AL629" s="4"/>
    </row>
    <row r="630" spans="1:38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/>
    </row>
    <row r="631" spans="1:38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  <c r="AJ631" s="4"/>
      <c r="AK631" s="4"/>
      <c r="AL631" s="4"/>
    </row>
    <row r="632" spans="1:38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4"/>
    </row>
    <row r="633" spans="1:38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/>
    </row>
    <row r="634" spans="1:38" x14ac:dyDescent="0.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  <c r="AJ634" s="4"/>
      <c r="AK634" s="4"/>
      <c r="AL634" s="4"/>
    </row>
    <row r="635" spans="1:38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/>
    </row>
    <row r="636" spans="1:38" x14ac:dyDescent="0.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  <c r="AJ636" s="4"/>
      <c r="AK636" s="4"/>
      <c r="AL636" s="4"/>
    </row>
    <row r="637" spans="1:38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  <c r="AJ637" s="4"/>
      <c r="AK637" s="4"/>
      <c r="AL637" s="4"/>
    </row>
    <row r="638" spans="1:38" x14ac:dyDescent="0.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  <c r="AJ638" s="4"/>
      <c r="AK638" s="4"/>
      <c r="AL638" s="4"/>
    </row>
    <row r="639" spans="1:38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  <c r="AJ639" s="4"/>
      <c r="AK639" s="4"/>
      <c r="AL639" s="4"/>
    </row>
    <row r="640" spans="1:38" x14ac:dyDescent="0.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  <c r="AJ640" s="4"/>
      <c r="AK640" s="4"/>
      <c r="AL640" s="4"/>
    </row>
    <row r="641" spans="1:38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  <c r="AJ641" s="4"/>
      <c r="AK641" s="4"/>
      <c r="AL641" s="4"/>
    </row>
    <row r="642" spans="1:38" x14ac:dyDescent="0.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  <c r="AJ642" s="4"/>
      <c r="AK642" s="4"/>
      <c r="AL642" s="4"/>
    </row>
    <row r="643" spans="1:38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  <c r="AJ643" s="4"/>
      <c r="AK643" s="4"/>
      <c r="AL643" s="4"/>
    </row>
    <row r="644" spans="1:38" x14ac:dyDescent="0.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  <c r="AJ644" s="4"/>
      <c r="AK644" s="4"/>
      <c r="AL644" s="4"/>
    </row>
    <row r="645" spans="1:38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  <c r="AJ645" s="4"/>
      <c r="AK645" s="4"/>
      <c r="AL645" s="4"/>
    </row>
    <row r="646" spans="1:38" x14ac:dyDescent="0.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  <c r="AJ646" s="4"/>
      <c r="AK646" s="4"/>
      <c r="AL646" s="4"/>
    </row>
    <row r="647" spans="1:38" x14ac:dyDescent="0.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  <c r="AJ647" s="4"/>
      <c r="AK647" s="4"/>
      <c r="AL647" s="4"/>
    </row>
    <row r="648" spans="1:38" x14ac:dyDescent="0.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  <c r="AJ648" s="4"/>
      <c r="AK648" s="4"/>
      <c r="AL648" s="4"/>
    </row>
    <row r="649" spans="1:38" x14ac:dyDescent="0.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  <c r="AJ649" s="4"/>
      <c r="AK649" s="4"/>
      <c r="AL649" s="4"/>
    </row>
    <row r="650" spans="1:38" x14ac:dyDescent="0.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  <c r="AJ650" s="4"/>
      <c r="AK650" s="4"/>
      <c r="AL650" s="4"/>
    </row>
    <row r="651" spans="1:38" x14ac:dyDescent="0.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  <c r="AJ651" s="4"/>
      <c r="AK651" s="4"/>
      <c r="AL651" s="4"/>
    </row>
    <row r="652" spans="1:38" x14ac:dyDescent="0.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  <c r="AJ652" s="4"/>
      <c r="AK652" s="4"/>
      <c r="AL652" s="4"/>
    </row>
    <row r="653" spans="1:38" x14ac:dyDescent="0.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  <c r="AJ653" s="4"/>
      <c r="AK653" s="4"/>
      <c r="AL653" s="4"/>
    </row>
    <row r="654" spans="1:38" x14ac:dyDescent="0.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  <c r="AJ654" s="4"/>
      <c r="AK654" s="4"/>
      <c r="AL654" s="4"/>
    </row>
    <row r="655" spans="1:38" x14ac:dyDescent="0.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  <c r="AJ655" s="4"/>
      <c r="AK655" s="4"/>
      <c r="AL655" s="4"/>
    </row>
    <row r="656" spans="1:38" x14ac:dyDescent="0.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  <c r="AJ656" s="4"/>
      <c r="AK656" s="4"/>
      <c r="AL656" s="4"/>
    </row>
    <row r="657" spans="1:38" x14ac:dyDescent="0.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  <c r="AJ657" s="4"/>
      <c r="AK657" s="4"/>
      <c r="AL657" s="4"/>
    </row>
    <row r="658" spans="1:38" x14ac:dyDescent="0.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  <c r="AJ658" s="4"/>
      <c r="AK658" s="4"/>
      <c r="AL658" s="4"/>
    </row>
    <row r="659" spans="1:38" x14ac:dyDescent="0.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  <c r="AJ659" s="4"/>
      <c r="AK659" s="4"/>
      <c r="AL659" s="4"/>
    </row>
    <row r="660" spans="1:38" x14ac:dyDescent="0.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  <c r="AJ660" s="4"/>
      <c r="AK660" s="4"/>
      <c r="AL660" s="4"/>
    </row>
    <row r="661" spans="1:38" x14ac:dyDescent="0.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  <c r="AJ661" s="4"/>
      <c r="AK661" s="4"/>
      <c r="AL661" s="4"/>
    </row>
    <row r="662" spans="1:38" x14ac:dyDescent="0.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  <c r="AJ662" s="4"/>
      <c r="AK662" s="4"/>
      <c r="AL662" s="4"/>
    </row>
    <row r="663" spans="1:38" x14ac:dyDescent="0.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  <c r="AJ663" s="4"/>
      <c r="AK663" s="4"/>
      <c r="AL663" s="4"/>
    </row>
    <row r="664" spans="1:38" x14ac:dyDescent="0.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  <c r="AJ664" s="4"/>
      <c r="AK664" s="4"/>
      <c r="AL664" s="4"/>
    </row>
    <row r="665" spans="1:38" x14ac:dyDescent="0.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  <c r="AJ665" s="4"/>
      <c r="AK665" s="4"/>
      <c r="AL665" s="4"/>
    </row>
    <row r="666" spans="1:38" x14ac:dyDescent="0.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  <c r="AJ666" s="4"/>
      <c r="AK666" s="4"/>
      <c r="AL666" s="4"/>
    </row>
    <row r="667" spans="1:38" x14ac:dyDescent="0.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4"/>
    </row>
    <row r="668" spans="1:38" x14ac:dyDescent="0.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4"/>
    </row>
    <row r="669" spans="1:38" x14ac:dyDescent="0.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4"/>
    </row>
    <row r="670" spans="1:38" x14ac:dyDescent="0.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4"/>
    </row>
    <row r="671" spans="1:38" x14ac:dyDescent="0.3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4"/>
    </row>
    <row r="672" spans="1:38" x14ac:dyDescent="0.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4"/>
    </row>
    <row r="673" spans="1:38" x14ac:dyDescent="0.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4"/>
    </row>
    <row r="674" spans="1:38" x14ac:dyDescent="0.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4"/>
    </row>
    <row r="675" spans="1:38" x14ac:dyDescent="0.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4"/>
    </row>
    <row r="676" spans="1:38" x14ac:dyDescent="0.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4"/>
    </row>
    <row r="677" spans="1:38" x14ac:dyDescent="0.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4"/>
    </row>
    <row r="678" spans="1:38" x14ac:dyDescent="0.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4"/>
    </row>
    <row r="679" spans="1:38" x14ac:dyDescent="0.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4"/>
    </row>
    <row r="680" spans="1:38" x14ac:dyDescent="0.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4"/>
    </row>
    <row r="681" spans="1:38" x14ac:dyDescent="0.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4"/>
    </row>
    <row r="682" spans="1:38" x14ac:dyDescent="0.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4"/>
    </row>
  </sheetData>
  <mergeCells count="15">
    <mergeCell ref="B79:N79"/>
    <mergeCell ref="E101:K102"/>
    <mergeCell ref="C34:K34"/>
    <mergeCell ref="C35:I35"/>
    <mergeCell ref="E51:M51"/>
    <mergeCell ref="B65:M65"/>
    <mergeCell ref="E68:L68"/>
    <mergeCell ref="B69:D69"/>
    <mergeCell ref="E69:L69"/>
    <mergeCell ref="C33:K33"/>
    <mergeCell ref="B9:M9"/>
    <mergeCell ref="C27:H27"/>
    <mergeCell ref="C30:M30"/>
    <mergeCell ref="C31:I31"/>
    <mergeCell ref="C32:I3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L90"/>
  <sheetViews>
    <sheetView showGridLines="0" tabSelected="1" zoomScale="85" zoomScaleNormal="85" workbookViewId="0">
      <selection activeCell="E56" sqref="E56"/>
    </sheetView>
  </sheetViews>
  <sheetFormatPr baseColWidth="10" defaultColWidth="11.5546875" defaultRowHeight="14.4" x14ac:dyDescent="0.3"/>
  <cols>
    <col min="1" max="1" width="6.33203125" style="1" customWidth="1"/>
    <col min="2" max="2" width="8.44140625" style="1" customWidth="1"/>
    <col min="3" max="3" width="49.5546875" style="61" customWidth="1"/>
    <col min="4" max="4" width="12.88671875" style="1" customWidth="1"/>
    <col min="5" max="5" width="19.109375" style="1" customWidth="1"/>
    <col min="6" max="7" width="13.109375" style="1" customWidth="1"/>
    <col min="8" max="8" width="13.6640625" style="1" bestFit="1" customWidth="1"/>
    <col min="9" max="9" width="13.33203125" style="59" customWidth="1"/>
    <col min="10" max="10" width="1" style="78" customWidth="1"/>
    <col min="11" max="63" width="3.88671875" style="59" customWidth="1"/>
    <col min="64" max="16384" width="11.5546875" style="88"/>
  </cols>
  <sheetData>
    <row r="1" spans="1:64" s="5" customFormat="1" x14ac:dyDescent="0.3">
      <c r="A1" s="4"/>
      <c r="B1" s="4"/>
      <c r="C1" s="13"/>
      <c r="D1" s="4"/>
      <c r="E1" s="4"/>
      <c r="F1" s="4"/>
      <c r="G1" s="4"/>
      <c r="H1" s="4"/>
      <c r="I1" s="4"/>
      <c r="J1" s="78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</row>
    <row r="2" spans="1:64" s="5" customFormat="1" ht="25.8" x14ac:dyDescent="0.3">
      <c r="A2" s="4"/>
      <c r="B2" s="16"/>
      <c r="C2" s="17"/>
      <c r="D2" s="16"/>
      <c r="E2" s="16"/>
      <c r="F2" s="4"/>
      <c r="G2" s="4"/>
      <c r="H2" s="121"/>
      <c r="I2" s="121"/>
      <c r="J2" s="78"/>
      <c r="K2" s="4"/>
      <c r="L2" s="18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</row>
    <row r="3" spans="1:64" s="5" customFormat="1" ht="25.8" x14ac:dyDescent="0.3">
      <c r="A3" s="4"/>
      <c r="B3" s="16"/>
      <c r="C3" s="17"/>
      <c r="D3" s="16"/>
      <c r="E3" s="16"/>
      <c r="F3" s="4"/>
      <c r="G3" s="4"/>
      <c r="H3" s="4"/>
      <c r="I3" s="4"/>
      <c r="J3" s="78"/>
      <c r="K3" s="4"/>
      <c r="L3" s="4"/>
      <c r="M3" s="4"/>
      <c r="N3" s="4"/>
      <c r="O3" s="4"/>
      <c r="P3" s="4"/>
      <c r="Q3" s="4"/>
      <c r="R3" s="75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</row>
    <row r="4" spans="1:64" s="5" customFormat="1" ht="25.8" x14ac:dyDescent="0.3">
      <c r="A4" s="4"/>
      <c r="B4" s="16"/>
      <c r="C4" s="17"/>
      <c r="D4" s="16"/>
      <c r="E4" s="16"/>
      <c r="F4" s="4"/>
      <c r="G4" s="4"/>
      <c r="H4" s="4"/>
      <c r="I4" s="4"/>
      <c r="J4" s="78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</row>
    <row r="5" spans="1:64" s="5" customFormat="1" ht="23.4" x14ac:dyDescent="0.45">
      <c r="A5" s="4"/>
      <c r="B5" s="4"/>
      <c r="C5" s="13"/>
      <c r="D5" s="4"/>
      <c r="E5" s="4"/>
      <c r="F5" s="4"/>
      <c r="G5" s="4"/>
      <c r="H5" s="4"/>
      <c r="I5" s="19"/>
      <c r="J5" s="78"/>
      <c r="K5" s="4"/>
      <c r="L5" s="4"/>
      <c r="M5" s="4"/>
      <c r="N5" s="4"/>
      <c r="O5" s="4"/>
      <c r="P5" s="4"/>
      <c r="Q5" s="4"/>
      <c r="R5" s="4"/>
      <c r="S5" s="4"/>
      <c r="T5" s="129"/>
      <c r="U5" s="129"/>
      <c r="V5" s="129"/>
      <c r="W5" s="129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</row>
    <row r="6" spans="1:64" s="5" customFormat="1" x14ac:dyDescent="0.3">
      <c r="A6" s="4"/>
      <c r="B6" s="20" t="s">
        <v>105</v>
      </c>
      <c r="C6" s="21"/>
      <c r="D6" s="130" t="s">
        <v>109</v>
      </c>
      <c r="E6" s="130"/>
      <c r="F6" s="134" t="s">
        <v>112</v>
      </c>
      <c r="G6" s="134"/>
      <c r="H6" s="135">
        <v>44685</v>
      </c>
      <c r="I6" s="136"/>
      <c r="J6" s="78"/>
      <c r="K6" s="122" t="s">
        <v>115</v>
      </c>
      <c r="L6" s="122"/>
      <c r="M6" s="122"/>
      <c r="N6" s="122"/>
      <c r="O6" s="122"/>
      <c r="P6" s="122"/>
      <c r="Q6" s="122"/>
      <c r="R6" s="122"/>
      <c r="S6" s="123"/>
      <c r="T6" s="124">
        <v>44562</v>
      </c>
      <c r="U6" s="125"/>
      <c r="V6" s="125"/>
      <c r="W6" s="126"/>
      <c r="X6" s="85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</row>
    <row r="7" spans="1:64" s="5" customFormat="1" x14ac:dyDescent="0.3">
      <c r="A7" s="4"/>
      <c r="B7" s="22"/>
      <c r="C7" s="13"/>
      <c r="D7" s="22"/>
      <c r="E7" s="23"/>
      <c r="F7" s="24"/>
      <c r="G7" s="25"/>
      <c r="H7" s="23"/>
      <c r="I7" s="4"/>
      <c r="J7" s="78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</row>
    <row r="8" spans="1:64" s="5" customFormat="1" x14ac:dyDescent="0.3">
      <c r="A8" s="4"/>
      <c r="B8" s="20" t="s">
        <v>106</v>
      </c>
      <c r="C8" s="21"/>
      <c r="D8" s="130" t="s">
        <v>110</v>
      </c>
      <c r="E8" s="130"/>
      <c r="F8" s="131" t="s">
        <v>113</v>
      </c>
      <c r="G8" s="131"/>
      <c r="H8" s="137">
        <v>44685</v>
      </c>
      <c r="I8" s="138"/>
      <c r="J8" s="78"/>
      <c r="K8" s="122" t="s">
        <v>116</v>
      </c>
      <c r="L8" s="122"/>
      <c r="M8" s="122"/>
      <c r="N8" s="122"/>
      <c r="O8" s="122"/>
      <c r="P8" s="122"/>
      <c r="Q8" s="122"/>
      <c r="R8" s="122"/>
      <c r="S8" s="123"/>
      <c r="T8" s="124">
        <v>44957</v>
      </c>
      <c r="U8" s="125"/>
      <c r="V8" s="125"/>
      <c r="W8" s="126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</row>
    <row r="9" spans="1:64" s="5" customFormat="1" x14ac:dyDescent="0.3">
      <c r="A9" s="4"/>
      <c r="B9" s="26"/>
      <c r="C9" s="13"/>
      <c r="D9" s="23"/>
      <c r="E9" s="23"/>
      <c r="F9" s="27"/>
      <c r="G9" s="28"/>
      <c r="H9" s="23"/>
      <c r="I9" s="4"/>
      <c r="J9" s="78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F9" s="4"/>
      <c r="BG9" s="4"/>
      <c r="BH9" s="4"/>
      <c r="BI9" s="4"/>
      <c r="BJ9" s="4"/>
      <c r="BK9" s="4"/>
    </row>
    <row r="10" spans="1:64" s="5" customFormat="1" x14ac:dyDescent="0.3">
      <c r="A10" s="4"/>
      <c r="B10" s="20" t="s">
        <v>107</v>
      </c>
      <c r="C10" s="21"/>
      <c r="D10" s="130" t="s">
        <v>7</v>
      </c>
      <c r="E10" s="130"/>
      <c r="F10" s="131" t="s">
        <v>114</v>
      </c>
      <c r="G10" s="131"/>
      <c r="H10" s="132" t="s">
        <v>8</v>
      </c>
      <c r="I10" s="133"/>
      <c r="J10" s="78"/>
      <c r="K10" s="122" t="s">
        <v>117</v>
      </c>
      <c r="L10" s="122"/>
      <c r="M10" s="122"/>
      <c r="N10" s="122"/>
      <c r="O10" s="122"/>
      <c r="P10" s="122"/>
      <c r="Q10" s="122"/>
      <c r="R10" s="122"/>
      <c r="S10" s="123"/>
      <c r="T10" s="124">
        <v>44957</v>
      </c>
      <c r="U10" s="125"/>
      <c r="V10" s="125"/>
      <c r="W10" s="126"/>
      <c r="X10" s="86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</row>
    <row r="11" spans="1:64" s="5" customFormat="1" ht="16.2" thickBot="1" x14ac:dyDescent="0.35">
      <c r="A11" s="4"/>
      <c r="B11" s="22"/>
      <c r="C11" s="13"/>
      <c r="D11" s="23"/>
      <c r="E11" s="23"/>
      <c r="F11" s="29"/>
      <c r="G11" s="29"/>
      <c r="H11" s="30"/>
      <c r="I11" s="30"/>
      <c r="J11" s="78"/>
      <c r="K11" s="4"/>
      <c r="L11" s="75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</row>
    <row r="12" spans="1:64" s="5" customFormat="1" ht="15" thickBot="1" x14ac:dyDescent="0.35">
      <c r="A12" s="4"/>
      <c r="B12" s="20" t="s">
        <v>108</v>
      </c>
      <c r="C12" s="21"/>
      <c r="D12" s="130" t="s">
        <v>111</v>
      </c>
      <c r="E12" s="130"/>
      <c r="F12" s="29"/>
      <c r="G12" s="84"/>
      <c r="H12" s="4"/>
      <c r="I12" s="31"/>
      <c r="J12" s="78"/>
      <c r="K12" s="96">
        <v>435</v>
      </c>
      <c r="L12" s="83">
        <v>1</v>
      </c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  <c r="AX12" s="76"/>
      <c r="AY12" s="76"/>
      <c r="AZ12" s="76"/>
      <c r="BA12" s="76"/>
      <c r="BB12" s="76"/>
      <c r="BC12" s="76"/>
      <c r="BD12" s="76"/>
      <c r="BE12" s="76"/>
      <c r="BF12" s="76"/>
      <c r="BG12" s="76"/>
      <c r="BH12" s="76"/>
      <c r="BI12" s="76"/>
      <c r="BJ12" s="76"/>
      <c r="BK12" s="77"/>
    </row>
    <row r="13" spans="1:64" s="5" customFormat="1" ht="16.5" customHeight="1" thickBot="1" x14ac:dyDescent="0.35">
      <c r="A13" s="4"/>
      <c r="B13" s="32"/>
      <c r="C13" s="33"/>
      <c r="D13" s="34"/>
      <c r="E13" s="98"/>
      <c r="F13" s="29"/>
      <c r="G13" s="4"/>
      <c r="H13" s="4"/>
      <c r="I13" s="4"/>
      <c r="J13" s="95"/>
      <c r="K13" s="144" t="s">
        <v>202</v>
      </c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6"/>
      <c r="AK13" s="144" t="s">
        <v>203</v>
      </c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45"/>
      <c r="AZ13" s="145"/>
      <c r="BA13" s="145"/>
      <c r="BB13" s="145"/>
      <c r="BC13" s="145"/>
      <c r="BD13" s="145"/>
      <c r="BE13" s="145"/>
      <c r="BF13" s="145"/>
      <c r="BG13" s="145"/>
      <c r="BH13" s="145"/>
      <c r="BI13" s="145"/>
      <c r="BJ13" s="145"/>
      <c r="BK13" s="146"/>
      <c r="BL13" s="101"/>
    </row>
    <row r="14" spans="1:64" s="5" customFormat="1" ht="14.25" customHeight="1" thickBot="1" x14ac:dyDescent="0.35">
      <c r="A14" s="35"/>
      <c r="B14" s="4"/>
      <c r="C14" s="13"/>
      <c r="D14" s="4"/>
      <c r="E14" s="4"/>
      <c r="F14" s="99"/>
      <c r="G14" s="4"/>
      <c r="H14" s="4"/>
      <c r="I14" s="4"/>
      <c r="J14" s="97"/>
      <c r="K14" s="141" t="str">
        <f>"W"&amp;_xlfn.ISOWEEKNUM(K17)&amp; " - "   &amp; TEXT(K17,"jj/mm/aaaa")</f>
        <v>W10 - 06/03/2023</v>
      </c>
      <c r="L14" s="142"/>
      <c r="M14" s="142"/>
      <c r="N14" s="142"/>
      <c r="O14" s="142"/>
      <c r="P14" s="142"/>
      <c r="Q14" s="143"/>
      <c r="R14" s="141" t="str">
        <f>"W"&amp;_xlfn.ISOWEEKNUM(R17)&amp; " - "   &amp; TEXT(R17,"jj/mm/aaaa")</f>
        <v>W11 - 13/03/2023</v>
      </c>
      <c r="S14" s="142"/>
      <c r="T14" s="142"/>
      <c r="U14" s="142"/>
      <c r="V14" s="142"/>
      <c r="W14" s="142"/>
      <c r="X14" s="143"/>
      <c r="Y14" s="141" t="str">
        <f>"W"&amp;_xlfn.ISOWEEKNUM(Y17)&amp; " - "   &amp; TEXT(Y17,"jj/mm/aaaa")</f>
        <v>W12 - 20/03/2023</v>
      </c>
      <c r="Z14" s="142"/>
      <c r="AA14" s="142"/>
      <c r="AB14" s="142"/>
      <c r="AC14" s="142"/>
      <c r="AD14" s="142"/>
      <c r="AE14" s="143"/>
      <c r="AF14" s="141" t="str">
        <f>"W"&amp;_xlfn.ISOWEEKNUM(AF17)&amp; " - "   &amp; TEXT(AF17,"jj/mm/aaaa")</f>
        <v>W13 - 27/03/2023</v>
      </c>
      <c r="AG14" s="142"/>
      <c r="AH14" s="142"/>
      <c r="AI14" s="142"/>
      <c r="AJ14" s="142"/>
      <c r="AK14" s="142"/>
      <c r="AL14" s="143"/>
      <c r="AM14" s="141" t="str">
        <f>"W"&amp;_xlfn.ISOWEEKNUM(AM17)&amp; " - "   &amp; TEXT(AM17,"jj/mm/aaaa")</f>
        <v>W14 - 03/04/2023</v>
      </c>
      <c r="AN14" s="142"/>
      <c r="AO14" s="142"/>
      <c r="AP14" s="142"/>
      <c r="AQ14" s="142"/>
      <c r="AR14" s="142"/>
      <c r="AS14" s="143"/>
      <c r="AT14" s="141" t="str">
        <f>"W"&amp;_xlfn.ISOWEEKNUM(AT17)&amp; " - "   &amp; TEXT(AT17,"jj/mm/aaaa")</f>
        <v>W15 - 10/04/2023</v>
      </c>
      <c r="AU14" s="142"/>
      <c r="AV14" s="142"/>
      <c r="AW14" s="142"/>
      <c r="AX14" s="142"/>
      <c r="AY14" s="142"/>
      <c r="AZ14" s="143"/>
      <c r="BA14" s="141" t="str">
        <f>"W"&amp;_xlfn.ISOWEEKNUM(BA17)&amp; " - "   &amp; TEXT(BA17,"jj/mm/aaaa")</f>
        <v>W16 - 17/04/2023</v>
      </c>
      <c r="BB14" s="142"/>
      <c r="BC14" s="142"/>
      <c r="BD14" s="142"/>
      <c r="BE14" s="142"/>
      <c r="BF14" s="142"/>
      <c r="BG14" s="143"/>
      <c r="BH14" s="141" t="str">
        <f>"W"&amp;_xlfn.ISOWEEKNUM(BH17)&amp; " - "   &amp; TEXT(BH17,"jj/mm/aaaa")</f>
        <v>W17 - 24/04/2023</v>
      </c>
      <c r="BI14" s="142"/>
      <c r="BJ14" s="142"/>
      <c r="BK14" s="143"/>
    </row>
    <row r="15" spans="1:64" s="5" customFormat="1" ht="15" thickBot="1" x14ac:dyDescent="0.35">
      <c r="A15" s="35"/>
      <c r="B15" s="119" t="s">
        <v>9</v>
      </c>
      <c r="C15" s="127" t="s">
        <v>118</v>
      </c>
      <c r="D15" s="127" t="s">
        <v>119</v>
      </c>
      <c r="E15" s="127" t="s">
        <v>120</v>
      </c>
      <c r="F15" s="127" t="s">
        <v>121</v>
      </c>
      <c r="G15" s="127" t="s">
        <v>201</v>
      </c>
      <c r="H15" s="127" t="s">
        <v>10</v>
      </c>
      <c r="I15" s="127" t="s">
        <v>122</v>
      </c>
      <c r="J15" s="102"/>
      <c r="K15" s="109">
        <f t="shared" ref="K15:AP15" si="0">DAY(K17)</f>
        <v>6</v>
      </c>
      <c r="L15" s="110">
        <f t="shared" si="0"/>
        <v>7</v>
      </c>
      <c r="M15" s="110">
        <f t="shared" si="0"/>
        <v>8</v>
      </c>
      <c r="N15" s="110">
        <f t="shared" si="0"/>
        <v>9</v>
      </c>
      <c r="O15" s="110">
        <f t="shared" si="0"/>
        <v>10</v>
      </c>
      <c r="P15" s="110">
        <f t="shared" si="0"/>
        <v>11</v>
      </c>
      <c r="Q15" s="111">
        <f t="shared" si="0"/>
        <v>12</v>
      </c>
      <c r="R15" s="109">
        <f t="shared" si="0"/>
        <v>13</v>
      </c>
      <c r="S15" s="110">
        <f t="shared" si="0"/>
        <v>14</v>
      </c>
      <c r="T15" s="110">
        <f t="shared" si="0"/>
        <v>15</v>
      </c>
      <c r="U15" s="110">
        <f t="shared" si="0"/>
        <v>16</v>
      </c>
      <c r="V15" s="110">
        <f t="shared" si="0"/>
        <v>17</v>
      </c>
      <c r="W15" s="110">
        <f t="shared" si="0"/>
        <v>18</v>
      </c>
      <c r="X15" s="111">
        <f t="shared" si="0"/>
        <v>19</v>
      </c>
      <c r="Y15" s="109">
        <f t="shared" si="0"/>
        <v>20</v>
      </c>
      <c r="Z15" s="110">
        <f t="shared" si="0"/>
        <v>21</v>
      </c>
      <c r="AA15" s="110">
        <f t="shared" si="0"/>
        <v>22</v>
      </c>
      <c r="AB15" s="110">
        <f t="shared" si="0"/>
        <v>23</v>
      </c>
      <c r="AC15" s="110">
        <f t="shared" si="0"/>
        <v>24</v>
      </c>
      <c r="AD15" s="110">
        <f t="shared" si="0"/>
        <v>25</v>
      </c>
      <c r="AE15" s="111">
        <f t="shared" si="0"/>
        <v>26</v>
      </c>
      <c r="AF15" s="109">
        <f t="shared" si="0"/>
        <v>27</v>
      </c>
      <c r="AG15" s="110">
        <f t="shared" si="0"/>
        <v>28</v>
      </c>
      <c r="AH15" s="110">
        <f t="shared" si="0"/>
        <v>29</v>
      </c>
      <c r="AI15" s="110">
        <f t="shared" si="0"/>
        <v>30</v>
      </c>
      <c r="AJ15" s="110">
        <f t="shared" si="0"/>
        <v>31</v>
      </c>
      <c r="AK15" s="110">
        <f t="shared" si="0"/>
        <v>1</v>
      </c>
      <c r="AL15" s="111">
        <f t="shared" si="0"/>
        <v>2</v>
      </c>
      <c r="AM15" s="109">
        <f t="shared" si="0"/>
        <v>3</v>
      </c>
      <c r="AN15" s="110">
        <f t="shared" si="0"/>
        <v>4</v>
      </c>
      <c r="AO15" s="110">
        <f t="shared" si="0"/>
        <v>5</v>
      </c>
      <c r="AP15" s="110">
        <f t="shared" si="0"/>
        <v>6</v>
      </c>
      <c r="AQ15" s="110">
        <f t="shared" ref="AQ15:BK15" si="1">DAY(AQ17)</f>
        <v>7</v>
      </c>
      <c r="AR15" s="110">
        <f t="shared" si="1"/>
        <v>8</v>
      </c>
      <c r="AS15" s="111">
        <f t="shared" si="1"/>
        <v>9</v>
      </c>
      <c r="AT15" s="109">
        <f t="shared" si="1"/>
        <v>10</v>
      </c>
      <c r="AU15" s="110">
        <f t="shared" si="1"/>
        <v>11</v>
      </c>
      <c r="AV15" s="110">
        <f t="shared" si="1"/>
        <v>12</v>
      </c>
      <c r="AW15" s="110">
        <f t="shared" si="1"/>
        <v>13</v>
      </c>
      <c r="AX15" s="110">
        <f t="shared" si="1"/>
        <v>14</v>
      </c>
      <c r="AY15" s="110">
        <f t="shared" si="1"/>
        <v>15</v>
      </c>
      <c r="AZ15" s="111">
        <f t="shared" si="1"/>
        <v>16</v>
      </c>
      <c r="BA15" s="109">
        <f t="shared" si="1"/>
        <v>17</v>
      </c>
      <c r="BB15" s="110">
        <f t="shared" si="1"/>
        <v>18</v>
      </c>
      <c r="BC15" s="110">
        <f t="shared" si="1"/>
        <v>19</v>
      </c>
      <c r="BD15" s="110">
        <f t="shared" si="1"/>
        <v>20</v>
      </c>
      <c r="BE15" s="110">
        <f t="shared" si="1"/>
        <v>21</v>
      </c>
      <c r="BF15" s="110">
        <f t="shared" si="1"/>
        <v>22</v>
      </c>
      <c r="BG15" s="111">
        <f t="shared" si="1"/>
        <v>23</v>
      </c>
      <c r="BH15" s="109">
        <f t="shared" si="1"/>
        <v>24</v>
      </c>
      <c r="BI15" s="110">
        <f t="shared" si="1"/>
        <v>25</v>
      </c>
      <c r="BJ15" s="110">
        <f t="shared" si="1"/>
        <v>26</v>
      </c>
      <c r="BK15" s="111">
        <f t="shared" si="1"/>
        <v>27</v>
      </c>
    </row>
    <row r="16" spans="1:64" s="5" customFormat="1" ht="19.5" customHeight="1" thickBot="1" x14ac:dyDescent="0.35">
      <c r="A16" s="35"/>
      <c r="B16" s="120"/>
      <c r="C16" s="128"/>
      <c r="D16" s="128"/>
      <c r="E16" s="128"/>
      <c r="F16" s="128"/>
      <c r="G16" s="128"/>
      <c r="H16" s="128"/>
      <c r="I16" s="128"/>
      <c r="J16" s="100"/>
      <c r="K16" s="112" t="str">
        <f t="shared" ref="K16:AP16" si="2">CHOOSE(WEEKDAY(K17,1),"Su","Mo","Tu","We","Th","Fr","Sa")</f>
        <v>Mo</v>
      </c>
      <c r="L16" s="113" t="str">
        <f t="shared" si="2"/>
        <v>Tu</v>
      </c>
      <c r="M16" s="113" t="str">
        <f t="shared" si="2"/>
        <v>We</v>
      </c>
      <c r="N16" s="113" t="str">
        <f t="shared" si="2"/>
        <v>Th</v>
      </c>
      <c r="O16" s="113" t="str">
        <f t="shared" si="2"/>
        <v>Fr</v>
      </c>
      <c r="P16" s="113" t="str">
        <f t="shared" si="2"/>
        <v>Sa</v>
      </c>
      <c r="Q16" s="114" t="str">
        <f t="shared" si="2"/>
        <v>Su</v>
      </c>
      <c r="R16" s="112" t="str">
        <f t="shared" si="2"/>
        <v>Mo</v>
      </c>
      <c r="S16" s="113" t="str">
        <f t="shared" si="2"/>
        <v>Tu</v>
      </c>
      <c r="T16" s="113" t="str">
        <f t="shared" si="2"/>
        <v>We</v>
      </c>
      <c r="U16" s="113" t="str">
        <f t="shared" si="2"/>
        <v>Th</v>
      </c>
      <c r="V16" s="113" t="str">
        <f t="shared" si="2"/>
        <v>Fr</v>
      </c>
      <c r="W16" s="113" t="str">
        <f t="shared" si="2"/>
        <v>Sa</v>
      </c>
      <c r="X16" s="114" t="str">
        <f t="shared" si="2"/>
        <v>Su</v>
      </c>
      <c r="Y16" s="112" t="str">
        <f t="shared" si="2"/>
        <v>Mo</v>
      </c>
      <c r="Z16" s="113" t="str">
        <f t="shared" si="2"/>
        <v>Tu</v>
      </c>
      <c r="AA16" s="113" t="str">
        <f t="shared" si="2"/>
        <v>We</v>
      </c>
      <c r="AB16" s="113" t="str">
        <f t="shared" si="2"/>
        <v>Th</v>
      </c>
      <c r="AC16" s="113" t="str">
        <f t="shared" si="2"/>
        <v>Fr</v>
      </c>
      <c r="AD16" s="113" t="str">
        <f t="shared" si="2"/>
        <v>Sa</v>
      </c>
      <c r="AE16" s="114" t="str">
        <f t="shared" si="2"/>
        <v>Su</v>
      </c>
      <c r="AF16" s="112" t="str">
        <f t="shared" si="2"/>
        <v>Mo</v>
      </c>
      <c r="AG16" s="113" t="str">
        <f t="shared" si="2"/>
        <v>Tu</v>
      </c>
      <c r="AH16" s="113" t="str">
        <f t="shared" si="2"/>
        <v>We</v>
      </c>
      <c r="AI16" s="113" t="str">
        <f t="shared" si="2"/>
        <v>Th</v>
      </c>
      <c r="AJ16" s="113" t="str">
        <f t="shared" si="2"/>
        <v>Fr</v>
      </c>
      <c r="AK16" s="113" t="str">
        <f t="shared" si="2"/>
        <v>Sa</v>
      </c>
      <c r="AL16" s="114" t="str">
        <f t="shared" si="2"/>
        <v>Su</v>
      </c>
      <c r="AM16" s="112" t="str">
        <f t="shared" si="2"/>
        <v>Mo</v>
      </c>
      <c r="AN16" s="113" t="str">
        <f t="shared" si="2"/>
        <v>Tu</v>
      </c>
      <c r="AO16" s="113" t="str">
        <f t="shared" si="2"/>
        <v>We</v>
      </c>
      <c r="AP16" s="113" t="str">
        <f t="shared" si="2"/>
        <v>Th</v>
      </c>
      <c r="AQ16" s="113" t="str">
        <f t="shared" ref="AQ16:BK16" si="3">CHOOSE(WEEKDAY(AQ17,1),"Su","Mo","Tu","We","Th","Fr","Sa")</f>
        <v>Fr</v>
      </c>
      <c r="AR16" s="113" t="str">
        <f t="shared" si="3"/>
        <v>Sa</v>
      </c>
      <c r="AS16" s="114" t="str">
        <f t="shared" si="3"/>
        <v>Su</v>
      </c>
      <c r="AT16" s="112" t="str">
        <f t="shared" si="3"/>
        <v>Mo</v>
      </c>
      <c r="AU16" s="113" t="str">
        <f t="shared" si="3"/>
        <v>Tu</v>
      </c>
      <c r="AV16" s="113" t="str">
        <f t="shared" si="3"/>
        <v>We</v>
      </c>
      <c r="AW16" s="113" t="str">
        <f t="shared" si="3"/>
        <v>Th</v>
      </c>
      <c r="AX16" s="113" t="str">
        <f t="shared" si="3"/>
        <v>Fr</v>
      </c>
      <c r="AY16" s="113" t="str">
        <f t="shared" si="3"/>
        <v>Sa</v>
      </c>
      <c r="AZ16" s="114" t="str">
        <f t="shared" si="3"/>
        <v>Su</v>
      </c>
      <c r="BA16" s="112" t="str">
        <f t="shared" si="3"/>
        <v>Mo</v>
      </c>
      <c r="BB16" s="113" t="str">
        <f t="shared" si="3"/>
        <v>Tu</v>
      </c>
      <c r="BC16" s="113" t="str">
        <f t="shared" si="3"/>
        <v>We</v>
      </c>
      <c r="BD16" s="113" t="str">
        <f t="shared" si="3"/>
        <v>Th</v>
      </c>
      <c r="BE16" s="113" t="str">
        <f t="shared" si="3"/>
        <v>Fr</v>
      </c>
      <c r="BF16" s="113" t="str">
        <f t="shared" si="3"/>
        <v>Sa</v>
      </c>
      <c r="BG16" s="114" t="str">
        <f t="shared" si="3"/>
        <v>Su</v>
      </c>
      <c r="BH16" s="112" t="str">
        <f t="shared" si="3"/>
        <v>Mo</v>
      </c>
      <c r="BI16" s="113" t="str">
        <f t="shared" si="3"/>
        <v>Tu</v>
      </c>
      <c r="BJ16" s="113" t="str">
        <f t="shared" si="3"/>
        <v>We</v>
      </c>
      <c r="BK16" s="114" t="str">
        <f t="shared" si="3"/>
        <v>Th</v>
      </c>
    </row>
    <row r="17" spans="1:63" s="5" customFormat="1" hidden="1" x14ac:dyDescent="0.3">
      <c r="A17" s="35"/>
      <c r="B17" s="4"/>
      <c r="C17" s="4"/>
      <c r="D17" s="4"/>
      <c r="E17" s="4"/>
      <c r="F17" s="4"/>
      <c r="G17" s="4"/>
      <c r="H17" s="4"/>
      <c r="I17" s="4"/>
      <c r="J17" s="78"/>
      <c r="K17" s="89">
        <f>DATE(YEAR($T$6)-IF(AND(_xlfn.ISOWEEKNUM($T$6)&gt;=52,MONTH($T$6)=1),1,0),1,-2)-WEEKDAY(DATE(YEAR($T$6)-IF(AND(_xlfn.ISOWEEKNUM($T$6)&gt;=52,MONTH($T$6)=1),1,0),1,3),2 )+_xlfn.ISOWEEKNUM($T$6)*7+$K$12+COLUMN()-6-IF(AND(_xlfn.ISOWEEKNUM($T$6)&gt;=52,MONTH($T$6)=1),0,7)</f>
        <v>44991</v>
      </c>
      <c r="L17" s="90">
        <f t="shared" ref="L17:AQ17" si="4">K17+1</f>
        <v>44992</v>
      </c>
      <c r="M17" s="90">
        <f t="shared" si="4"/>
        <v>44993</v>
      </c>
      <c r="N17" s="90">
        <f t="shared" si="4"/>
        <v>44994</v>
      </c>
      <c r="O17" s="90">
        <f t="shared" si="4"/>
        <v>44995</v>
      </c>
      <c r="P17" s="90">
        <f t="shared" si="4"/>
        <v>44996</v>
      </c>
      <c r="Q17" s="90">
        <f t="shared" si="4"/>
        <v>44997</v>
      </c>
      <c r="R17" s="90">
        <f t="shared" si="4"/>
        <v>44998</v>
      </c>
      <c r="S17" s="90">
        <f t="shared" si="4"/>
        <v>44999</v>
      </c>
      <c r="T17" s="90">
        <f t="shared" si="4"/>
        <v>45000</v>
      </c>
      <c r="U17" s="90">
        <f t="shared" si="4"/>
        <v>45001</v>
      </c>
      <c r="V17" s="90">
        <f t="shared" si="4"/>
        <v>45002</v>
      </c>
      <c r="W17" s="90">
        <f t="shared" si="4"/>
        <v>45003</v>
      </c>
      <c r="X17" s="90">
        <f t="shared" si="4"/>
        <v>45004</v>
      </c>
      <c r="Y17" s="90">
        <f t="shared" si="4"/>
        <v>45005</v>
      </c>
      <c r="Z17" s="90">
        <f t="shared" si="4"/>
        <v>45006</v>
      </c>
      <c r="AA17" s="90">
        <f t="shared" si="4"/>
        <v>45007</v>
      </c>
      <c r="AB17" s="90">
        <f t="shared" si="4"/>
        <v>45008</v>
      </c>
      <c r="AC17" s="90">
        <f t="shared" si="4"/>
        <v>45009</v>
      </c>
      <c r="AD17" s="90">
        <f t="shared" si="4"/>
        <v>45010</v>
      </c>
      <c r="AE17" s="90">
        <f t="shared" si="4"/>
        <v>45011</v>
      </c>
      <c r="AF17" s="90">
        <f t="shared" si="4"/>
        <v>45012</v>
      </c>
      <c r="AG17" s="90">
        <f t="shared" si="4"/>
        <v>45013</v>
      </c>
      <c r="AH17" s="90">
        <f t="shared" si="4"/>
        <v>45014</v>
      </c>
      <c r="AI17" s="90">
        <f t="shared" si="4"/>
        <v>45015</v>
      </c>
      <c r="AJ17" s="90">
        <f t="shared" si="4"/>
        <v>45016</v>
      </c>
      <c r="AK17" s="90">
        <f t="shared" si="4"/>
        <v>45017</v>
      </c>
      <c r="AL17" s="90">
        <f t="shared" si="4"/>
        <v>45018</v>
      </c>
      <c r="AM17" s="90">
        <f t="shared" si="4"/>
        <v>45019</v>
      </c>
      <c r="AN17" s="90">
        <f t="shared" si="4"/>
        <v>45020</v>
      </c>
      <c r="AO17" s="90">
        <f t="shared" si="4"/>
        <v>45021</v>
      </c>
      <c r="AP17" s="90">
        <f t="shared" si="4"/>
        <v>45022</v>
      </c>
      <c r="AQ17" s="90">
        <f t="shared" si="4"/>
        <v>45023</v>
      </c>
      <c r="AR17" s="90">
        <f t="shared" ref="AR17:BK17" si="5">AQ17+1</f>
        <v>45024</v>
      </c>
      <c r="AS17" s="90">
        <f t="shared" si="5"/>
        <v>45025</v>
      </c>
      <c r="AT17" s="90">
        <f t="shared" si="5"/>
        <v>45026</v>
      </c>
      <c r="AU17" s="90">
        <f t="shared" si="5"/>
        <v>45027</v>
      </c>
      <c r="AV17" s="90">
        <f t="shared" si="5"/>
        <v>45028</v>
      </c>
      <c r="AW17" s="90">
        <f t="shared" si="5"/>
        <v>45029</v>
      </c>
      <c r="AX17" s="90">
        <f t="shared" si="5"/>
        <v>45030</v>
      </c>
      <c r="AY17" s="90">
        <f t="shared" si="5"/>
        <v>45031</v>
      </c>
      <c r="AZ17" s="90">
        <f t="shared" si="5"/>
        <v>45032</v>
      </c>
      <c r="BA17" s="90">
        <f t="shared" si="5"/>
        <v>45033</v>
      </c>
      <c r="BB17" s="90">
        <f t="shared" si="5"/>
        <v>45034</v>
      </c>
      <c r="BC17" s="90">
        <f t="shared" si="5"/>
        <v>45035</v>
      </c>
      <c r="BD17" s="90">
        <f t="shared" si="5"/>
        <v>45036</v>
      </c>
      <c r="BE17" s="90">
        <f t="shared" si="5"/>
        <v>45037</v>
      </c>
      <c r="BF17" s="90">
        <f t="shared" si="5"/>
        <v>45038</v>
      </c>
      <c r="BG17" s="90">
        <f t="shared" si="5"/>
        <v>45039</v>
      </c>
      <c r="BH17" s="90">
        <f t="shared" si="5"/>
        <v>45040</v>
      </c>
      <c r="BI17" s="90">
        <f t="shared" si="5"/>
        <v>45041</v>
      </c>
      <c r="BJ17" s="90">
        <f t="shared" si="5"/>
        <v>45042</v>
      </c>
      <c r="BK17" s="91">
        <f t="shared" si="5"/>
        <v>45043</v>
      </c>
    </row>
    <row r="18" spans="1:63" s="5" customFormat="1" ht="15" thickBot="1" x14ac:dyDescent="0.35">
      <c r="A18" s="35"/>
      <c r="B18" s="36" t="s">
        <v>117</v>
      </c>
      <c r="C18" s="37"/>
      <c r="D18" s="37"/>
      <c r="E18" s="37"/>
      <c r="F18" s="105">
        <f>MIN(F19:F59)</f>
        <v>44649</v>
      </c>
      <c r="G18" s="37">
        <f>H18-F18</f>
        <v>504</v>
      </c>
      <c r="H18" s="105">
        <f>MAX(H19:H59)</f>
        <v>45153</v>
      </c>
      <c r="I18" s="38">
        <f>AVERAGE(I19,I25,I31,I38,I54)</f>
        <v>0.14119999999999999</v>
      </c>
      <c r="J18" s="78"/>
      <c r="K18" s="92">
        <f t="shared" ref="K18:AP18" si="6">K17</f>
        <v>44991</v>
      </c>
      <c r="L18" s="93">
        <f t="shared" si="6"/>
        <v>44992</v>
      </c>
      <c r="M18" s="93">
        <f t="shared" si="6"/>
        <v>44993</v>
      </c>
      <c r="N18" s="93">
        <f t="shared" si="6"/>
        <v>44994</v>
      </c>
      <c r="O18" s="93">
        <f t="shared" si="6"/>
        <v>44995</v>
      </c>
      <c r="P18" s="93">
        <f t="shared" si="6"/>
        <v>44996</v>
      </c>
      <c r="Q18" s="93">
        <f t="shared" si="6"/>
        <v>44997</v>
      </c>
      <c r="R18" s="93">
        <f t="shared" si="6"/>
        <v>44998</v>
      </c>
      <c r="S18" s="93">
        <f t="shared" si="6"/>
        <v>44999</v>
      </c>
      <c r="T18" s="93">
        <f t="shared" si="6"/>
        <v>45000</v>
      </c>
      <c r="U18" s="93">
        <f t="shared" si="6"/>
        <v>45001</v>
      </c>
      <c r="V18" s="93">
        <f t="shared" si="6"/>
        <v>45002</v>
      </c>
      <c r="W18" s="93">
        <f t="shared" si="6"/>
        <v>45003</v>
      </c>
      <c r="X18" s="93">
        <f t="shared" si="6"/>
        <v>45004</v>
      </c>
      <c r="Y18" s="93">
        <f t="shared" si="6"/>
        <v>45005</v>
      </c>
      <c r="Z18" s="93">
        <f t="shared" si="6"/>
        <v>45006</v>
      </c>
      <c r="AA18" s="93">
        <f t="shared" si="6"/>
        <v>45007</v>
      </c>
      <c r="AB18" s="93">
        <f t="shared" si="6"/>
        <v>45008</v>
      </c>
      <c r="AC18" s="93">
        <f t="shared" si="6"/>
        <v>45009</v>
      </c>
      <c r="AD18" s="93">
        <f t="shared" si="6"/>
        <v>45010</v>
      </c>
      <c r="AE18" s="93">
        <f t="shared" si="6"/>
        <v>45011</v>
      </c>
      <c r="AF18" s="93">
        <f t="shared" si="6"/>
        <v>45012</v>
      </c>
      <c r="AG18" s="93">
        <f t="shared" si="6"/>
        <v>45013</v>
      </c>
      <c r="AH18" s="93">
        <f t="shared" si="6"/>
        <v>45014</v>
      </c>
      <c r="AI18" s="93">
        <f t="shared" si="6"/>
        <v>45015</v>
      </c>
      <c r="AJ18" s="93">
        <f t="shared" si="6"/>
        <v>45016</v>
      </c>
      <c r="AK18" s="93">
        <f t="shared" si="6"/>
        <v>45017</v>
      </c>
      <c r="AL18" s="93">
        <f t="shared" si="6"/>
        <v>45018</v>
      </c>
      <c r="AM18" s="93">
        <f t="shared" si="6"/>
        <v>45019</v>
      </c>
      <c r="AN18" s="93">
        <f t="shared" si="6"/>
        <v>45020</v>
      </c>
      <c r="AO18" s="93">
        <f t="shared" si="6"/>
        <v>45021</v>
      </c>
      <c r="AP18" s="93">
        <f t="shared" si="6"/>
        <v>45022</v>
      </c>
      <c r="AQ18" s="93">
        <f t="shared" ref="AQ18:BK18" si="7">AQ17</f>
        <v>45023</v>
      </c>
      <c r="AR18" s="93">
        <f t="shared" si="7"/>
        <v>45024</v>
      </c>
      <c r="AS18" s="93">
        <f t="shared" si="7"/>
        <v>45025</v>
      </c>
      <c r="AT18" s="93">
        <f t="shared" si="7"/>
        <v>45026</v>
      </c>
      <c r="AU18" s="93">
        <f t="shared" si="7"/>
        <v>45027</v>
      </c>
      <c r="AV18" s="93">
        <f t="shared" si="7"/>
        <v>45028</v>
      </c>
      <c r="AW18" s="93">
        <f t="shared" si="7"/>
        <v>45029</v>
      </c>
      <c r="AX18" s="93">
        <f t="shared" si="7"/>
        <v>45030</v>
      </c>
      <c r="AY18" s="93">
        <f t="shared" si="7"/>
        <v>45031</v>
      </c>
      <c r="AZ18" s="93">
        <f t="shared" si="7"/>
        <v>45032</v>
      </c>
      <c r="BA18" s="93">
        <f t="shared" si="7"/>
        <v>45033</v>
      </c>
      <c r="BB18" s="93">
        <f t="shared" si="7"/>
        <v>45034</v>
      </c>
      <c r="BC18" s="93">
        <f t="shared" si="7"/>
        <v>45035</v>
      </c>
      <c r="BD18" s="93">
        <f t="shared" si="7"/>
        <v>45036</v>
      </c>
      <c r="BE18" s="93">
        <f t="shared" si="7"/>
        <v>45037</v>
      </c>
      <c r="BF18" s="93">
        <f t="shared" si="7"/>
        <v>45038</v>
      </c>
      <c r="BG18" s="93">
        <f t="shared" si="7"/>
        <v>45039</v>
      </c>
      <c r="BH18" s="93">
        <f t="shared" si="7"/>
        <v>45040</v>
      </c>
      <c r="BI18" s="93">
        <f t="shared" si="7"/>
        <v>45041</v>
      </c>
      <c r="BJ18" s="93">
        <f t="shared" si="7"/>
        <v>45042</v>
      </c>
      <c r="BK18" s="94">
        <f t="shared" si="7"/>
        <v>45043</v>
      </c>
    </row>
    <row r="19" spans="1:63" s="87" customFormat="1" ht="15.6" x14ac:dyDescent="0.3">
      <c r="A19" s="39"/>
      <c r="B19" s="40">
        <v>1</v>
      </c>
      <c r="C19" s="41" t="s">
        <v>123</v>
      </c>
      <c r="D19" s="42"/>
      <c r="E19" s="43"/>
      <c r="F19" s="106">
        <f>MIN(F20:F24)</f>
        <v>44649</v>
      </c>
      <c r="G19" s="44">
        <f>H19-F19</f>
        <v>24</v>
      </c>
      <c r="H19" s="106">
        <f>MAX(H20:H24)</f>
        <v>44673</v>
      </c>
      <c r="I19" s="45">
        <f>AVERAGE(I20:I24)</f>
        <v>0.626</v>
      </c>
      <c r="J19" s="78"/>
      <c r="K19" s="4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9"/>
    </row>
    <row r="20" spans="1:63" s="5" customFormat="1" ht="15.6" x14ac:dyDescent="0.3">
      <c r="A20" s="50"/>
      <c r="B20" s="51" t="s">
        <v>0</v>
      </c>
      <c r="C20" s="52" t="s">
        <v>124</v>
      </c>
      <c r="D20" s="53"/>
      <c r="E20" s="73" t="s">
        <v>52</v>
      </c>
      <c r="F20" s="107">
        <v>44649</v>
      </c>
      <c r="G20" s="54">
        <v>1</v>
      </c>
      <c r="H20" s="107">
        <f t="shared" ref="H20:H21" si="8">IF(F20="","",WORKDAY(IF(WEEKDAY(F20,1)=7,F20+2,IF(WEEKDAY(F20,1)=1,F20+1,F20)),G20-1,))</f>
        <v>44649</v>
      </c>
      <c r="I20" s="55">
        <v>0.33</v>
      </c>
      <c r="J20" s="78"/>
      <c r="K20" s="56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58"/>
    </row>
    <row r="21" spans="1:63" ht="15.6" x14ac:dyDescent="0.3">
      <c r="B21" s="51" t="s">
        <v>12</v>
      </c>
      <c r="C21" s="52" t="s">
        <v>125</v>
      </c>
      <c r="D21" s="53" t="s">
        <v>0</v>
      </c>
      <c r="E21" s="73" t="s">
        <v>104</v>
      </c>
      <c r="F21" s="107">
        <v>44656</v>
      </c>
      <c r="G21" s="54">
        <v>1</v>
      </c>
      <c r="H21" s="107">
        <f t="shared" si="8"/>
        <v>44656</v>
      </c>
      <c r="I21" s="55">
        <v>1</v>
      </c>
      <c r="K21" s="56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58"/>
    </row>
    <row r="22" spans="1:63" ht="15.6" x14ac:dyDescent="0.3">
      <c r="B22" s="51" t="s">
        <v>13</v>
      </c>
      <c r="C22" s="52" t="s">
        <v>126</v>
      </c>
      <c r="D22" s="53" t="s">
        <v>0</v>
      </c>
      <c r="E22" s="73" t="s">
        <v>52</v>
      </c>
      <c r="F22" s="107">
        <v>44663</v>
      </c>
      <c r="G22" s="54">
        <v>5</v>
      </c>
      <c r="H22" s="107">
        <f>IF(F22="","",WORKDAY(IF(WEEKDAY(F22,1)=7,F22+2,IF(WEEKDAY(F22,1)=1,F22+1,F22)),G22-1,))</f>
        <v>44669</v>
      </c>
      <c r="I22" s="55">
        <v>1</v>
      </c>
      <c r="K22" s="56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58"/>
    </row>
    <row r="23" spans="1:63" ht="15.6" x14ac:dyDescent="0.3">
      <c r="B23" s="51" t="s">
        <v>15</v>
      </c>
      <c r="C23" s="52" t="s">
        <v>127</v>
      </c>
      <c r="D23" s="53" t="s">
        <v>0</v>
      </c>
      <c r="E23" s="73" t="s">
        <v>64</v>
      </c>
      <c r="F23" s="107">
        <v>44663</v>
      </c>
      <c r="G23" s="54">
        <v>9</v>
      </c>
      <c r="H23" s="107">
        <f t="shared" ref="H23:H24" si="9">IF(F23="","",WORKDAY(IF(WEEKDAY(F23,1)=7,F23+2,IF(WEEKDAY(F23,1)=1,F23+1,F23)),G23-1,))</f>
        <v>44673</v>
      </c>
      <c r="I23" s="55">
        <v>0.8</v>
      </c>
      <c r="K23" s="56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58"/>
    </row>
    <row r="24" spans="1:63" ht="15.6" x14ac:dyDescent="0.3">
      <c r="B24" s="51" t="s">
        <v>17</v>
      </c>
      <c r="C24" s="52" t="s">
        <v>128</v>
      </c>
      <c r="D24" s="53" t="s">
        <v>0</v>
      </c>
      <c r="E24" s="73" t="s">
        <v>16</v>
      </c>
      <c r="F24" s="107">
        <v>44663</v>
      </c>
      <c r="G24" s="54">
        <v>1</v>
      </c>
      <c r="H24" s="107">
        <f t="shared" si="9"/>
        <v>44663</v>
      </c>
      <c r="I24" s="55">
        <v>0</v>
      </c>
      <c r="K24" s="56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58"/>
    </row>
    <row r="25" spans="1:63" ht="15.6" x14ac:dyDescent="0.3">
      <c r="B25" s="40">
        <v>2</v>
      </c>
      <c r="C25" s="41" t="s">
        <v>129</v>
      </c>
      <c r="D25" s="42"/>
      <c r="E25" s="43"/>
      <c r="F25" s="106">
        <f>MIN(F26:F30)</f>
        <v>44673</v>
      </c>
      <c r="G25" s="60">
        <f>H25-F25</f>
        <v>115</v>
      </c>
      <c r="H25" s="106">
        <f>MAX(H26:H30)</f>
        <v>44788</v>
      </c>
      <c r="I25" s="45">
        <f>AVERAGE(I26:I30)</f>
        <v>7.9999999999999988E-2</v>
      </c>
      <c r="K25" s="56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58"/>
    </row>
    <row r="26" spans="1:63" ht="15.6" x14ac:dyDescent="0.3">
      <c r="A26" s="59"/>
      <c r="B26" s="51" t="s">
        <v>1</v>
      </c>
      <c r="C26" s="52" t="s">
        <v>130</v>
      </c>
      <c r="D26" s="53">
        <v>1</v>
      </c>
      <c r="E26" s="73" t="s">
        <v>78</v>
      </c>
      <c r="F26" s="107">
        <v>44673</v>
      </c>
      <c r="G26" s="54">
        <v>20</v>
      </c>
      <c r="H26" s="107">
        <f>IF(F26="","",WORKDAY(IF(WEEKDAY(F26,1)=7,F26+2,IF(WEEKDAY(F26,1)=1,F26+1,F26)),G26-1,))</f>
        <v>44700</v>
      </c>
      <c r="I26" s="55">
        <v>0.1</v>
      </c>
      <c r="K26" s="56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58"/>
    </row>
    <row r="27" spans="1:63" ht="15.6" x14ac:dyDescent="0.3">
      <c r="B27" s="51" t="s">
        <v>19</v>
      </c>
      <c r="C27" s="52" t="s">
        <v>131</v>
      </c>
      <c r="D27" s="53" t="s">
        <v>1</v>
      </c>
      <c r="E27" s="73" t="s">
        <v>67</v>
      </c>
      <c r="F27" s="107">
        <v>44700</v>
      </c>
      <c r="G27" s="54">
        <v>22</v>
      </c>
      <c r="H27" s="107">
        <f t="shared" ref="H27:H30" si="10">IF(F27="","",WORKDAY(IF(WEEKDAY(F27,1)=7,F27+2,IF(WEEKDAY(F27,1)=1,F27+1,F27)),G27-1,))</f>
        <v>44729</v>
      </c>
      <c r="I27" s="55">
        <v>0.1</v>
      </c>
      <c r="K27" s="56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58"/>
    </row>
    <row r="28" spans="1:63" ht="15.6" x14ac:dyDescent="0.3">
      <c r="B28" s="51" t="s">
        <v>20</v>
      </c>
      <c r="C28" s="52" t="s">
        <v>129</v>
      </c>
      <c r="D28" s="53" t="s">
        <v>1</v>
      </c>
      <c r="E28" s="73" t="s">
        <v>16</v>
      </c>
      <c r="F28" s="107">
        <v>44700</v>
      </c>
      <c r="G28" s="54">
        <v>22</v>
      </c>
      <c r="H28" s="107">
        <f t="shared" si="10"/>
        <v>44729</v>
      </c>
      <c r="I28" s="55">
        <v>0.15</v>
      </c>
      <c r="K28" s="56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58"/>
    </row>
    <row r="29" spans="1:63" ht="15.6" x14ac:dyDescent="0.3">
      <c r="B29" s="51" t="s">
        <v>21</v>
      </c>
      <c r="C29" s="52" t="s">
        <v>132</v>
      </c>
      <c r="D29" s="53" t="s">
        <v>1</v>
      </c>
      <c r="E29" s="73" t="s">
        <v>78</v>
      </c>
      <c r="F29" s="107">
        <v>44700</v>
      </c>
      <c r="G29" s="54">
        <v>22</v>
      </c>
      <c r="H29" s="107">
        <f t="shared" si="10"/>
        <v>44729</v>
      </c>
      <c r="I29" s="55">
        <v>0.05</v>
      </c>
      <c r="K29" s="56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58"/>
    </row>
    <row r="30" spans="1:63" ht="28.8" x14ac:dyDescent="0.3">
      <c r="B30" s="51" t="s">
        <v>22</v>
      </c>
      <c r="C30" s="52" t="s">
        <v>133</v>
      </c>
      <c r="D30" s="53" t="s">
        <v>47</v>
      </c>
      <c r="E30" s="73" t="s">
        <v>99</v>
      </c>
      <c r="F30" s="107">
        <v>44786</v>
      </c>
      <c r="G30" s="54">
        <v>1</v>
      </c>
      <c r="H30" s="107">
        <f t="shared" si="10"/>
        <v>44788</v>
      </c>
      <c r="I30" s="55">
        <v>0</v>
      </c>
      <c r="K30" s="56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58"/>
    </row>
    <row r="31" spans="1:63" ht="15.6" x14ac:dyDescent="0.3">
      <c r="A31" s="59"/>
      <c r="B31" s="40">
        <v>3</v>
      </c>
      <c r="C31" s="41" t="s">
        <v>134</v>
      </c>
      <c r="D31" s="42"/>
      <c r="E31" s="43"/>
      <c r="F31" s="106">
        <f>MIN(F32:F37)</f>
        <v>44786</v>
      </c>
      <c r="G31" s="44">
        <f>H31-F31</f>
        <v>117</v>
      </c>
      <c r="H31" s="106">
        <f>MAX(H32:H37)</f>
        <v>44903</v>
      </c>
      <c r="I31" s="45">
        <f>SUMIF(B32:B59,B31&amp;"*",I32:I60)/(COUNTIF(B31:B59,B31&amp;".*"))</f>
        <v>0</v>
      </c>
      <c r="K31" s="56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58"/>
    </row>
    <row r="32" spans="1:63" ht="15.6" x14ac:dyDescent="0.3">
      <c r="B32" s="51" t="s">
        <v>2</v>
      </c>
      <c r="C32" s="52" t="s">
        <v>135</v>
      </c>
      <c r="D32" s="53">
        <v>2</v>
      </c>
      <c r="E32" s="73" t="s">
        <v>99</v>
      </c>
      <c r="F32" s="107">
        <v>44786</v>
      </c>
      <c r="G32" s="54">
        <v>65</v>
      </c>
      <c r="H32" s="107">
        <f>IF(F32="","",WORKDAY(IF(WEEKDAY(F32,1)=7,F32+2,IF(WEEKDAY(F32,1)=1,F32+1,F32)),G32-1,))</f>
        <v>44876</v>
      </c>
      <c r="I32" s="55">
        <v>0</v>
      </c>
      <c r="K32" s="56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58"/>
    </row>
    <row r="33" spans="1:63" ht="15.6" x14ac:dyDescent="0.3">
      <c r="B33" s="51" t="s">
        <v>23</v>
      </c>
      <c r="C33" s="52" t="s">
        <v>136</v>
      </c>
      <c r="D33" s="53">
        <v>2</v>
      </c>
      <c r="E33" s="73" t="s">
        <v>104</v>
      </c>
      <c r="F33" s="107">
        <v>44786</v>
      </c>
      <c r="G33" s="54">
        <v>65</v>
      </c>
      <c r="H33" s="107">
        <f t="shared" ref="H33:H37" si="11">IF(F33="","",WORKDAY(IF(WEEKDAY(F33,1)=7,F33+2,IF(WEEKDAY(F33,1)=1,F33+1,F33)),G33-1,))</f>
        <v>44876</v>
      </c>
      <c r="I33" s="55">
        <v>0</v>
      </c>
      <c r="K33" s="56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58"/>
    </row>
    <row r="34" spans="1:63" ht="15.6" x14ac:dyDescent="0.3">
      <c r="B34" s="51" t="s">
        <v>24</v>
      </c>
      <c r="C34" s="52" t="s">
        <v>137</v>
      </c>
      <c r="D34" s="53">
        <v>2</v>
      </c>
      <c r="E34" s="73" t="s">
        <v>91</v>
      </c>
      <c r="F34" s="107">
        <v>44786</v>
      </c>
      <c r="G34" s="54">
        <v>65</v>
      </c>
      <c r="H34" s="107">
        <f t="shared" si="11"/>
        <v>44876</v>
      </c>
      <c r="I34" s="55">
        <v>0</v>
      </c>
      <c r="K34" s="56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58"/>
    </row>
    <row r="35" spans="1:63" ht="15.6" x14ac:dyDescent="0.3">
      <c r="B35" s="51" t="s">
        <v>25</v>
      </c>
      <c r="C35" s="52" t="s">
        <v>138</v>
      </c>
      <c r="D35" s="53" t="s">
        <v>48</v>
      </c>
      <c r="E35" s="73" t="s">
        <v>96</v>
      </c>
      <c r="F35" s="107">
        <v>44876</v>
      </c>
      <c r="G35" s="54">
        <v>20</v>
      </c>
      <c r="H35" s="107">
        <f t="shared" si="11"/>
        <v>44903</v>
      </c>
      <c r="I35" s="55">
        <v>0</v>
      </c>
      <c r="K35" s="56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58"/>
    </row>
    <row r="36" spans="1:63" ht="15.6" x14ac:dyDescent="0.3">
      <c r="B36" s="51" t="s">
        <v>26</v>
      </c>
      <c r="C36" s="52" t="s">
        <v>139</v>
      </c>
      <c r="D36" s="53" t="s">
        <v>25</v>
      </c>
      <c r="E36" s="73" t="s">
        <v>88</v>
      </c>
      <c r="F36" s="107">
        <v>44833</v>
      </c>
      <c r="G36" s="54">
        <v>1</v>
      </c>
      <c r="H36" s="107">
        <f>IF(F36="","",WORKDAY(IF(WEEKDAY(F36,1)=7,F36+2,IF(WEEKDAY(F36,1)=1,F36+1,F36)),G36-1,))</f>
        <v>44833</v>
      </c>
      <c r="I36" s="55">
        <v>0</v>
      </c>
      <c r="K36" s="56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58"/>
    </row>
    <row r="37" spans="1:63" ht="15.6" x14ac:dyDescent="0.3">
      <c r="B37" s="51" t="s">
        <v>27</v>
      </c>
      <c r="C37" s="52" t="s">
        <v>140</v>
      </c>
      <c r="D37" s="53" t="s">
        <v>26</v>
      </c>
      <c r="E37" s="73" t="s">
        <v>83</v>
      </c>
      <c r="F37" s="107">
        <v>44834</v>
      </c>
      <c r="G37" s="54">
        <v>1</v>
      </c>
      <c r="H37" s="107">
        <f t="shared" si="11"/>
        <v>44834</v>
      </c>
      <c r="I37" s="55">
        <v>0</v>
      </c>
      <c r="K37" s="56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58"/>
    </row>
    <row r="38" spans="1:63" ht="15.6" x14ac:dyDescent="0.3">
      <c r="B38" s="40">
        <v>4</v>
      </c>
      <c r="C38" s="41" t="s">
        <v>141</v>
      </c>
      <c r="D38" s="42" t="s">
        <v>28</v>
      </c>
      <c r="E38" s="43"/>
      <c r="F38" s="106">
        <f>MIN(F39:F53)</f>
        <v>44903</v>
      </c>
      <c r="G38" s="44">
        <f>H38-F38</f>
        <v>237</v>
      </c>
      <c r="H38" s="106">
        <f>MAX(H39:H53)</f>
        <v>45140</v>
      </c>
      <c r="I38" s="45">
        <f>SUMIF(B39:B55,B38&amp;"*",I39:I55)/(COUNTIF(B38:B55,B38&amp;".*"))</f>
        <v>0</v>
      </c>
      <c r="K38" s="56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58"/>
    </row>
    <row r="39" spans="1:63" ht="15.6" x14ac:dyDescent="0.3">
      <c r="A39" s="59"/>
      <c r="B39" s="51" t="s">
        <v>3</v>
      </c>
      <c r="C39" s="52" t="s">
        <v>142</v>
      </c>
      <c r="D39" s="53">
        <v>3</v>
      </c>
      <c r="E39" s="73" t="s">
        <v>104</v>
      </c>
      <c r="F39" s="107">
        <v>44903</v>
      </c>
      <c r="G39" s="54">
        <v>21</v>
      </c>
      <c r="H39" s="108">
        <f>IF(F39="","",WORKDAY(IF(WEEKDAY(F39,1)=7,F39+2,IF(WEEKDAY(F39,1)=1,F39+1,F39)),G39-1,))</f>
        <v>44931</v>
      </c>
      <c r="I39" s="55">
        <v>0</v>
      </c>
      <c r="K39" s="56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58"/>
    </row>
    <row r="40" spans="1:63" ht="15.6" x14ac:dyDescent="0.3">
      <c r="A40" s="59"/>
      <c r="B40" s="51" t="s">
        <v>29</v>
      </c>
      <c r="C40" s="52" t="s">
        <v>143</v>
      </c>
      <c r="D40" s="53" t="s">
        <v>3</v>
      </c>
      <c r="E40" s="73" t="s">
        <v>16</v>
      </c>
      <c r="F40" s="107">
        <v>44931</v>
      </c>
      <c r="G40" s="54">
        <v>10</v>
      </c>
      <c r="H40" s="108">
        <f t="shared" ref="H40:H53" si="12">IF(F40="","",WORKDAY(IF(WEEKDAY(F40,1)=7,F40+2,IF(WEEKDAY(F40,1)=1,F40+1,F40)),G40-1,))</f>
        <v>44944</v>
      </c>
      <c r="I40" s="55">
        <v>0</v>
      </c>
      <c r="K40" s="56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58"/>
    </row>
    <row r="41" spans="1:63" ht="15.6" x14ac:dyDescent="0.3">
      <c r="A41" s="59"/>
      <c r="B41" s="51" t="s">
        <v>30</v>
      </c>
      <c r="C41" s="52" t="s">
        <v>144</v>
      </c>
      <c r="D41" s="53" t="s">
        <v>29</v>
      </c>
      <c r="E41" s="73" t="s">
        <v>75</v>
      </c>
      <c r="F41" s="107">
        <v>44944</v>
      </c>
      <c r="G41" s="54">
        <v>11</v>
      </c>
      <c r="H41" s="108">
        <f t="shared" si="12"/>
        <v>44958</v>
      </c>
      <c r="I41" s="55">
        <v>0</v>
      </c>
      <c r="K41" s="56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58"/>
    </row>
    <row r="42" spans="1:63" ht="28.8" x14ac:dyDescent="0.3">
      <c r="A42" s="59"/>
      <c r="B42" s="51" t="s">
        <v>31</v>
      </c>
      <c r="C42" s="52" t="s">
        <v>145</v>
      </c>
      <c r="D42" s="53" t="s">
        <v>30</v>
      </c>
      <c r="E42" s="73" t="s">
        <v>52</v>
      </c>
      <c r="F42" s="107">
        <v>44958</v>
      </c>
      <c r="G42" s="54">
        <v>20</v>
      </c>
      <c r="H42" s="108">
        <f t="shared" si="12"/>
        <v>44985</v>
      </c>
      <c r="I42" s="55">
        <v>0</v>
      </c>
      <c r="K42" s="56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58"/>
    </row>
    <row r="43" spans="1:63" ht="15.6" x14ac:dyDescent="0.3">
      <c r="A43" s="59"/>
      <c r="B43" s="51" t="s">
        <v>32</v>
      </c>
      <c r="C43" s="52" t="s">
        <v>146</v>
      </c>
      <c r="D43" s="53" t="s">
        <v>31</v>
      </c>
      <c r="E43" s="73" t="s">
        <v>99</v>
      </c>
      <c r="F43" s="107">
        <v>44985</v>
      </c>
      <c r="G43" s="54">
        <v>0</v>
      </c>
      <c r="H43" s="108">
        <f t="shared" si="12"/>
        <v>44984</v>
      </c>
      <c r="I43" s="55">
        <v>0</v>
      </c>
      <c r="K43" s="56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58"/>
    </row>
    <row r="44" spans="1:63" ht="15.6" x14ac:dyDescent="0.3">
      <c r="A44" s="59"/>
      <c r="B44" s="51" t="s">
        <v>33</v>
      </c>
      <c r="C44" s="52" t="s">
        <v>147</v>
      </c>
      <c r="D44" s="53" t="s">
        <v>32</v>
      </c>
      <c r="E44" s="73" t="s">
        <v>99</v>
      </c>
      <c r="F44" s="107">
        <v>44982</v>
      </c>
      <c r="G44" s="54">
        <v>0</v>
      </c>
      <c r="H44" s="108">
        <f t="shared" si="12"/>
        <v>44981</v>
      </c>
      <c r="I44" s="55">
        <v>0</v>
      </c>
      <c r="K44" s="56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58"/>
    </row>
    <row r="45" spans="1:63" ht="15.6" x14ac:dyDescent="0.3">
      <c r="A45" s="59"/>
      <c r="B45" s="51" t="s">
        <v>34</v>
      </c>
      <c r="C45" s="52" t="s">
        <v>148</v>
      </c>
      <c r="D45" s="53" t="s">
        <v>33</v>
      </c>
      <c r="E45" s="73" t="s">
        <v>99</v>
      </c>
      <c r="F45" s="107">
        <v>44981</v>
      </c>
      <c r="G45" s="54">
        <v>0</v>
      </c>
      <c r="H45" s="108">
        <f t="shared" si="12"/>
        <v>44980</v>
      </c>
      <c r="I45" s="55">
        <v>0</v>
      </c>
      <c r="K45" s="56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58"/>
    </row>
    <row r="46" spans="1:63" ht="15.6" x14ac:dyDescent="0.3">
      <c r="A46" s="59"/>
      <c r="B46" s="51" t="s">
        <v>35</v>
      </c>
      <c r="C46" s="52" t="s">
        <v>149</v>
      </c>
      <c r="D46" s="53" t="s">
        <v>34</v>
      </c>
      <c r="E46" s="73" t="s">
        <v>96</v>
      </c>
      <c r="F46" s="107">
        <v>44980</v>
      </c>
      <c r="G46" s="54">
        <v>0</v>
      </c>
      <c r="H46" s="108">
        <f t="shared" si="12"/>
        <v>44979</v>
      </c>
      <c r="I46" s="55">
        <v>0</v>
      </c>
      <c r="K46" s="56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58"/>
    </row>
    <row r="47" spans="1:63" ht="15.6" x14ac:dyDescent="0.3">
      <c r="A47" s="59"/>
      <c r="B47" s="51" t="s">
        <v>36</v>
      </c>
      <c r="C47" s="52" t="s">
        <v>150</v>
      </c>
      <c r="D47" s="53" t="s">
        <v>35</v>
      </c>
      <c r="E47" s="73" t="s">
        <v>99</v>
      </c>
      <c r="F47" s="107">
        <v>44979</v>
      </c>
      <c r="G47" s="54">
        <v>0</v>
      </c>
      <c r="H47" s="108">
        <f t="shared" si="12"/>
        <v>44978</v>
      </c>
      <c r="I47" s="55">
        <v>0</v>
      </c>
      <c r="K47" s="56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58"/>
    </row>
    <row r="48" spans="1:63" ht="15.6" x14ac:dyDescent="0.3">
      <c r="A48" s="59"/>
      <c r="B48" s="51" t="s">
        <v>37</v>
      </c>
      <c r="C48" s="52" t="s">
        <v>151</v>
      </c>
      <c r="D48" s="53" t="s">
        <v>36</v>
      </c>
      <c r="E48" s="73" t="s">
        <v>86</v>
      </c>
      <c r="F48" s="107">
        <v>44978</v>
      </c>
      <c r="G48" s="54">
        <v>0</v>
      </c>
      <c r="H48" s="108">
        <f t="shared" si="12"/>
        <v>44977</v>
      </c>
      <c r="I48" s="55">
        <v>0</v>
      </c>
      <c r="K48" s="56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58"/>
    </row>
    <row r="49" spans="1:63" ht="15.6" x14ac:dyDescent="0.3">
      <c r="A49" s="59"/>
      <c r="B49" s="51" t="s">
        <v>38</v>
      </c>
      <c r="C49" s="52" t="s">
        <v>152</v>
      </c>
      <c r="D49" s="53" t="s">
        <v>37</v>
      </c>
      <c r="E49" s="73" t="s">
        <v>55</v>
      </c>
      <c r="F49" s="107">
        <v>44975</v>
      </c>
      <c r="G49" s="54">
        <v>38</v>
      </c>
      <c r="H49" s="108">
        <f t="shared" si="12"/>
        <v>45028</v>
      </c>
      <c r="I49" s="55">
        <v>0</v>
      </c>
      <c r="K49" s="56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58"/>
    </row>
    <row r="50" spans="1:63" ht="15.6" x14ac:dyDescent="0.3">
      <c r="A50" s="59"/>
      <c r="B50" s="51" t="s">
        <v>39</v>
      </c>
      <c r="C50" s="52" t="s">
        <v>153</v>
      </c>
      <c r="D50" s="53" t="s">
        <v>38</v>
      </c>
      <c r="E50" s="73" t="s">
        <v>18</v>
      </c>
      <c r="F50" s="107">
        <v>45028</v>
      </c>
      <c r="G50" s="54">
        <v>38</v>
      </c>
      <c r="H50" s="108">
        <f t="shared" si="12"/>
        <v>45079</v>
      </c>
      <c r="I50" s="55">
        <v>0</v>
      </c>
      <c r="K50" s="56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58"/>
    </row>
    <row r="51" spans="1:63" ht="15.6" x14ac:dyDescent="0.3">
      <c r="A51" s="59"/>
      <c r="B51" s="51" t="s">
        <v>40</v>
      </c>
      <c r="C51" s="52" t="s">
        <v>154</v>
      </c>
      <c r="D51" s="53" t="s">
        <v>39</v>
      </c>
      <c r="E51" s="73" t="s">
        <v>52</v>
      </c>
      <c r="F51" s="107">
        <v>45079</v>
      </c>
      <c r="G51" s="54">
        <v>38</v>
      </c>
      <c r="H51" s="108">
        <f t="shared" si="12"/>
        <v>45132</v>
      </c>
      <c r="I51" s="55">
        <v>0</v>
      </c>
      <c r="K51" s="56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58"/>
    </row>
    <row r="52" spans="1:63" ht="15.6" x14ac:dyDescent="0.3">
      <c r="A52" s="59"/>
      <c r="B52" s="51" t="s">
        <v>41</v>
      </c>
      <c r="C52" s="52" t="s">
        <v>155</v>
      </c>
      <c r="D52" s="53" t="s">
        <v>40</v>
      </c>
      <c r="E52" s="73" t="s">
        <v>91</v>
      </c>
      <c r="F52" s="107">
        <v>45132</v>
      </c>
      <c r="G52" s="54">
        <v>4</v>
      </c>
      <c r="H52" s="108">
        <f t="shared" si="12"/>
        <v>45135</v>
      </c>
      <c r="I52" s="55">
        <v>0</v>
      </c>
      <c r="K52" s="56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58"/>
    </row>
    <row r="53" spans="1:63" ht="15.6" x14ac:dyDescent="0.3">
      <c r="A53" s="59"/>
      <c r="B53" s="51" t="s">
        <v>42</v>
      </c>
      <c r="C53" s="52" t="s">
        <v>156</v>
      </c>
      <c r="D53" s="53" t="s">
        <v>41</v>
      </c>
      <c r="E53" s="73" t="s">
        <v>16</v>
      </c>
      <c r="F53" s="107">
        <v>45135</v>
      </c>
      <c r="G53" s="54">
        <v>4</v>
      </c>
      <c r="H53" s="108">
        <f t="shared" si="12"/>
        <v>45140</v>
      </c>
      <c r="I53" s="55">
        <v>0</v>
      </c>
      <c r="K53" s="56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58"/>
    </row>
    <row r="54" spans="1:63" ht="15.6" x14ac:dyDescent="0.3">
      <c r="B54" s="40">
        <v>5</v>
      </c>
      <c r="C54" s="41" t="s">
        <v>157</v>
      </c>
      <c r="D54" s="42" t="s">
        <v>43</v>
      </c>
      <c r="E54" s="43"/>
      <c r="F54" s="106">
        <f>MIN(F55:F59)</f>
        <v>45140</v>
      </c>
      <c r="G54" s="44">
        <f>H54-F54</f>
        <v>13</v>
      </c>
      <c r="H54" s="106">
        <f>MAX(H55:H59)</f>
        <v>45153</v>
      </c>
      <c r="I54" s="45">
        <f>SUMIF(B55:B59,B54&amp;"*",I55:I60)/(COUNTIF(B54:B59,B54&amp;".*"))</f>
        <v>0</v>
      </c>
      <c r="K54" s="56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58"/>
    </row>
    <row r="55" spans="1:63" ht="15.6" x14ac:dyDescent="0.3">
      <c r="A55" s="59"/>
      <c r="B55" s="51" t="s">
        <v>4</v>
      </c>
      <c r="C55" s="52" t="s">
        <v>158</v>
      </c>
      <c r="D55" s="53">
        <v>4</v>
      </c>
      <c r="E55" s="73" t="s">
        <v>67</v>
      </c>
      <c r="F55" s="108">
        <v>45140</v>
      </c>
      <c r="G55" s="54">
        <v>10</v>
      </c>
      <c r="H55" s="108">
        <f>IF(F55="","",WORKDAY(IF(WEEKDAY(F55,1)=7,F55+2,IF(WEEKDAY(F55,1)=1,F55+1,F55)),G55-1,))</f>
        <v>45153</v>
      </c>
      <c r="I55" s="55">
        <v>0</v>
      </c>
      <c r="K55" s="56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58"/>
    </row>
    <row r="56" spans="1:63" ht="15.6" x14ac:dyDescent="0.3">
      <c r="A56" s="59"/>
      <c r="B56" s="51" t="s">
        <v>44</v>
      </c>
      <c r="C56" s="52" t="s">
        <v>159</v>
      </c>
      <c r="D56" s="53">
        <v>4</v>
      </c>
      <c r="E56" s="73" t="s">
        <v>72</v>
      </c>
      <c r="F56" s="108">
        <v>45140</v>
      </c>
      <c r="G56" s="54">
        <v>10</v>
      </c>
      <c r="H56" s="108">
        <f t="shared" ref="H56:H57" si="13">IF(F56="","",WORKDAY(IF(WEEKDAY(F56,1)=7,F56+2,IF(WEEKDAY(F56,1)=1,F56+1,F56)),G56-1,))</f>
        <v>45153</v>
      </c>
      <c r="I56" s="55">
        <v>0</v>
      </c>
      <c r="K56" s="56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58"/>
    </row>
    <row r="57" spans="1:63" ht="15.6" x14ac:dyDescent="0.3">
      <c r="A57" s="59"/>
      <c r="B57" s="51" t="s">
        <v>45</v>
      </c>
      <c r="C57" s="52" t="s">
        <v>160</v>
      </c>
      <c r="D57" s="53">
        <v>4</v>
      </c>
      <c r="E57" s="73" t="s">
        <v>78</v>
      </c>
      <c r="F57" s="108">
        <v>45140</v>
      </c>
      <c r="G57" s="54">
        <v>10</v>
      </c>
      <c r="H57" s="108">
        <f t="shared" si="13"/>
        <v>45153</v>
      </c>
      <c r="I57" s="55">
        <v>0</v>
      </c>
      <c r="K57" s="56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58"/>
    </row>
    <row r="58" spans="1:63" ht="15.6" x14ac:dyDescent="0.3">
      <c r="A58" s="59"/>
      <c r="B58" s="51" t="s">
        <v>46</v>
      </c>
      <c r="C58" s="52" t="s">
        <v>161</v>
      </c>
      <c r="D58" s="53" t="s">
        <v>49</v>
      </c>
      <c r="E58" s="73" t="s">
        <v>99</v>
      </c>
      <c r="F58" s="108">
        <v>45153</v>
      </c>
      <c r="G58" s="54">
        <v>0</v>
      </c>
      <c r="H58" s="108">
        <f>IF(F58="","",WORKDAY(IF(WEEKDAY(F58,1)=7,F58+2,IF(WEEKDAY(F58,1)=1,F58+1,F58)),G58-1,))</f>
        <v>45152</v>
      </c>
      <c r="I58" s="55">
        <v>0</v>
      </c>
      <c r="K58" s="56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58"/>
    </row>
    <row r="59" spans="1:63" x14ac:dyDescent="0.3">
      <c r="A59" s="59"/>
      <c r="B59" s="151" t="s">
        <v>204</v>
      </c>
      <c r="C59" s="152"/>
      <c r="D59" s="152"/>
      <c r="E59" s="152"/>
      <c r="F59" s="152"/>
      <c r="G59" s="152"/>
      <c r="H59" s="152"/>
      <c r="I59" s="153"/>
      <c r="K59" s="56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58"/>
    </row>
    <row r="60" spans="1:63" ht="15" thickBot="1" x14ac:dyDescent="0.35">
      <c r="G60" s="139" t="s">
        <v>5</v>
      </c>
      <c r="H60" s="140"/>
      <c r="I60" s="62">
        <f>AVERAGE(I19,I25,I31,I38,I54)</f>
        <v>0.14119999999999999</v>
      </c>
      <c r="K60" s="63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</row>
    <row r="61" spans="1:63" x14ac:dyDescent="0.3">
      <c r="H61" s="3"/>
      <c r="I61" s="79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</row>
    <row r="62" spans="1:63" x14ac:dyDescent="0.3">
      <c r="H62" s="3"/>
      <c r="I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</row>
    <row r="63" spans="1:63" x14ac:dyDescent="0.3">
      <c r="H63" s="3"/>
      <c r="I63" s="80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</row>
    <row r="64" spans="1:63" x14ac:dyDescent="0.3">
      <c r="H64" s="3"/>
      <c r="I64" s="80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</row>
    <row r="65" spans="8:63" x14ac:dyDescent="0.3">
      <c r="H65" s="3"/>
      <c r="I65" s="80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</row>
    <row r="66" spans="8:63" x14ac:dyDescent="0.3">
      <c r="H66" s="3"/>
      <c r="I66" s="80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</row>
    <row r="67" spans="8:63" x14ac:dyDescent="0.3">
      <c r="H67" s="3"/>
      <c r="I67" s="80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</row>
    <row r="68" spans="8:63" x14ac:dyDescent="0.3">
      <c r="H68" s="3"/>
      <c r="I68" s="80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</row>
    <row r="69" spans="8:63" x14ac:dyDescent="0.3">
      <c r="H69" s="3"/>
      <c r="I69" s="80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</row>
    <row r="70" spans="8:63" x14ac:dyDescent="0.3">
      <c r="H70" s="3"/>
      <c r="I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</row>
    <row r="71" spans="8:63" x14ac:dyDescent="0.3">
      <c r="H71" s="3"/>
      <c r="I71" s="80"/>
      <c r="K71" s="80"/>
      <c r="L71" s="8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</row>
    <row r="72" spans="8:63" x14ac:dyDescent="0.3">
      <c r="H72" s="3"/>
      <c r="I72" s="80"/>
      <c r="K72" s="80"/>
      <c r="L72" s="80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</row>
    <row r="73" spans="8:63" x14ac:dyDescent="0.3">
      <c r="H73" s="3"/>
      <c r="I73" s="80"/>
      <c r="K73" s="80"/>
      <c r="L73" s="80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</row>
    <row r="74" spans="8:63" x14ac:dyDescent="0.3">
      <c r="H74" s="3"/>
      <c r="I74" s="80"/>
      <c r="K74" s="80"/>
      <c r="L74" s="80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</row>
    <row r="75" spans="8:63" x14ac:dyDescent="0.3">
      <c r="H75" s="3"/>
      <c r="I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</row>
    <row r="76" spans="8:63" x14ac:dyDescent="0.3">
      <c r="H76" s="3"/>
      <c r="I76" s="80"/>
      <c r="K76" s="80"/>
      <c r="L76" s="80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</row>
    <row r="77" spans="8:63" x14ac:dyDescent="0.3">
      <c r="H77" s="3"/>
      <c r="I77" s="80"/>
      <c r="K77" s="80"/>
      <c r="L77" s="80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</row>
    <row r="78" spans="8:63" x14ac:dyDescent="0.3">
      <c r="H78" s="3"/>
      <c r="I78" s="80"/>
      <c r="K78" s="80"/>
      <c r="L78" s="80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</row>
    <row r="79" spans="8:63" x14ac:dyDescent="0.3">
      <c r="H79" s="3"/>
      <c r="I79" s="80"/>
      <c r="K79" s="80"/>
      <c r="L79" s="80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</row>
    <row r="80" spans="8:63" x14ac:dyDescent="0.3">
      <c r="H80" s="3"/>
      <c r="I80" s="80"/>
      <c r="K80" s="80"/>
      <c r="L80" s="80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</row>
    <row r="81" spans="8:63" x14ac:dyDescent="0.3">
      <c r="H81" s="3"/>
      <c r="I81" s="80"/>
      <c r="K81" s="80"/>
      <c r="L81" s="80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</row>
    <row r="82" spans="8:63" x14ac:dyDescent="0.3">
      <c r="H82" s="3"/>
      <c r="I82" s="80"/>
      <c r="K82" s="80"/>
      <c r="L82" s="80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</row>
    <row r="83" spans="8:63" x14ac:dyDescent="0.3">
      <c r="H83" s="3"/>
      <c r="I83" s="80"/>
      <c r="K83" s="80"/>
      <c r="L83" s="80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</row>
    <row r="84" spans="8:63" x14ac:dyDescent="0.3">
      <c r="H84" s="3"/>
      <c r="I84" s="80"/>
      <c r="K84" s="80"/>
      <c r="L84" s="80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</row>
    <row r="85" spans="8:63" x14ac:dyDescent="0.3">
      <c r="H85" s="3"/>
      <c r="I85" s="80"/>
      <c r="K85" s="80"/>
      <c r="L85" s="80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</row>
    <row r="86" spans="8:63" x14ac:dyDescent="0.3">
      <c r="H86" s="3"/>
      <c r="I86" s="80"/>
      <c r="K86" s="80"/>
      <c r="L86" s="80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</row>
    <row r="87" spans="8:63" x14ac:dyDescent="0.3">
      <c r="H87" s="3"/>
      <c r="I87" s="80"/>
      <c r="K87" s="80"/>
      <c r="L87" s="80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</row>
    <row r="88" spans="8:63" x14ac:dyDescent="0.3">
      <c r="H88" s="3"/>
      <c r="I88" s="80"/>
      <c r="K88" s="80"/>
      <c r="L88" s="80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</row>
    <row r="89" spans="8:63" x14ac:dyDescent="0.3">
      <c r="H89" s="3"/>
      <c r="I89" s="80"/>
      <c r="K89" s="80"/>
      <c r="L89" s="80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</row>
    <row r="90" spans="8:63" x14ac:dyDescent="0.3">
      <c r="H90" s="81"/>
      <c r="I90" s="82"/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82"/>
      <c r="AE90" s="82"/>
      <c r="AF90" s="82"/>
      <c r="AG90" s="82"/>
      <c r="AH90" s="82"/>
      <c r="AI90" s="82"/>
      <c r="AJ90" s="82"/>
      <c r="AK90" s="82"/>
      <c r="AL90" s="82"/>
      <c r="AM90" s="82"/>
      <c r="AN90" s="82"/>
      <c r="AO90" s="82"/>
      <c r="AP90" s="82"/>
      <c r="AQ90" s="82"/>
      <c r="AR90" s="82"/>
      <c r="AS90" s="82"/>
      <c r="AT90" s="82"/>
      <c r="AU90" s="82"/>
      <c r="AV90" s="82"/>
      <c r="AW90" s="82"/>
      <c r="AX90" s="8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</row>
  </sheetData>
  <mergeCells count="38">
    <mergeCell ref="AT14:AZ14"/>
    <mergeCell ref="BA14:BG14"/>
    <mergeCell ref="BH14:BK14"/>
    <mergeCell ref="K14:Q14"/>
    <mergeCell ref="R14:X14"/>
    <mergeCell ref="Y14:AE14"/>
    <mergeCell ref="AF14:AL14"/>
    <mergeCell ref="AM14:AS14"/>
    <mergeCell ref="K13:AJ13"/>
    <mergeCell ref="AK13:BK13"/>
    <mergeCell ref="H8:I8"/>
    <mergeCell ref="T6:W6"/>
    <mergeCell ref="T8:W8"/>
    <mergeCell ref="G60:H60"/>
    <mergeCell ref="D12:E12"/>
    <mergeCell ref="I15:I16"/>
    <mergeCell ref="H15:H16"/>
    <mergeCell ref="G15:G16"/>
    <mergeCell ref="F15:F16"/>
    <mergeCell ref="E15:E16"/>
    <mergeCell ref="D15:D16"/>
    <mergeCell ref="B59:I59"/>
    <mergeCell ref="B15:B16"/>
    <mergeCell ref="H2:I2"/>
    <mergeCell ref="K10:S10"/>
    <mergeCell ref="T10:W10"/>
    <mergeCell ref="C15:C16"/>
    <mergeCell ref="T5:W5"/>
    <mergeCell ref="D10:E10"/>
    <mergeCell ref="F10:G10"/>
    <mergeCell ref="H10:I10"/>
    <mergeCell ref="D6:E6"/>
    <mergeCell ref="F6:G6"/>
    <mergeCell ref="H6:I6"/>
    <mergeCell ref="K6:S6"/>
    <mergeCell ref="K8:S8"/>
    <mergeCell ref="D8:E8"/>
    <mergeCell ref="F8:G8"/>
  </mergeCells>
  <conditionalFormatting sqref="T10">
    <cfRule type="cellIs" dxfId="10" priority="108" operator="greaterThan">
      <formula>$T$8</formula>
    </cfRule>
  </conditionalFormatting>
  <conditionalFormatting sqref="I19:I58 I60">
    <cfRule type="cellIs" dxfId="9" priority="109" operator="equal">
      <formula>1</formula>
    </cfRule>
    <cfRule type="cellIs" dxfId="8" priority="110" operator="between">
      <formula>0.5</formula>
      <formula>0.99</formula>
    </cfRule>
    <cfRule type="cellIs" dxfId="7" priority="111" operator="lessThan">
      <formula>50</formula>
    </cfRule>
    <cfRule type="dataBar" priority="112">
      <dataBar>
        <cfvo type="min"/>
        <cfvo type="max"/>
        <color theme="8" tint="0.39997558519241921"/>
      </dataBar>
      <extLst>
        <ext xmlns:x14="http://schemas.microsoft.com/office/spreadsheetml/2009/9/main" uri="{B025F937-C7B1-47D3-B67F-A62EFF666E3E}">
          <x14:id>{3C15F075-24B4-4137-9DE0-1EFF48AB96F0}</x14:id>
        </ext>
      </extLst>
    </cfRule>
  </conditionalFormatting>
  <conditionalFormatting sqref="K17:BK59">
    <cfRule type="expression" dxfId="6" priority="1">
      <formula>OR(AND(K$17=TODAY(),$L$12=1),AND(OR($L$12=2,$L$12=3),K$17&lt;=TODAY(),K$18&gt;=TODAY()))</formula>
    </cfRule>
  </conditionalFormatting>
  <conditionalFormatting sqref="K19:BK19 K25:BK25 K31:BK31 K38:BK38 K54:BK54">
    <cfRule type="expression" dxfId="5" priority="132">
      <formula>AND(IF($L$12&gt;1,IF($I19&gt;0,TRUE,FALSE),TRUE),$F19&lt;=K$18,ROUNDDOWN(($H19-$F19+1)*$I19,0)+$F19-1&gt;=K$17)</formula>
    </cfRule>
    <cfRule type="expression" dxfId="4" priority="133">
      <formula>AND(NOT(ISBLANK($F19)),$F19&lt;=K$18,$H19&gt;=K$17)</formula>
    </cfRule>
  </conditionalFormatting>
  <conditionalFormatting sqref="K20:BK24 K26:BK30 K32:BK37 K39:BK53 K55:BK59">
    <cfRule type="expression" dxfId="3" priority="152">
      <formula>AND(IF($L$12&gt;1,IF($I20&gt;0,TRUE,FALSE),TRUE),$F20&lt;=K$18,ROUNDDOWN(($H20-$F20+1)*$I20,0)+$F20-1&gt;=K$17)</formula>
    </cfRule>
    <cfRule type="expression" dxfId="2" priority="153">
      <formula>AND(NOT(ISBLANK($F20)),$F20&lt;=K$18,$H20&gt;=K$17)</formula>
    </cfRule>
  </conditionalFormatting>
  <conditionalFormatting sqref="K18:BK18">
    <cfRule type="expression" dxfId="1" priority="2">
      <formula>AND(IF($L$12&gt;1,IF($I18&gt;0,TRUE,FALSE),TRUE),$F18&lt;=K$18,ROUNDDOWN(($H18-$F18+1)*$I18,0)+$F18-1&gt;=K$17)</formula>
    </cfRule>
    <cfRule type="expression" dxfId="0" priority="23">
      <formula>AND(NOT(ISBLANK($F18)),$F18&lt;=K$18,$H18&gt;=K$17)</formula>
    </cfRule>
  </conditionalFormatting>
  <pageMargins left="0.7" right="0.7" top="0.75" bottom="0.75" header="0.3" footer="0.3"/>
  <pageSetup paperSize="9" orientation="portrait" r:id="rId1"/>
  <ignoredErrors>
    <ignoredError sqref="H2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Group Box 3">
              <controlPr defaultSize="0" autoFill="0" autoPict="0">
                <anchor moveWithCells="1">
                  <from>
                    <xdr:col>34</xdr:col>
                    <xdr:colOff>144780</xdr:colOff>
                    <xdr:row>4</xdr:row>
                    <xdr:rowOff>213360</xdr:rowOff>
                  </from>
                  <to>
                    <xdr:col>48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jourrrrr">
                <anchor moveWithCells="1">
                  <from>
                    <xdr:col>35</xdr:col>
                    <xdr:colOff>190500</xdr:colOff>
                    <xdr:row>6</xdr:row>
                    <xdr:rowOff>22860</xdr:rowOff>
                  </from>
                  <to>
                    <xdr:col>39</xdr:col>
                    <xdr:colOff>182880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Option Button 5">
              <controlPr defaultSize="0" autoFill="0" autoLine="0" autoPict="0">
                <anchor moveWithCells="1">
                  <from>
                    <xdr:col>35</xdr:col>
                    <xdr:colOff>190500</xdr:colOff>
                    <xdr:row>7</xdr:row>
                    <xdr:rowOff>60960</xdr:rowOff>
                  </from>
                  <to>
                    <xdr:col>39</xdr:col>
                    <xdr:colOff>182880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Option Button 6">
              <controlPr defaultSize="0" autoFill="0" autoLine="0" autoPict="0">
                <anchor moveWithCells="1">
                  <from>
                    <xdr:col>35</xdr:col>
                    <xdr:colOff>190500</xdr:colOff>
                    <xdr:row>8</xdr:row>
                    <xdr:rowOff>83820</xdr:rowOff>
                  </from>
                  <to>
                    <xdr:col>39</xdr:col>
                    <xdr:colOff>182880</xdr:colOff>
                    <xdr:row>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scrollBAR">
              <controlPr defaultSize="0" autoPict="0" macro="[0]!macroScroll">
                <anchor moveWithCells="1">
                  <from>
                    <xdr:col>9</xdr:col>
                    <xdr:colOff>38100</xdr:colOff>
                    <xdr:row>10</xdr:row>
                    <xdr:rowOff>144780</xdr:rowOff>
                  </from>
                  <to>
                    <xdr:col>63</xdr:col>
                    <xdr:colOff>0</xdr:colOff>
                    <xdr:row>12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C15F075-24B4-4137-9DE0-1EFF48AB96F0}">
            <x14:dataBar minLength="0" maxLength="100" border="1">
              <x14:cfvo type="autoMin"/>
              <x14:cfvo type="autoMax"/>
              <x14:borderColor rgb="FF000000"/>
              <x14:negativeFillColor rgb="FFFF0000"/>
              <x14:axisColor rgb="FF000000"/>
            </x14:dataBar>
          </x14:cfRule>
          <xm:sqref>I19:I58 I60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7A5054-07A4-4D26-A6D8-14A7F066D87B}">
          <x14:formula1>
            <xm:f>Resources!$C$16:$C$36</xm:f>
          </x14:formula1>
          <xm:sqref>E68:E1048576 E55:E59 E39:E53 E1 E6 E8 E10 E12 E32:E37 E26:E30 E20:E24 E15:E17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1:K36"/>
  <sheetViews>
    <sheetView topLeftCell="A9" workbookViewId="0">
      <selection activeCell="C57" sqref="C57"/>
    </sheetView>
  </sheetViews>
  <sheetFormatPr baseColWidth="10" defaultColWidth="11.5546875" defaultRowHeight="14.4" x14ac:dyDescent="0.3"/>
  <cols>
    <col min="1" max="1" width="2.5546875" style="65" customWidth="1"/>
    <col min="2" max="2" width="7.33203125" style="65" customWidth="1"/>
    <col min="3" max="3" width="25" style="65" customWidth="1"/>
    <col min="4" max="4" width="24.5546875" style="65" customWidth="1"/>
    <col min="5" max="5" width="35.88671875" style="65" customWidth="1"/>
    <col min="6" max="6" width="18.33203125" style="65" customWidth="1"/>
    <col min="7" max="16384" width="11.5546875" style="65"/>
  </cols>
  <sheetData>
    <row r="1" spans="2:11" ht="11.1" customHeight="1" x14ac:dyDescent="0.3"/>
    <row r="3" spans="2:11" x14ac:dyDescent="0.3">
      <c r="B3" s="4"/>
      <c r="C3" s="4"/>
      <c r="D3" s="4"/>
      <c r="E3" s="4"/>
      <c r="F3" s="4"/>
      <c r="G3" s="4"/>
      <c r="H3" s="4"/>
      <c r="I3" s="4"/>
      <c r="J3" s="4"/>
      <c r="K3" s="4"/>
    </row>
    <row r="4" spans="2:11" ht="21" customHeight="1" x14ac:dyDescent="0.3">
      <c r="B4" s="16"/>
      <c r="C4" s="16"/>
      <c r="D4" s="16"/>
      <c r="E4" s="16"/>
      <c r="F4" s="16"/>
      <c r="G4" s="4"/>
      <c r="H4" s="4"/>
      <c r="I4" s="4"/>
      <c r="J4" s="4"/>
      <c r="K4" s="18"/>
    </row>
    <row r="5" spans="2:11" ht="20.25" customHeight="1" x14ac:dyDescent="0.3">
      <c r="B5" s="16"/>
      <c r="C5" s="16"/>
      <c r="D5" s="16"/>
      <c r="E5" s="16"/>
      <c r="F5" s="16"/>
      <c r="G5" s="4"/>
      <c r="H5" s="4"/>
      <c r="I5" s="4"/>
      <c r="J5" s="4"/>
      <c r="K5" s="4"/>
    </row>
    <row r="6" spans="2:11" x14ac:dyDescent="0.3">
      <c r="B6" s="4"/>
      <c r="C6" s="66" t="s">
        <v>187</v>
      </c>
      <c r="D6" s="67"/>
      <c r="E6" s="147" t="s">
        <v>109</v>
      </c>
      <c r="F6" s="130"/>
      <c r="G6" s="29"/>
      <c r="H6" s="134" t="s">
        <v>188</v>
      </c>
      <c r="I6" s="134"/>
      <c r="J6" s="149">
        <v>44197</v>
      </c>
      <c r="K6" s="150"/>
    </row>
    <row r="7" spans="2:11" ht="3.75" customHeight="1" x14ac:dyDescent="0.3">
      <c r="B7" s="4"/>
      <c r="C7" s="22"/>
      <c r="D7" s="4"/>
      <c r="E7" s="23"/>
      <c r="F7" s="68"/>
      <c r="G7" s="29"/>
      <c r="H7" s="24"/>
      <c r="I7" s="25"/>
      <c r="J7" s="23"/>
      <c r="K7" s="4"/>
    </row>
    <row r="8" spans="2:11" x14ac:dyDescent="0.3">
      <c r="B8" s="4"/>
      <c r="C8" s="66" t="s">
        <v>106</v>
      </c>
      <c r="D8" s="66"/>
      <c r="E8" s="148" t="s">
        <v>110</v>
      </c>
      <c r="F8" s="130"/>
      <c r="G8" s="29"/>
      <c r="H8" s="131" t="s">
        <v>113</v>
      </c>
      <c r="I8" s="131"/>
      <c r="J8" s="149">
        <v>44197</v>
      </c>
      <c r="K8" s="150"/>
    </row>
    <row r="9" spans="2:11" ht="4.6500000000000004" customHeight="1" x14ac:dyDescent="0.3">
      <c r="B9" s="4"/>
      <c r="C9" s="26"/>
      <c r="D9" s="4"/>
      <c r="E9" s="23"/>
      <c r="F9" s="23"/>
      <c r="G9" s="29"/>
      <c r="H9" s="27"/>
      <c r="I9" s="28"/>
      <c r="J9" s="23"/>
      <c r="K9" s="4"/>
    </row>
    <row r="10" spans="2:11" x14ac:dyDescent="0.3">
      <c r="B10" s="4"/>
      <c r="C10" s="66" t="s">
        <v>107</v>
      </c>
      <c r="D10" s="67"/>
      <c r="E10" s="147" t="s">
        <v>7</v>
      </c>
      <c r="F10" s="130"/>
      <c r="G10" s="29"/>
      <c r="H10" s="131" t="s">
        <v>114</v>
      </c>
      <c r="I10" s="131"/>
      <c r="J10" s="132" t="s">
        <v>8</v>
      </c>
      <c r="K10" s="133"/>
    </row>
    <row r="11" spans="2:11" ht="3.75" customHeight="1" x14ac:dyDescent="0.3">
      <c r="B11" s="4"/>
      <c r="C11" s="22"/>
      <c r="D11" s="4"/>
      <c r="E11" s="23"/>
      <c r="F11" s="23"/>
      <c r="G11" s="29"/>
      <c r="H11" s="30"/>
      <c r="I11" s="30"/>
      <c r="J11" s="4"/>
      <c r="K11" s="4"/>
    </row>
    <row r="12" spans="2:11" x14ac:dyDescent="0.3">
      <c r="B12" s="4"/>
      <c r="C12" s="66" t="s">
        <v>108</v>
      </c>
      <c r="D12" s="66"/>
      <c r="E12" s="148" t="s">
        <v>111</v>
      </c>
      <c r="F12" s="130"/>
      <c r="G12" s="29"/>
      <c r="H12" s="29"/>
      <c r="I12" s="29"/>
      <c r="J12" s="29"/>
      <c r="K12" s="29"/>
    </row>
    <row r="15" spans="2:11" x14ac:dyDescent="0.3">
      <c r="B15" s="69" t="s">
        <v>9</v>
      </c>
      <c r="C15" s="70" t="s">
        <v>189</v>
      </c>
      <c r="D15" s="70" t="s">
        <v>190</v>
      </c>
      <c r="E15" s="70" t="s">
        <v>191</v>
      </c>
      <c r="F15" s="70" t="s">
        <v>192</v>
      </c>
    </row>
    <row r="16" spans="2:11" x14ac:dyDescent="0.3">
      <c r="B16" s="52">
        <v>1</v>
      </c>
      <c r="C16" s="52" t="s">
        <v>11</v>
      </c>
      <c r="D16" s="52" t="s">
        <v>50</v>
      </c>
      <c r="E16" s="52" t="s">
        <v>51</v>
      </c>
      <c r="F16" s="71"/>
    </row>
    <row r="17" spans="2:6" x14ac:dyDescent="0.3">
      <c r="B17" s="52">
        <v>2</v>
      </c>
      <c r="C17" s="52" t="s">
        <v>52</v>
      </c>
      <c r="D17" s="52" t="s">
        <v>53</v>
      </c>
      <c r="E17" s="52" t="s">
        <v>54</v>
      </c>
      <c r="F17" s="71"/>
    </row>
    <row r="18" spans="2:6" x14ac:dyDescent="0.3">
      <c r="B18" s="52">
        <v>3</v>
      </c>
      <c r="C18" s="52" t="s">
        <v>55</v>
      </c>
      <c r="D18" s="52" t="s">
        <v>56</v>
      </c>
      <c r="E18" s="52" t="s">
        <v>57</v>
      </c>
      <c r="F18" s="71"/>
    </row>
    <row r="19" spans="2:6" x14ac:dyDescent="0.3">
      <c r="B19" s="52">
        <v>4</v>
      </c>
      <c r="C19" s="52" t="s">
        <v>14</v>
      </c>
      <c r="D19" s="52" t="s">
        <v>58</v>
      </c>
      <c r="E19" s="52" t="s">
        <v>59</v>
      </c>
      <c r="F19" s="71"/>
    </row>
    <row r="20" spans="2:6" x14ac:dyDescent="0.3">
      <c r="B20" s="52">
        <v>5</v>
      </c>
      <c r="C20" s="52" t="s">
        <v>16</v>
      </c>
      <c r="D20" s="52" t="s">
        <v>60</v>
      </c>
      <c r="E20" s="52" t="s">
        <v>61</v>
      </c>
      <c r="F20" s="71"/>
    </row>
    <row r="21" spans="2:6" x14ac:dyDescent="0.3">
      <c r="B21" s="52">
        <v>6</v>
      </c>
      <c r="C21" s="52" t="s">
        <v>18</v>
      </c>
      <c r="D21" s="52" t="s">
        <v>62</v>
      </c>
      <c r="E21" s="52" t="s">
        <v>63</v>
      </c>
      <c r="F21" s="72"/>
    </row>
    <row r="22" spans="2:6" x14ac:dyDescent="0.3">
      <c r="B22" s="52">
        <v>7</v>
      </c>
      <c r="C22" s="52" t="s">
        <v>64</v>
      </c>
      <c r="D22" s="52" t="s">
        <v>65</v>
      </c>
      <c r="E22" s="52" t="s">
        <v>66</v>
      </c>
      <c r="F22" s="72"/>
    </row>
    <row r="23" spans="2:6" x14ac:dyDescent="0.3">
      <c r="B23" s="52">
        <v>8</v>
      </c>
      <c r="C23" s="52" t="s">
        <v>67</v>
      </c>
      <c r="D23" s="52" t="s">
        <v>68</v>
      </c>
      <c r="E23" s="52" t="s">
        <v>69</v>
      </c>
      <c r="F23" s="72"/>
    </row>
    <row r="24" spans="2:6" ht="28.8" x14ac:dyDescent="0.3">
      <c r="B24" s="52">
        <v>9</v>
      </c>
      <c r="C24" s="52" t="s">
        <v>104</v>
      </c>
      <c r="D24" s="52" t="s">
        <v>70</v>
      </c>
      <c r="E24" s="52" t="s">
        <v>71</v>
      </c>
      <c r="F24" s="72"/>
    </row>
    <row r="25" spans="2:6" x14ac:dyDescent="0.3">
      <c r="B25" s="52">
        <v>10</v>
      </c>
      <c r="C25" s="52" t="s">
        <v>72</v>
      </c>
      <c r="D25" s="52" t="s">
        <v>73</v>
      </c>
      <c r="E25" s="52" t="s">
        <v>74</v>
      </c>
      <c r="F25" s="72"/>
    </row>
    <row r="26" spans="2:6" ht="28.8" x14ac:dyDescent="0.3">
      <c r="B26" s="52">
        <v>11</v>
      </c>
      <c r="C26" s="52" t="s">
        <v>75</v>
      </c>
      <c r="D26" s="52" t="s">
        <v>76</v>
      </c>
      <c r="E26" s="52" t="s">
        <v>77</v>
      </c>
      <c r="F26" s="72"/>
    </row>
    <row r="27" spans="2:6" x14ac:dyDescent="0.3">
      <c r="B27" s="52">
        <v>12</v>
      </c>
      <c r="C27" s="52" t="s">
        <v>78</v>
      </c>
      <c r="D27" s="52" t="s">
        <v>79</v>
      </c>
      <c r="E27" s="52" t="s">
        <v>80</v>
      </c>
      <c r="F27" s="72"/>
    </row>
    <row r="28" spans="2:6" x14ac:dyDescent="0.3">
      <c r="B28" s="52">
        <v>13</v>
      </c>
      <c r="C28" s="52" t="s">
        <v>81</v>
      </c>
      <c r="D28" s="52" t="s">
        <v>79</v>
      </c>
      <c r="E28" s="52" t="s">
        <v>82</v>
      </c>
      <c r="F28" s="72"/>
    </row>
    <row r="29" spans="2:6" x14ac:dyDescent="0.3">
      <c r="B29" s="52">
        <v>14</v>
      </c>
      <c r="C29" s="52" t="s">
        <v>83</v>
      </c>
      <c r="D29" s="52" t="s">
        <v>84</v>
      </c>
      <c r="E29" s="52" t="s">
        <v>85</v>
      </c>
      <c r="F29" s="72"/>
    </row>
    <row r="30" spans="2:6" x14ac:dyDescent="0.3">
      <c r="B30" s="52">
        <v>15</v>
      </c>
      <c r="C30" s="52" t="s">
        <v>86</v>
      </c>
      <c r="D30" s="52" t="s">
        <v>84</v>
      </c>
      <c r="E30" s="52" t="s">
        <v>87</v>
      </c>
      <c r="F30" s="72"/>
    </row>
    <row r="31" spans="2:6" x14ac:dyDescent="0.3">
      <c r="B31" s="52">
        <v>16</v>
      </c>
      <c r="C31" s="52" t="s">
        <v>88</v>
      </c>
      <c r="D31" s="52" t="s">
        <v>89</v>
      </c>
      <c r="E31" s="52" t="s">
        <v>90</v>
      </c>
      <c r="F31" s="72"/>
    </row>
    <row r="32" spans="2:6" x14ac:dyDescent="0.3">
      <c r="B32" s="52">
        <v>17</v>
      </c>
      <c r="C32" s="52" t="s">
        <v>91</v>
      </c>
      <c r="D32" s="52" t="s">
        <v>89</v>
      </c>
      <c r="E32" s="52" t="s">
        <v>92</v>
      </c>
      <c r="F32" s="72"/>
    </row>
    <row r="33" spans="2:6" x14ac:dyDescent="0.3">
      <c r="B33" s="52">
        <v>18</v>
      </c>
      <c r="C33" s="52" t="s">
        <v>93</v>
      </c>
      <c r="D33" s="52" t="s">
        <v>94</v>
      </c>
      <c r="E33" s="52" t="s">
        <v>95</v>
      </c>
      <c r="F33" s="72"/>
    </row>
    <row r="34" spans="2:6" x14ac:dyDescent="0.3">
      <c r="B34" s="52">
        <v>19</v>
      </c>
      <c r="C34" s="52" t="s">
        <v>96</v>
      </c>
      <c r="D34" s="52" t="s">
        <v>97</v>
      </c>
      <c r="E34" s="52" t="s">
        <v>98</v>
      </c>
      <c r="F34" s="72"/>
    </row>
    <row r="35" spans="2:6" x14ac:dyDescent="0.3">
      <c r="B35" s="52">
        <v>20</v>
      </c>
      <c r="C35" s="52" t="s">
        <v>99</v>
      </c>
      <c r="D35" s="52" t="s">
        <v>100</v>
      </c>
      <c r="E35" s="52" t="s">
        <v>101</v>
      </c>
      <c r="F35" s="72"/>
    </row>
    <row r="36" spans="2:6" x14ac:dyDescent="0.3">
      <c r="B36" s="52">
        <v>21</v>
      </c>
      <c r="C36" s="52" t="s">
        <v>102</v>
      </c>
      <c r="D36" s="52" t="s">
        <v>103</v>
      </c>
      <c r="E36" s="52"/>
      <c r="F36" s="72"/>
    </row>
  </sheetData>
  <mergeCells count="10">
    <mergeCell ref="E10:F10"/>
    <mergeCell ref="H10:I10"/>
    <mergeCell ref="J10:K10"/>
    <mergeCell ref="E12:F12"/>
    <mergeCell ref="E6:F6"/>
    <mergeCell ref="H6:I6"/>
    <mergeCell ref="J6:K6"/>
    <mergeCell ref="E8:F8"/>
    <mergeCell ref="H8:I8"/>
    <mergeCell ref="J8:K8"/>
  </mergeCells>
  <hyperlinks>
    <hyperlink ref="E24" r:id="rId1" xr:uid="{00000000-0004-0000-0200-000000000000}"/>
    <hyperlink ref="E25" r:id="rId2" xr:uid="{00000000-0004-0000-0200-000001000000}"/>
    <hyperlink ref="E26" r:id="rId3" xr:uid="{00000000-0004-0000-0200-000002000000}"/>
    <hyperlink ref="E27" r:id="rId4" xr:uid="{00000000-0004-0000-0200-000003000000}"/>
    <hyperlink ref="E28" r:id="rId5" xr:uid="{00000000-0004-0000-0200-000004000000}"/>
    <hyperlink ref="E29" r:id="rId6" xr:uid="{00000000-0004-0000-0200-000005000000}"/>
    <hyperlink ref="E30" r:id="rId7" xr:uid="{00000000-0004-0000-0200-000006000000}"/>
    <hyperlink ref="E31" r:id="rId8" xr:uid="{00000000-0004-0000-0200-000007000000}"/>
    <hyperlink ref="E32" r:id="rId9" xr:uid="{00000000-0004-0000-0200-000008000000}"/>
    <hyperlink ref="E33" r:id="rId10" xr:uid="{00000000-0004-0000-0200-000009000000}"/>
    <hyperlink ref="E34" r:id="rId11" xr:uid="{00000000-0004-0000-0200-00000A000000}"/>
    <hyperlink ref="E35" r:id="rId12" xr:uid="{00000000-0004-0000-0200-00000B000000}"/>
  </hyperlinks>
  <pageMargins left="0.7" right="0.7" top="0.75" bottom="0.75" header="0.3" footer="0.3"/>
  <drawing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User guide</vt:lpstr>
      <vt:lpstr>Gantt chart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Sara</cp:lastModifiedBy>
  <dcterms:created xsi:type="dcterms:W3CDTF">2021-05-18T12:48:12Z</dcterms:created>
  <dcterms:modified xsi:type="dcterms:W3CDTF">2023-04-04T10:40:27Z</dcterms:modified>
</cp:coreProperties>
</file>