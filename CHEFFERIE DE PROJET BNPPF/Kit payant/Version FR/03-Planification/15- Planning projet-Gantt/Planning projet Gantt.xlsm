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D:\Freelance\BGDP\TODO\"/>
    </mc:Choice>
  </mc:AlternateContent>
  <xr:revisionPtr revIDLastSave="0" documentId="13_ncr:1_{ADCE92B7-C1D1-4592-8A6A-9BB9763B0742}" xr6:coauthVersionLast="47" xr6:coauthVersionMax="47" xr10:uidLastSave="{00000000-0000-0000-0000-000000000000}"/>
  <bookViews>
    <workbookView xWindow="-108" yWindow="-108" windowWidth="23256" windowHeight="12576" xr2:uid="{00000000-000D-0000-FFFF-FFFF00000000}"/>
  </bookViews>
  <sheets>
    <sheet name="Guide d'utilisation" sheetId="2" r:id="rId1"/>
    <sheet name="Diagramme de Gantt" sheetId="3" r:id="rId2"/>
    <sheet name="Ressources" sheetId="5" r:id="rId3"/>
  </sheets>
  <definedNames>
    <definedName name="constYac">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S15" i="3" l="1"/>
  <c r="AO15" i="3"/>
  <c r="AK15" i="3"/>
  <c r="AG15" i="3"/>
  <c r="AC15" i="3"/>
  <c r="Y15" i="3"/>
  <c r="U15" i="3"/>
  <c r="Q15" i="3"/>
  <c r="M15" i="3"/>
  <c r="L18" i="3"/>
  <c r="P18" i="3"/>
  <c r="T18" i="3"/>
  <c r="X18" i="3"/>
  <c r="AB18" i="3"/>
  <c r="AF18" i="3"/>
  <c r="AJ18" i="3"/>
  <c r="AN18" i="3"/>
  <c r="AR18" i="3"/>
  <c r="AV18" i="3"/>
  <c r="AZ18" i="3"/>
  <c r="BD18" i="3"/>
  <c r="BH18" i="3"/>
  <c r="K17" i="3"/>
  <c r="K15" i="3" s="1"/>
  <c r="L17" i="3"/>
  <c r="L15" i="3" s="1"/>
  <c r="M17" i="3"/>
  <c r="M18" i="3" s="1"/>
  <c r="N17" i="3"/>
  <c r="N18" i="3" s="1"/>
  <c r="O17" i="3"/>
  <c r="O15" i="3" s="1"/>
  <c r="P17" i="3"/>
  <c r="P15" i="3" s="1"/>
  <c r="Q17" i="3"/>
  <c r="Q18" i="3" s="1"/>
  <c r="R17" i="3"/>
  <c r="R18" i="3" s="1"/>
  <c r="S17" i="3"/>
  <c r="S15" i="3" s="1"/>
  <c r="T17" i="3"/>
  <c r="T15" i="3" s="1"/>
  <c r="U17" i="3"/>
  <c r="U18" i="3" s="1"/>
  <c r="V17" i="3"/>
  <c r="V18" i="3" s="1"/>
  <c r="W17" i="3"/>
  <c r="W15" i="3" s="1"/>
  <c r="X17" i="3"/>
  <c r="X15" i="3" s="1"/>
  <c r="Y17" i="3"/>
  <c r="Y18" i="3" s="1"/>
  <c r="Z17" i="3"/>
  <c r="Z18" i="3" s="1"/>
  <c r="AA17" i="3"/>
  <c r="AA15" i="3" s="1"/>
  <c r="AB17" i="3"/>
  <c r="AB15" i="3" s="1"/>
  <c r="AC17" i="3"/>
  <c r="AC18" i="3" s="1"/>
  <c r="AD17" i="3"/>
  <c r="AD18" i="3" s="1"/>
  <c r="AE17" i="3"/>
  <c r="AE15" i="3" s="1"/>
  <c r="AF17" i="3"/>
  <c r="AF15" i="3" s="1"/>
  <c r="AG17" i="3"/>
  <c r="AG18" i="3" s="1"/>
  <c r="AH17" i="3"/>
  <c r="AH18" i="3" s="1"/>
  <c r="AI17" i="3"/>
  <c r="AI15" i="3" s="1"/>
  <c r="AJ17" i="3"/>
  <c r="AJ15" i="3" s="1"/>
  <c r="AK17" i="3"/>
  <c r="AK18" i="3" s="1"/>
  <c r="AL17" i="3"/>
  <c r="AL18" i="3" s="1"/>
  <c r="AM17" i="3"/>
  <c r="AM15" i="3" s="1"/>
  <c r="AN17" i="3"/>
  <c r="AN15" i="3" s="1"/>
  <c r="AO17" i="3"/>
  <c r="AO18" i="3" s="1"/>
  <c r="AP17" i="3"/>
  <c r="AP18" i="3" s="1"/>
  <c r="AQ17" i="3"/>
  <c r="AQ15" i="3" s="1"/>
  <c r="AR17" i="3"/>
  <c r="AR15" i="3" s="1"/>
  <c r="AS17" i="3"/>
  <c r="AS18" i="3" s="1"/>
  <c r="AT17" i="3"/>
  <c r="AT18" i="3" s="1"/>
  <c r="AU17" i="3"/>
  <c r="AU15" i="3" s="1"/>
  <c r="AV17" i="3"/>
  <c r="AV15" i="3" s="1"/>
  <c r="AW17" i="3"/>
  <c r="AW18" i="3" s="1"/>
  <c r="AX17" i="3"/>
  <c r="AX18" i="3" s="1"/>
  <c r="AY17" i="3"/>
  <c r="AY15" i="3" s="1"/>
  <c r="AZ17" i="3"/>
  <c r="AZ15" i="3" s="1"/>
  <c r="BA17" i="3"/>
  <c r="BA15" i="3" s="1"/>
  <c r="BB17" i="3"/>
  <c r="BB18" i="3" s="1"/>
  <c r="BC17" i="3"/>
  <c r="BC15" i="3" s="1"/>
  <c r="BD17" i="3"/>
  <c r="BD15" i="3" s="1"/>
  <c r="BE17" i="3"/>
  <c r="BE18" i="3" s="1"/>
  <c r="BF17" i="3"/>
  <c r="BF18" i="3" s="1"/>
  <c r="BG17" i="3"/>
  <c r="BG15" i="3" s="1"/>
  <c r="BH17" i="3"/>
  <c r="BH15" i="3" s="1"/>
  <c r="BI17" i="3"/>
  <c r="BI15" i="3" s="1"/>
  <c r="BJ17" i="3"/>
  <c r="BJ18" i="3" s="1"/>
  <c r="BK17" i="3"/>
  <c r="BK15" i="3" s="1"/>
  <c r="I19" i="3"/>
  <c r="I31" i="3"/>
  <c r="I38" i="3"/>
  <c r="I54" i="3"/>
  <c r="I25" i="3"/>
  <c r="H20" i="3"/>
  <c r="F19" i="3"/>
  <c r="F18" i="3" s="1"/>
  <c r="F25" i="3"/>
  <c r="F31" i="3"/>
  <c r="F38" i="3"/>
  <c r="F54" i="3"/>
  <c r="H21" i="3"/>
  <c r="H36" i="3"/>
  <c r="H58" i="3"/>
  <c r="H22" i="3"/>
  <c r="H24" i="3"/>
  <c r="H57" i="3"/>
  <c r="H56" i="3"/>
  <c r="H55" i="3"/>
  <c r="H53" i="3"/>
  <c r="H52" i="3"/>
  <c r="H51" i="3"/>
  <c r="H50" i="3"/>
  <c r="H49" i="3"/>
  <c r="H48" i="3"/>
  <c r="H47" i="3"/>
  <c r="H46" i="3"/>
  <c r="H45" i="3"/>
  <c r="H44" i="3"/>
  <c r="H43" i="3"/>
  <c r="H42" i="3"/>
  <c r="H41" i="3"/>
  <c r="H40" i="3"/>
  <c r="H39" i="3"/>
  <c r="H37" i="3"/>
  <c r="H35" i="3"/>
  <c r="H34" i="3"/>
  <c r="H33" i="3"/>
  <c r="H32" i="3"/>
  <c r="H31" i="3" s="1"/>
  <c r="G31" i="3" s="1"/>
  <c r="H30" i="3"/>
  <c r="H29" i="3"/>
  <c r="H28" i="3"/>
  <c r="H27" i="3"/>
  <c r="H26" i="3"/>
  <c r="H25" i="3" s="1"/>
  <c r="G25" i="3" s="1"/>
  <c r="H23" i="3"/>
  <c r="H54" i="3"/>
  <c r="H38" i="3"/>
  <c r="G38" i="3"/>
  <c r="G54" i="3"/>
  <c r="BI18" i="3" l="1"/>
  <c r="BA18" i="3"/>
  <c r="AW15" i="3"/>
  <c r="BE15" i="3"/>
  <c r="BG18" i="3"/>
  <c r="AY18" i="3"/>
  <c r="AQ18" i="3"/>
  <c r="AI18" i="3"/>
  <c r="AA18" i="3"/>
  <c r="S18" i="3"/>
  <c r="K18" i="3"/>
  <c r="R15" i="3"/>
  <c r="Z15" i="3"/>
  <c r="AH15" i="3"/>
  <c r="AP15" i="3"/>
  <c r="AX15" i="3"/>
  <c r="BF15" i="3"/>
  <c r="BK18" i="3"/>
  <c r="BC18" i="3"/>
  <c r="AU18" i="3"/>
  <c r="AM18" i="3"/>
  <c r="AE18" i="3"/>
  <c r="W18" i="3"/>
  <c r="O18" i="3"/>
  <c r="N15" i="3"/>
  <c r="V15" i="3"/>
  <c r="AD15" i="3"/>
  <c r="AL15" i="3"/>
  <c r="AT15" i="3"/>
  <c r="BB15" i="3"/>
  <c r="BJ15" i="3"/>
  <c r="I59" i="3"/>
  <c r="I18" i="3"/>
  <c r="H19" i="3"/>
  <c r="G19" i="3" s="1"/>
  <c r="H18" i="3" l="1"/>
  <c r="G18" i="3" s="1"/>
</calcChain>
</file>

<file path=xl/sharedStrings.xml><?xml version="1.0" encoding="utf-8"?>
<sst xmlns="http://schemas.openxmlformats.org/spreadsheetml/2006/main" count="288" uniqueCount="212">
  <si>
    <t>Date de début du projet</t>
  </si>
  <si>
    <t>Date de fin de projet planifiée</t>
  </si>
  <si>
    <t>Date de fin de projet estimée</t>
  </si>
  <si>
    <t>Attribuée à</t>
  </si>
  <si>
    <t>Début</t>
  </si>
  <si>
    <t>Progression</t>
  </si>
  <si>
    <t>Initialisation</t>
  </si>
  <si>
    <t>1.0</t>
  </si>
  <si>
    <t>Etude d'opportunité et approbation</t>
  </si>
  <si>
    <t>Planification</t>
  </si>
  <si>
    <t>2.1</t>
  </si>
  <si>
    <t>Réalisation</t>
  </si>
  <si>
    <t>3.1</t>
  </si>
  <si>
    <t>Contrôle et suivi</t>
  </si>
  <si>
    <t>4.1</t>
  </si>
  <si>
    <t>5.1</t>
  </si>
  <si>
    <t>Estimation avancement projet</t>
  </si>
  <si>
    <t>Conception générale</t>
  </si>
  <si>
    <t>Implémentation nouveaux processus</t>
  </si>
  <si>
    <t xml:space="preserve">Paramétrage et tests unitaires </t>
  </si>
  <si>
    <t>Tests d'intégration et de consolidation</t>
  </si>
  <si>
    <t>Clôture mensuelle</t>
  </si>
  <si>
    <t>Liste des corrections</t>
  </si>
  <si>
    <t>ID :</t>
  </si>
  <si>
    <t>Activité/Tâche:</t>
  </si>
  <si>
    <t>Renseignez le nom de la tâche ou de l'activité</t>
  </si>
  <si>
    <t>Dépendance:</t>
  </si>
  <si>
    <t>Attribué à:</t>
  </si>
  <si>
    <t>Durée/j:</t>
  </si>
  <si>
    <t xml:space="preserve">Renseignez la durée de la tâche en jours
</t>
  </si>
  <si>
    <t>Indiquez la date de début de la tâche</t>
  </si>
  <si>
    <t>Date limite:</t>
  </si>
  <si>
    <t>Nom / Code projet</t>
  </si>
  <si>
    <t>Projet 1/ABC</t>
  </si>
  <si>
    <t>Date de création</t>
  </si>
  <si>
    <t>Référence</t>
  </si>
  <si>
    <t>Programme PG01/Portfolio PF02</t>
  </si>
  <si>
    <t>Date de la version</t>
  </si>
  <si>
    <t>Chef de projet</t>
  </si>
  <si>
    <t>Mme.Dupont</t>
  </si>
  <si>
    <t>Numéro de version</t>
  </si>
  <si>
    <t>V2.3</t>
  </si>
  <si>
    <t>Service/Organisation</t>
  </si>
  <si>
    <t>Marketing/ Société XY</t>
  </si>
  <si>
    <t>ID</t>
  </si>
  <si>
    <t>Durée/j</t>
  </si>
  <si>
    <t>Deadline</t>
  </si>
  <si>
    <t>Chantal Dupont</t>
  </si>
  <si>
    <t>1.1</t>
  </si>
  <si>
    <t>Préparation de la Charte Projet - Justification</t>
  </si>
  <si>
    <t>1.2</t>
  </si>
  <si>
    <t>Monique Davant</t>
  </si>
  <si>
    <t>1.3</t>
  </si>
  <si>
    <t>Denise Attali</t>
  </si>
  <si>
    <t>1.4</t>
  </si>
  <si>
    <t>Jean Albert</t>
  </si>
  <si>
    <t>Rédaction de la Charte Projet</t>
  </si>
  <si>
    <t>Approbation de la Charte Projet</t>
  </si>
  <si>
    <t>2.2</t>
  </si>
  <si>
    <t>2.3</t>
  </si>
  <si>
    <t>2.4</t>
  </si>
  <si>
    <t>2.5</t>
  </si>
  <si>
    <t>Rédaction du cahier des charges</t>
  </si>
  <si>
    <t>Etablissement du Planning</t>
  </si>
  <si>
    <t>Etablissement Plan de Communication</t>
  </si>
  <si>
    <t>Approbation Cahier des charges,Plan de communication, Plan de projet et Planning</t>
  </si>
  <si>
    <t>3.2</t>
  </si>
  <si>
    <t>3.3</t>
  </si>
  <si>
    <t>3.4</t>
  </si>
  <si>
    <t>3.5</t>
  </si>
  <si>
    <t>3.6</t>
  </si>
  <si>
    <t>Paramétrage et corrections Master Data</t>
  </si>
  <si>
    <t>Paramétrage, programmation et test Production</t>
  </si>
  <si>
    <t xml:space="preserve">Tests, corrections et validation du système </t>
  </si>
  <si>
    <t>Validation officielle par les utilisateurs</t>
  </si>
  <si>
    <t>Validation de la phase par le comité de direction</t>
  </si>
  <si>
    <t xml:space="preserve"> </t>
  </si>
  <si>
    <t>4.2</t>
  </si>
  <si>
    <t>4.3</t>
  </si>
  <si>
    <t>4.4</t>
  </si>
  <si>
    <t>4.5</t>
  </si>
  <si>
    <t>4.6</t>
  </si>
  <si>
    <t>4.7</t>
  </si>
  <si>
    <t>4.8</t>
  </si>
  <si>
    <t>4.9</t>
  </si>
  <si>
    <t>4.10</t>
  </si>
  <si>
    <t>4.11</t>
  </si>
  <si>
    <t>4.12</t>
  </si>
  <si>
    <t>4.13</t>
  </si>
  <si>
    <t>4.14</t>
  </si>
  <si>
    <t>4.15</t>
  </si>
  <si>
    <t xml:space="preserve">Tests d'intégration et consolidation, validation du système </t>
  </si>
  <si>
    <t>Préparation et validation environnement pré-productif</t>
  </si>
  <si>
    <t>Déploiement</t>
  </si>
  <si>
    <t>Basculement et validation</t>
  </si>
  <si>
    <t>Validation Master Data</t>
  </si>
  <si>
    <t>Validation par les utilisateurs</t>
  </si>
  <si>
    <t>Décision de démarrage productif</t>
  </si>
  <si>
    <t>Démarrage productif</t>
  </si>
  <si>
    <t>Suivi bon fonctionnement, documentation et corrections</t>
  </si>
  <si>
    <t>Corrections Master Data</t>
  </si>
  <si>
    <t>Suivi par les utilisateurs</t>
  </si>
  <si>
    <t>PV Accusé de réception</t>
  </si>
  <si>
    <t>Clôture</t>
  </si>
  <si>
    <t>1,2,3,4</t>
  </si>
  <si>
    <t>5.2</t>
  </si>
  <si>
    <t>5.3</t>
  </si>
  <si>
    <t>5.4</t>
  </si>
  <si>
    <t>Documentation leçons apprises Projet</t>
  </si>
  <si>
    <t>Plan de corrections</t>
  </si>
  <si>
    <t>Réunion de clôture</t>
  </si>
  <si>
    <t xml:space="preserve">Estimation coûts/délais </t>
  </si>
  <si>
    <t>2.2-2,4</t>
  </si>
  <si>
    <t>3.1-3.3</t>
  </si>
  <si>
    <t>5.1-5.3</t>
  </si>
  <si>
    <t>Remplir la feuille "Diagramme de Gantt" comme suit :</t>
  </si>
  <si>
    <t>Renseignez l'ID de  votre tâche/activité en tenant compte son niveau dans le WBS</t>
  </si>
  <si>
    <t>Mettez l'ID des tâches/activités avec lesquelles cette tâche a une dépendance</t>
  </si>
  <si>
    <t>Cette information est calculée automatiquement en fonction de la date de début et de la durée</t>
  </si>
  <si>
    <t>Nom</t>
  </si>
  <si>
    <t>Rôle</t>
  </si>
  <si>
    <t>Adresse email</t>
  </si>
  <si>
    <t>Téléphone</t>
  </si>
  <si>
    <t>Chef de Projet</t>
  </si>
  <si>
    <t>DupontC@confassis.com</t>
  </si>
  <si>
    <t>Olivier Robespierre</t>
  </si>
  <si>
    <t>Sponsor</t>
  </si>
  <si>
    <t>RobespierreO@confassis.com</t>
  </si>
  <si>
    <t>Jacques Meunier</t>
  </si>
  <si>
    <t>Responsable Intégration</t>
  </si>
  <si>
    <t>MeunierJ@confassis.com</t>
  </si>
  <si>
    <t>Coordinatrice Finances</t>
  </si>
  <si>
    <t>DavantM@confassis.com</t>
  </si>
  <si>
    <t>Coordinatrice Ventes</t>
  </si>
  <si>
    <t>AttaliD@confassis.com</t>
  </si>
  <si>
    <t>Coordinateur Achats</t>
  </si>
  <si>
    <t>AlbertJ@confassis.com</t>
  </si>
  <si>
    <t>Eric Duteil</t>
  </si>
  <si>
    <t>Coordinateur Logistique</t>
  </si>
  <si>
    <t>DuteilE@confassis.com</t>
  </si>
  <si>
    <t>Daniel Château</t>
  </si>
  <si>
    <t>Directeur Informatique</t>
  </si>
  <si>
    <t>ChateauD@confassis.com</t>
  </si>
  <si>
    <t>Responsable du Changement</t>
  </si>
  <si>
    <t>DupuisB@confassis.com</t>
  </si>
  <si>
    <t>Marianne Anselme</t>
  </si>
  <si>
    <t>Expert SAP Finances FI/CO</t>
  </si>
  <si>
    <t>AnselmeM@confassis.com</t>
  </si>
  <si>
    <t>Gérard Lourte</t>
  </si>
  <si>
    <t>Expert SAP Finances Immobilisations</t>
  </si>
  <si>
    <t>LourteG@confassis.com</t>
  </si>
  <si>
    <t>Marcel Poste</t>
  </si>
  <si>
    <t>Expert SAP Ventes</t>
  </si>
  <si>
    <t>PosteM@confassis.com</t>
  </si>
  <si>
    <t>Bernard Tassin</t>
  </si>
  <si>
    <t>TassinB@confassis.com</t>
  </si>
  <si>
    <t>Edouard Leperre</t>
  </si>
  <si>
    <t>Expert SAP Achats</t>
  </si>
  <si>
    <t>LeperreE@confassis.com</t>
  </si>
  <si>
    <t>Carine Refour</t>
  </si>
  <si>
    <t>RefourC@confassis.com</t>
  </si>
  <si>
    <t>Henri Saulnier</t>
  </si>
  <si>
    <t>Expert SAP Logistique</t>
  </si>
  <si>
    <t>SaulnierH@confassis.com</t>
  </si>
  <si>
    <t>Marc Ellin</t>
  </si>
  <si>
    <t>EllinM@confassis.com</t>
  </si>
  <si>
    <t>Juliette Binot</t>
  </si>
  <si>
    <t>Experte Master Data</t>
  </si>
  <si>
    <t>BinotJ@confassis.com</t>
  </si>
  <si>
    <t>Antoine Fleur</t>
  </si>
  <si>
    <t>Expert Master Data</t>
  </si>
  <si>
    <t>FleurA@confassis.com</t>
  </si>
  <si>
    <t>Georges Clonet</t>
  </si>
  <si>
    <t>Coordinateur Production</t>
  </si>
  <si>
    <t>ClonetG@confassis.com</t>
  </si>
  <si>
    <t>Utilisateurs CMRL</t>
  </si>
  <si>
    <t>Testeurs et valideurs</t>
  </si>
  <si>
    <t>Bernard Dupuis</t>
  </si>
  <si>
    <t>WBS - Activité / tâche</t>
  </si>
  <si>
    <t>I. Exploitation du fichier</t>
  </si>
  <si>
    <t>II. Personnalisation du fichier</t>
  </si>
  <si>
    <t>Ajout d'une tâche</t>
  </si>
  <si>
    <t>1. Rendez-vous dans la feuille "Diagramme de Gantt"</t>
  </si>
  <si>
    <t>2. Insérez une ligne là où vous souhaitez ajouter une tâche</t>
  </si>
  <si>
    <t>4. Complétez la ligne manuellement (ressources, début, durée). Pour la "deadline", Il faut simplement copier le champ supérieur et le coller dans le nouveau champ pour calquer le calcul automatique. Puis renseignez le pourcentage de progression manuellement.</t>
  </si>
  <si>
    <t>Remplissez les colonnes suivantes:</t>
  </si>
  <si>
    <r>
      <t>Renseignez le nom de la ressource à partir de la liste déroulante. 
Vous pouvez ajouter vos ressources, en remplacant les noms existants sur la</t>
    </r>
    <r>
      <rPr>
        <b/>
        <sz val="12"/>
        <color theme="1"/>
        <rFont val="Candara"/>
        <family val="2"/>
      </rPr>
      <t xml:space="preserve"> feuille "Ressources"</t>
    </r>
    <r>
      <rPr>
        <sz val="12"/>
        <color theme="1"/>
        <rFont val="Candara"/>
        <family val="2"/>
      </rPr>
      <t>. Pour ajouter d'autres noms, il suffit de l'ajouter en bas de liste.</t>
    </r>
  </si>
  <si>
    <t>Assurez-vous que les macros sont activées pour le bon fonctionnement du template.</t>
  </si>
  <si>
    <t>Utilisation du template du planning de projet-Gantt</t>
  </si>
  <si>
    <t>FORMATION DES UTILISATEURS</t>
  </si>
  <si>
    <t>Dépendance</t>
  </si>
  <si>
    <t>3. Renseigner les dépendances (prédécésseurs) de la tâche en notant</t>
  </si>
  <si>
    <t>WBS : Work Breakdown Structure ou Structure de Découpage du Projet</t>
  </si>
  <si>
    <r>
      <rPr>
        <b/>
        <sz val="14"/>
        <color rgb="FFFF0000"/>
        <rFont val="Candara"/>
        <family val="2"/>
      </rPr>
      <t>Attention</t>
    </r>
    <r>
      <rPr>
        <sz val="12"/>
        <color theme="1"/>
        <rFont val="Candara"/>
        <family val="2"/>
      </rPr>
      <t xml:space="preserve"> : Si vous prévoyez des tâches simultanées ou qui se chevauchent, pensez à modifier manuellement la deadline pour que la ressource ne soit pas "surbookée".</t>
    </r>
  </si>
  <si>
    <t>Echelle de temps</t>
  </si>
  <si>
    <t>Renseignez le % de progression de la tâche. Par défaut la progression est 0%. La cellule est coloriée automatiquement selon la progression
En fonction de ces informations le calendrier est automatiquement dressé</t>
  </si>
  <si>
    <t>Notez que vous pouvez afficher plus de semaines en utilisant le scroll droit et gauche, comme vous pouvez changer l'échelle de temps de "jours" à "semaine" à "mois" :</t>
  </si>
  <si>
    <t>Vous pouvez également afficher la date du jour en cliquant sur le bouton en vert, et ce, quel que soit votre progression dans le temps :</t>
  </si>
  <si>
    <t>Date de début du projet :</t>
  </si>
  <si>
    <t xml:space="preserve">Mettez la date du début de votre projet. En actualisant cette date, le calendrier se mettra à jour. </t>
  </si>
  <si>
    <t>Déc-2022</t>
  </si>
  <si>
    <t>Jan-2022</t>
  </si>
  <si>
    <t>Fév-2022</t>
  </si>
  <si>
    <t>Mar-2022</t>
  </si>
  <si>
    <t>Avr-2022</t>
  </si>
  <si>
    <t>Mai-2022</t>
  </si>
  <si>
    <t>Juin-2022</t>
  </si>
  <si>
    <t>Juil-2022</t>
  </si>
  <si>
    <t>Août-2022</t>
  </si>
  <si>
    <t>Sep-2022</t>
  </si>
  <si>
    <t>Oct-2022</t>
  </si>
  <si>
    <t>Nov-2022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</si>
</sst>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quot; &quot;00&quot; &quot;00&quot; &quot;00"/>
    <numFmt numFmtId="166" formatCode=";;;"/>
  </numFmts>
  <fonts count="38" x14ac:knownFonts="1">
    <font>
      <sz val="11"/>
      <color theme="1"/>
      <name val="Calibri"/>
      <family val="2"/>
      <scheme val="minor"/>
    </font>
    <font>
      <sz val="11"/>
      <color theme="1"/>
      <name val="Calibri"/>
      <family val="2"/>
      <scheme val="minor"/>
    </font>
    <font>
      <sz val="9"/>
      <color theme="1"/>
      <name val="Arial"/>
      <family val="2"/>
    </font>
    <font>
      <b/>
      <sz val="9"/>
      <name val="Candara"/>
      <family val="2"/>
    </font>
    <font>
      <b/>
      <sz val="9"/>
      <color theme="1"/>
      <name val="Arial"/>
      <family val="2"/>
    </font>
    <font>
      <b/>
      <sz val="9"/>
      <color theme="1"/>
      <name val="Candara"/>
      <family val="2"/>
    </font>
    <font>
      <sz val="9"/>
      <name val="Arial"/>
      <family val="2"/>
    </font>
    <font>
      <sz val="11"/>
      <color theme="1"/>
      <name val="Candara"/>
      <family val="2"/>
    </font>
    <font>
      <b/>
      <sz val="18"/>
      <color theme="1"/>
      <name val="Candara"/>
      <family val="2"/>
    </font>
    <font>
      <b/>
      <sz val="11"/>
      <color theme="1"/>
      <name val="Candara"/>
      <family val="2"/>
    </font>
    <font>
      <b/>
      <sz val="14"/>
      <color theme="1"/>
      <name val="Candara"/>
      <family val="2"/>
    </font>
    <font>
      <sz val="12"/>
      <color theme="1"/>
      <name val="Candara"/>
      <family val="2"/>
    </font>
    <font>
      <b/>
      <sz val="12"/>
      <color theme="1"/>
      <name val="Candara"/>
      <family val="2"/>
    </font>
    <font>
      <b/>
      <sz val="20"/>
      <color rgb="FF62BD8A"/>
      <name val="Candara"/>
      <family val="2"/>
    </font>
    <font>
      <b/>
      <sz val="12"/>
      <color rgb="FF439B69"/>
      <name val="Candara"/>
      <family val="2"/>
    </font>
    <font>
      <b/>
      <sz val="16"/>
      <color rgb="FF62BD8A"/>
      <name val="Candara"/>
      <family val="2"/>
    </font>
    <font>
      <b/>
      <sz val="18"/>
      <color rgb="FF62BD8A"/>
      <name val="Candara"/>
      <family val="2"/>
    </font>
    <font>
      <b/>
      <sz val="11"/>
      <color rgb="FF439B69"/>
      <name val="Candara"/>
      <family val="2"/>
    </font>
    <font>
      <sz val="11"/>
      <color rgb="FF439B69"/>
      <name val="Candara"/>
      <family val="2"/>
    </font>
    <font>
      <sz val="11"/>
      <color rgb="FFFF0000"/>
      <name val="Candara"/>
      <family val="2"/>
    </font>
    <font>
      <sz val="14"/>
      <color rgb="FFFF0000"/>
      <name val="Calibri"/>
      <family val="2"/>
    </font>
    <font>
      <b/>
      <sz val="11"/>
      <color rgb="FF000000"/>
      <name val="Calibri"/>
      <family val="2"/>
    </font>
    <font>
      <u/>
      <sz val="12"/>
      <color theme="10"/>
      <name val="Calibri"/>
      <family val="2"/>
      <scheme val="minor"/>
    </font>
    <font>
      <sz val="11"/>
      <color rgb="FF000000"/>
      <name val="Calibri"/>
      <family val="2"/>
    </font>
    <font>
      <b/>
      <sz val="10"/>
      <color rgb="FF000000"/>
      <name val="Calibri"/>
      <family val="2"/>
    </font>
    <font>
      <sz val="11"/>
      <name val="Candara"/>
      <family val="2"/>
    </font>
    <font>
      <b/>
      <sz val="10"/>
      <color theme="0"/>
      <name val="Calibri"/>
      <family val="2"/>
    </font>
    <font>
      <sz val="11"/>
      <name val="Calibri"/>
      <family val="2"/>
      <scheme val="minor"/>
    </font>
    <font>
      <b/>
      <sz val="11"/>
      <color rgb="FF62BD8A"/>
      <name val="Candara"/>
      <family val="2"/>
    </font>
    <font>
      <b/>
      <sz val="16"/>
      <color theme="1"/>
      <name val="Candara"/>
      <family val="2"/>
    </font>
    <font>
      <b/>
      <sz val="14"/>
      <color rgb="FFFF0000"/>
      <name val="Candara"/>
      <family val="2"/>
    </font>
    <font>
      <sz val="8"/>
      <color rgb="FF000000"/>
      <name val="Segoe UI"/>
      <family val="2"/>
    </font>
    <font>
      <b/>
      <sz val="10"/>
      <color rgb="FF439B69"/>
      <name val="Arial"/>
      <family val="2"/>
    </font>
    <font>
      <sz val="8"/>
      <name val="Arial"/>
      <family val="2"/>
    </font>
    <font>
      <sz val="8"/>
      <color theme="1"/>
      <name val="Candara"/>
      <family val="2"/>
    </font>
    <font>
      <sz val="11"/>
      <color rgb="FFFFFFFF"/>
      <name val="Calibri"/>
      <family val="2"/>
      <scheme val="minor"/>
    </font>
    <font>
      <sz val="11"/>
      <color rgb="FF000000"/>
      <name val="Candara"/>
      <family val="2"/>
    </font>
    <font>
      <sz val="8"/>
      <color rgb="FFFFFFFF"/>
      <name val="Calibri"/>
      <family val="2"/>
      <scheme val="minor"/>
    </font>
  </fonts>
  <fills count="8">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439B69"/>
        <bgColor indexed="64"/>
      </patternFill>
    </fill>
    <fill>
      <patternFill patternType="solid">
        <fgColor rgb="FF62BD8A"/>
        <bgColor indexed="64"/>
      </patternFill>
    </fill>
    <fill>
      <patternFill patternType="solid">
        <fgColor theme="2" tint="-9.9978637043366805E-2"/>
        <bgColor indexed="64"/>
      </patternFill>
    </fill>
  </fills>
  <borders count="50">
    <border>
      <left/>
      <right/>
      <top/>
      <bottom/>
      <diagonal/>
    </border>
    <border>
      <left style="thin">
        <color theme="1"/>
      </left>
      <right/>
      <top/>
      <bottom/>
      <diagonal/>
    </border>
    <border>
      <left/>
      <right/>
      <top style="thin">
        <color theme="1"/>
      </top>
      <bottom style="thin">
        <color theme="1"/>
      </bottom>
      <diagonal/>
    </border>
    <border>
      <left style="thin">
        <color theme="0"/>
      </left>
      <right style="thin">
        <color theme="0"/>
      </right>
      <top style="thin">
        <color theme="0"/>
      </top>
      <bottom style="thin">
        <color theme="0"/>
      </bottom>
      <diagonal/>
    </border>
    <border>
      <left/>
      <right style="thin">
        <color rgb="FF62BD8A"/>
      </right>
      <top/>
      <bottom style="thin">
        <color rgb="FF439B69"/>
      </bottom>
      <diagonal/>
    </border>
    <border>
      <left style="thin">
        <color rgb="FF62BD8A"/>
      </left>
      <right style="thin">
        <color rgb="FF62BD8A"/>
      </right>
      <top style="thin">
        <color rgb="FF62BD8A"/>
      </top>
      <bottom style="thin">
        <color rgb="FF62BD8A"/>
      </bottom>
      <diagonal/>
    </border>
    <border>
      <left style="thin">
        <color rgb="FF439B69"/>
      </left>
      <right/>
      <top style="thin">
        <color rgb="FF439B69"/>
      </top>
      <bottom style="thin">
        <color rgb="FF439B69"/>
      </bottom>
      <diagonal/>
    </border>
    <border>
      <left/>
      <right style="thin">
        <color rgb="FF439B69"/>
      </right>
      <top style="thin">
        <color rgb="FF439B69"/>
      </top>
      <bottom style="thin">
        <color rgb="FF439B69"/>
      </bottom>
      <diagonal/>
    </border>
    <border>
      <left/>
      <right/>
      <top/>
      <bottom style="thin">
        <color rgb="FF439B69"/>
      </bottom>
      <diagonal/>
    </border>
    <border>
      <left/>
      <right style="thin">
        <color rgb="FF439B69"/>
      </right>
      <top/>
      <bottom style="thin">
        <color rgb="FF439B69"/>
      </bottom>
      <diagonal/>
    </border>
    <border>
      <left/>
      <right/>
      <top style="thin">
        <color rgb="FF439B69"/>
      </top>
      <bottom style="thin">
        <color rgb="FF439B69"/>
      </bottom>
      <diagonal/>
    </border>
    <border>
      <left/>
      <right/>
      <top style="thin">
        <color rgb="FF439B69"/>
      </top>
      <bottom/>
      <diagonal/>
    </border>
    <border>
      <left style="medium">
        <color rgb="FF439B69"/>
      </left>
      <right/>
      <top style="medium">
        <color rgb="FF439B69"/>
      </top>
      <bottom style="medium">
        <color rgb="FF439B69"/>
      </bottom>
      <diagonal/>
    </border>
    <border>
      <left/>
      <right style="medium">
        <color rgb="FF439B69"/>
      </right>
      <top style="medium">
        <color rgb="FF439B69"/>
      </top>
      <bottom style="medium">
        <color rgb="FF439B69"/>
      </bottom>
      <diagonal/>
    </border>
    <border>
      <left/>
      <right/>
      <top style="medium">
        <color rgb="FF439B69"/>
      </top>
      <bottom style="medium">
        <color rgb="FF439B69"/>
      </bottom>
      <diagonal/>
    </border>
    <border>
      <left style="medium">
        <color rgb="FF439B69"/>
      </left>
      <right/>
      <top/>
      <bottom/>
      <diagonal/>
    </border>
    <border>
      <left style="thin">
        <color theme="1"/>
      </left>
      <right style="medium">
        <color rgb="FF439B69"/>
      </right>
      <top/>
      <bottom/>
      <diagonal/>
    </border>
    <border>
      <left style="medium">
        <color rgb="FF439B69"/>
      </left>
      <right/>
      <top/>
      <bottom style="medium">
        <color rgb="FF439B69"/>
      </bottom>
      <diagonal/>
    </border>
    <border>
      <left style="medium">
        <color rgb="FF439B69"/>
      </left>
      <right/>
      <top/>
      <bottom style="thin">
        <color rgb="FF62BD8A"/>
      </bottom>
      <diagonal/>
    </border>
    <border>
      <left/>
      <right/>
      <top/>
      <bottom style="thin">
        <color rgb="FF62BD8A"/>
      </bottom>
      <diagonal/>
    </border>
    <border>
      <left/>
      <right style="medium">
        <color rgb="FF439B69"/>
      </right>
      <top/>
      <bottom style="thin">
        <color rgb="FF62BD8A"/>
      </bottom>
      <diagonal/>
    </border>
    <border>
      <left style="medium">
        <color rgb="FF439B69"/>
      </left>
      <right style="thin">
        <color rgb="FF62BD8A"/>
      </right>
      <top style="thin">
        <color rgb="FF62BD8A"/>
      </top>
      <bottom style="thin">
        <color rgb="FF62BD8A"/>
      </bottom>
      <diagonal/>
    </border>
    <border>
      <left style="thin">
        <color rgb="FF62BD8A"/>
      </left>
      <right style="medium">
        <color rgb="FF439B69"/>
      </right>
      <top style="thin">
        <color rgb="FF62BD8A"/>
      </top>
      <bottom style="thin">
        <color rgb="FF62BD8A"/>
      </bottom>
      <diagonal/>
    </border>
    <border>
      <left style="medium">
        <color rgb="FF439B69"/>
      </left>
      <right/>
      <top style="medium">
        <color rgb="FF439B69"/>
      </top>
      <bottom style="thin">
        <color theme="1"/>
      </bottom>
      <diagonal/>
    </border>
    <border>
      <left/>
      <right/>
      <top style="medium">
        <color rgb="FF439B69"/>
      </top>
      <bottom style="thin">
        <color theme="1"/>
      </bottom>
      <diagonal/>
    </border>
    <border>
      <left/>
      <right style="medium">
        <color rgb="FF439B69"/>
      </right>
      <top style="medium">
        <color rgb="FF439B69"/>
      </top>
      <bottom style="thin">
        <color theme="1"/>
      </bottom>
      <diagonal/>
    </border>
    <border>
      <left style="medium">
        <color rgb="FF439B69"/>
      </left>
      <right/>
      <top style="thin">
        <color theme="1"/>
      </top>
      <bottom style="thin">
        <color theme="1"/>
      </bottom>
      <diagonal/>
    </border>
    <border>
      <left/>
      <right style="medium">
        <color rgb="FF439B69"/>
      </right>
      <top style="thin">
        <color theme="1"/>
      </top>
      <bottom style="thin">
        <color theme="1"/>
      </bottom>
      <diagonal/>
    </border>
    <border>
      <left style="thin">
        <color rgb="FF62BD8A"/>
      </left>
      <right/>
      <top/>
      <bottom style="thin">
        <color rgb="FF62BD8A"/>
      </bottom>
      <diagonal/>
    </border>
    <border>
      <left style="medium">
        <color rgb="FF439B69"/>
      </left>
      <right style="medium">
        <color rgb="FF439B69"/>
      </right>
      <top/>
      <bottom style="medium">
        <color rgb="FF439B69"/>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right style="thin">
        <color rgb="FF439B69"/>
      </right>
      <top/>
      <bottom style="thin">
        <color rgb="FF62BD8A"/>
      </bottom>
      <diagonal/>
    </border>
    <border>
      <left/>
      <right style="thin">
        <color rgb="FF62BD8A"/>
      </right>
      <top style="thin">
        <color rgb="FF62BD8A"/>
      </top>
      <bottom style="thin">
        <color rgb="FF62BD8A"/>
      </bottom>
      <diagonal/>
    </border>
    <border>
      <left style="thin">
        <color rgb="FF439B69"/>
      </left>
      <right style="thin">
        <color rgb="FF62BD8A"/>
      </right>
      <top style="thin">
        <color rgb="FF62BD8A"/>
      </top>
      <bottom style="thin">
        <color rgb="FF62BD8A"/>
      </bottom>
      <diagonal/>
    </border>
    <border>
      <left style="thin">
        <color rgb="FF62BD8A"/>
      </left>
      <right/>
      <top style="thin">
        <color rgb="FF62BD8A"/>
      </top>
      <bottom style="thin">
        <color rgb="FF62BD8A"/>
      </bottom>
      <diagonal/>
    </border>
    <border>
      <left style="thin">
        <color theme="0"/>
      </left>
      <right/>
      <top style="thin">
        <color rgb="FF62BD8A"/>
      </top>
      <bottom style="thin">
        <color rgb="FF62BD8A"/>
      </bottom>
      <diagonal/>
    </border>
    <border>
      <left style="thin">
        <color theme="0"/>
      </left>
      <right style="thin">
        <color theme="0"/>
      </right>
      <top style="thin">
        <color theme="0"/>
      </top>
      <bottom/>
      <diagonal/>
    </border>
    <border>
      <left style="medium">
        <color rgb="FF439B69"/>
      </left>
      <right/>
      <top style="medium">
        <color rgb="FF439B69"/>
      </top>
      <bottom/>
      <diagonal/>
    </border>
    <border>
      <left/>
      <right/>
      <top style="medium">
        <color rgb="FF439B69"/>
      </top>
      <bottom/>
      <diagonal/>
    </border>
    <border>
      <left/>
      <right/>
      <top/>
      <bottom style="medium">
        <color rgb="FF439B69"/>
      </bottom>
      <diagonal/>
    </border>
    <border>
      <left/>
      <right style="medium">
        <color rgb="FF439B69"/>
      </right>
      <top/>
      <bottom style="medium">
        <color rgb="FF439B69"/>
      </bottom>
      <diagonal/>
    </border>
    <border>
      <left/>
      <right style="medium">
        <color rgb="FF439B69"/>
      </right>
      <top style="medium">
        <color rgb="FF439B69"/>
      </top>
      <bottom/>
      <diagonal/>
    </border>
    <border>
      <left/>
      <right style="medium">
        <color rgb="FF439B69"/>
      </right>
      <top/>
      <bottom/>
      <diagonal/>
    </border>
    <border>
      <left style="medium">
        <color rgb="FF439B69"/>
      </left>
      <right style="thin">
        <color rgb="FF7F7F7F"/>
      </right>
      <top/>
      <bottom/>
      <diagonal/>
    </border>
    <border>
      <left style="thin">
        <color rgb="FF7F7F7F"/>
      </left>
      <right style="thin">
        <color rgb="FF7F7F7F"/>
      </right>
      <top/>
      <bottom/>
      <diagonal/>
    </border>
    <border>
      <left style="thin">
        <color rgb="FF7F7F7F"/>
      </left>
      <right style="medium">
        <color rgb="FF439B69"/>
      </right>
      <top/>
      <bottom/>
      <diagonal/>
    </border>
    <border>
      <left style="medium">
        <color rgb="FF439B69"/>
      </left>
      <right style="thin">
        <color rgb="FF7F7F7F"/>
      </right>
      <top/>
      <bottom style="medium">
        <color rgb="FF439B69"/>
      </bottom>
      <diagonal/>
    </border>
    <border>
      <left style="thin">
        <color rgb="FF7F7F7F"/>
      </left>
      <right style="thin">
        <color rgb="FF7F7F7F"/>
      </right>
      <top/>
      <bottom style="medium">
        <color rgb="FF439B69"/>
      </bottom>
      <diagonal/>
    </border>
    <border>
      <left style="thin">
        <color rgb="FF7F7F7F"/>
      </left>
      <right style="medium">
        <color rgb="FF439B69"/>
      </right>
      <top/>
      <bottom style="medium">
        <color rgb="FF439B69"/>
      </bottom>
      <diagonal/>
    </border>
  </borders>
  <cellStyleXfs count="3">
    <xf numFmtId="0" fontId="0" fillId="0" borderId="0"/>
    <xf numFmtId="9" fontId="1" fillId="0" borderId="0" applyFont="0" applyFill="0" applyBorder="0" applyAlignment="0" applyProtection="0"/>
    <xf numFmtId="0" fontId="22" fillId="0" borderId="0" applyNumberFormat="0" applyFill="0" applyBorder="0" applyAlignment="0" applyProtection="0"/>
  </cellStyleXfs>
  <cellXfs count="150">
    <xf numFmtId="0" fontId="0" fillId="0" borderId="0" xfId="0"/>
    <xf numFmtId="0" fontId="2" fillId="2" borderId="0" xfId="0" applyFont="1" applyFill="1" applyProtection="1">
      <protection locked="0"/>
    </xf>
    <xf numFmtId="0" fontId="6" fillId="2" borderId="2" xfId="0" applyFont="1" applyFill="1" applyBorder="1" applyProtection="1">
      <protection locked="0"/>
    </xf>
    <xf numFmtId="0" fontId="2" fillId="2" borderId="3" xfId="0" applyFont="1" applyFill="1" applyBorder="1" applyProtection="1">
      <protection locked="0"/>
    </xf>
    <xf numFmtId="0" fontId="7" fillId="2" borderId="0" xfId="0" applyFont="1" applyFill="1"/>
    <xf numFmtId="0" fontId="7" fillId="0" borderId="0" xfId="0" applyFont="1"/>
    <xf numFmtId="0" fontId="8" fillId="2" borderId="0" xfId="0" applyFont="1" applyFill="1"/>
    <xf numFmtId="0" fontId="7" fillId="2" borderId="0" xfId="0" applyFont="1" applyFill="1" applyAlignment="1">
      <alignment vertical="top"/>
    </xf>
    <xf numFmtId="0" fontId="7" fillId="0" borderId="0" xfId="0" applyFont="1" applyAlignment="1">
      <alignment vertical="top"/>
    </xf>
    <xf numFmtId="0" fontId="10" fillId="2" borderId="0" xfId="0" applyFont="1" applyFill="1"/>
    <xf numFmtId="0" fontId="11" fillId="2" borderId="0" xfId="0" applyFont="1" applyFill="1"/>
    <xf numFmtId="0" fontId="12" fillId="2" borderId="0" xfId="0" applyFont="1" applyFill="1"/>
    <xf numFmtId="0" fontId="12" fillId="2" borderId="0" xfId="0" applyFont="1" applyFill="1" applyAlignment="1">
      <alignment vertical="top"/>
    </xf>
    <xf numFmtId="0" fontId="7" fillId="2" borderId="0" xfId="0" applyFont="1" applyFill="1" applyAlignment="1">
      <alignment wrapText="1"/>
    </xf>
    <xf numFmtId="0" fontId="9" fillId="2" borderId="0" xfId="0" applyFont="1" applyFill="1"/>
    <xf numFmtId="0" fontId="9" fillId="2" borderId="0" xfId="0" applyFont="1" applyFill="1" applyAlignment="1">
      <alignment horizontal="left"/>
    </xf>
    <xf numFmtId="0" fontId="13" fillId="2" borderId="0" xfId="0" applyFont="1" applyFill="1" applyAlignment="1">
      <alignment vertical="center"/>
    </xf>
    <xf numFmtId="0" fontId="13" fillId="2" borderId="0" xfId="0" applyFont="1" applyFill="1" applyAlignment="1">
      <alignment vertical="center" wrapText="1"/>
    </xf>
    <xf numFmtId="14" fontId="15" fillId="2" borderId="0" xfId="0" applyNumberFormat="1" applyFont="1" applyFill="1" applyAlignment="1">
      <alignment horizontal="center" vertical="center"/>
    </xf>
    <xf numFmtId="0" fontId="16" fillId="2" borderId="0" xfId="0" applyFont="1" applyFill="1" applyAlignment="1">
      <alignment horizontal="center"/>
    </xf>
    <xf numFmtId="0" fontId="17" fillId="2" borderId="4" xfId="0" applyFont="1" applyFill="1" applyBorder="1" applyAlignment="1">
      <alignment vertical="center"/>
    </xf>
    <xf numFmtId="0" fontId="7" fillId="2" borderId="4" xfId="0" applyFont="1" applyFill="1" applyBorder="1" applyAlignment="1">
      <alignment wrapText="1"/>
    </xf>
    <xf numFmtId="0" fontId="17" fillId="2" borderId="0" xfId="0" applyFont="1" applyFill="1" applyAlignment="1">
      <alignment vertical="center"/>
    </xf>
    <xf numFmtId="0" fontId="9" fillId="2" borderId="0" xfId="0" applyFont="1" applyFill="1" applyAlignment="1">
      <alignment vertical="center"/>
    </xf>
    <xf numFmtId="0" fontId="17" fillId="2" borderId="11" xfId="0" applyFont="1" applyFill="1" applyBorder="1" applyAlignment="1">
      <alignment horizontal="left" vertical="center"/>
    </xf>
    <xf numFmtId="0" fontId="7" fillId="2" borderId="11" xfId="0" applyFont="1" applyFill="1" applyBorder="1" applyAlignment="1">
      <alignment horizontal="left"/>
    </xf>
    <xf numFmtId="0" fontId="18" fillId="2" borderId="0" xfId="0" applyFont="1" applyFill="1" applyAlignment="1">
      <alignment vertical="center"/>
    </xf>
    <xf numFmtId="0" fontId="18" fillId="2" borderId="0" xfId="0" applyFont="1" applyFill="1" applyAlignment="1">
      <alignment horizontal="left" vertical="center"/>
    </xf>
    <xf numFmtId="0" fontId="7" fillId="2" borderId="0" xfId="0" applyFont="1" applyFill="1" applyAlignment="1">
      <alignment horizontal="left"/>
    </xf>
    <xf numFmtId="0" fontId="7" fillId="2" borderId="0" xfId="0" applyFont="1" applyFill="1" applyAlignment="1">
      <alignment vertical="center"/>
    </xf>
    <xf numFmtId="0" fontId="14" fillId="2" borderId="0" xfId="0" applyFont="1" applyFill="1" applyAlignment="1">
      <alignment vertical="center"/>
    </xf>
    <xf numFmtId="0" fontId="4" fillId="2" borderId="0" xfId="0" applyFont="1" applyFill="1" applyAlignment="1" applyProtection="1">
      <alignment horizontal="right" vertical="center"/>
      <protection locked="0"/>
    </xf>
    <xf numFmtId="0" fontId="17" fillId="2" borderId="0" xfId="0" applyFont="1" applyFill="1" applyAlignment="1">
      <alignment horizontal="center" vertical="center"/>
    </xf>
    <xf numFmtId="49" fontId="9" fillId="2" borderId="0" xfId="0" applyNumberFormat="1" applyFont="1" applyFill="1" applyAlignment="1" applyProtection="1">
      <alignment horizontal="center" vertical="center" wrapText="1"/>
      <protection locked="0"/>
    </xf>
    <xf numFmtId="49" fontId="9" fillId="2" borderId="0" xfId="0" applyNumberFormat="1" applyFont="1" applyFill="1" applyAlignment="1" applyProtection="1">
      <alignment horizontal="center" vertical="center"/>
      <protection locked="0"/>
    </xf>
    <xf numFmtId="0" fontId="19" fillId="2" borderId="0" xfId="0" applyFont="1" applyFill="1"/>
    <xf numFmtId="0" fontId="21" fillId="3" borderId="18" xfId="0" applyFont="1" applyFill="1" applyBorder="1" applyAlignment="1">
      <alignment horizontal="left" vertical="center"/>
    </xf>
    <xf numFmtId="0" fontId="21" fillId="3" borderId="19" xfId="0" applyFont="1" applyFill="1" applyBorder="1" applyAlignment="1">
      <alignment horizontal="center" vertical="center" wrapText="1"/>
    </xf>
    <xf numFmtId="14" fontId="21" fillId="3" borderId="19" xfId="0" applyNumberFormat="1" applyFont="1" applyFill="1" applyBorder="1" applyAlignment="1">
      <alignment horizontal="center" vertical="center" wrapText="1"/>
    </xf>
    <xf numFmtId="9" fontId="21" fillId="3" borderId="20" xfId="0" applyNumberFormat="1" applyFont="1" applyFill="1" applyBorder="1" applyAlignment="1">
      <alignment horizontal="center" vertical="center" wrapText="1"/>
    </xf>
    <xf numFmtId="0" fontId="19" fillId="2" borderId="0" xfId="0" applyFont="1" applyFill="1" applyAlignment="1">
      <alignment wrapText="1"/>
    </xf>
    <xf numFmtId="0" fontId="21" fillId="7" borderId="21" xfId="0" applyFont="1" applyFill="1" applyBorder="1" applyAlignment="1">
      <alignment horizontal="center" vertical="center" wrapText="1"/>
    </xf>
    <xf numFmtId="0" fontId="21" fillId="7" borderId="5" xfId="0" applyFont="1" applyFill="1" applyBorder="1" applyAlignment="1">
      <alignment horizontal="center" vertical="center" wrapText="1"/>
    </xf>
    <xf numFmtId="0" fontId="22" fillId="7" borderId="5" xfId="2" applyFill="1" applyBorder="1" applyAlignment="1">
      <alignment horizontal="center" vertical="center" wrapText="1"/>
    </xf>
    <xf numFmtId="165" fontId="23" fillId="7" borderId="5" xfId="0" applyNumberFormat="1" applyFont="1" applyFill="1" applyBorder="1" applyAlignment="1">
      <alignment horizontal="center" vertical="center" wrapText="1"/>
    </xf>
    <xf numFmtId="14" fontId="21" fillId="7" borderId="5" xfId="1" applyNumberFormat="1" applyFont="1" applyFill="1" applyBorder="1" applyAlignment="1">
      <alignment horizontal="center" vertical="center" wrapText="1"/>
    </xf>
    <xf numFmtId="1" fontId="21" fillId="7" borderId="5" xfId="0" applyNumberFormat="1" applyFont="1" applyFill="1" applyBorder="1" applyAlignment="1">
      <alignment horizontal="center" vertical="center" wrapText="1"/>
    </xf>
    <xf numFmtId="9" fontId="24" fillId="7" borderId="22" xfId="1" applyFont="1" applyFill="1" applyBorder="1" applyAlignment="1">
      <alignment horizontal="left" vertical="center" wrapText="1" indent="1"/>
    </xf>
    <xf numFmtId="0" fontId="6" fillId="2" borderId="23" xfId="0" applyFont="1" applyFill="1" applyBorder="1"/>
    <xf numFmtId="0" fontId="6" fillId="2" borderId="24" xfId="0" applyFont="1" applyFill="1" applyBorder="1"/>
    <xf numFmtId="0" fontId="6" fillId="2" borderId="24" xfId="0" applyFont="1" applyFill="1" applyBorder="1" applyProtection="1">
      <protection locked="0"/>
    </xf>
    <xf numFmtId="0" fontId="6" fillId="2" borderId="25" xfId="0" applyFont="1" applyFill="1" applyBorder="1" applyProtection="1">
      <protection locked="0"/>
    </xf>
    <xf numFmtId="0" fontId="25" fillId="2" borderId="0" xfId="0" applyFont="1" applyFill="1"/>
    <xf numFmtId="0" fontId="21" fillId="2" borderId="21" xfId="0" applyFont="1" applyFill="1" applyBorder="1" applyAlignment="1">
      <alignment horizontal="center" vertical="center" wrapText="1"/>
    </xf>
    <xf numFmtId="0" fontId="21" fillId="2" borderId="5" xfId="0" applyFont="1" applyFill="1" applyBorder="1" applyAlignment="1">
      <alignment horizontal="center" vertical="center" wrapText="1"/>
    </xf>
    <xf numFmtId="0" fontId="22" fillId="2" borderId="5" xfId="2" applyFill="1" applyBorder="1" applyAlignment="1">
      <alignment horizontal="center" vertical="center" wrapText="1"/>
    </xf>
    <xf numFmtId="14" fontId="23" fillId="2" borderId="5" xfId="1" applyNumberFormat="1" applyFont="1" applyFill="1" applyBorder="1" applyAlignment="1">
      <alignment horizontal="center" vertical="center" wrapText="1"/>
    </xf>
    <xf numFmtId="1" fontId="23" fillId="2" borderId="5" xfId="0" applyNumberFormat="1" applyFont="1" applyFill="1" applyBorder="1" applyAlignment="1">
      <alignment horizontal="center" vertical="center" wrapText="1"/>
    </xf>
    <xf numFmtId="9" fontId="24" fillId="2" borderId="22" xfId="1" applyFont="1" applyFill="1" applyBorder="1" applyAlignment="1">
      <alignment horizontal="left" vertical="center" wrapText="1" indent="1"/>
    </xf>
    <xf numFmtId="0" fontId="6" fillId="2" borderId="26" xfId="0" applyFont="1" applyFill="1" applyBorder="1"/>
    <xf numFmtId="0" fontId="6" fillId="2" borderId="2" xfId="0" applyFont="1" applyFill="1" applyBorder="1"/>
    <xf numFmtId="0" fontId="6" fillId="2" borderId="27" xfId="0" applyFont="1" applyFill="1" applyBorder="1" applyProtection="1">
      <protection locked="0"/>
    </xf>
    <xf numFmtId="0" fontId="2" fillId="2" borderId="0" xfId="0" applyFont="1" applyFill="1"/>
    <xf numFmtId="0" fontId="21" fillId="7" borderId="5" xfId="1" applyNumberFormat="1" applyFont="1" applyFill="1" applyBorder="1" applyAlignment="1">
      <alignment horizontal="center" vertical="center" wrapText="1"/>
    </xf>
    <xf numFmtId="14" fontId="23" fillId="7" borderId="5" xfId="1" applyNumberFormat="1" applyFont="1" applyFill="1" applyBorder="1" applyAlignment="1">
      <alignment horizontal="center" vertical="center" wrapText="1"/>
    </xf>
    <xf numFmtId="0" fontId="2" fillId="2" borderId="0" xfId="0" applyFont="1" applyFill="1" applyAlignment="1" applyProtection="1">
      <alignment wrapText="1"/>
      <protection locked="0"/>
    </xf>
    <xf numFmtId="9" fontId="24" fillId="2" borderId="29" xfId="1" applyFont="1" applyFill="1" applyBorder="1" applyAlignment="1">
      <alignment horizontal="left" vertical="center" wrapText="1" indent="1"/>
    </xf>
    <xf numFmtId="0" fontId="2" fillId="0" borderId="30" xfId="0" applyFont="1" applyBorder="1"/>
    <xf numFmtId="0" fontId="2" fillId="0" borderId="3" xfId="0" applyFont="1" applyBorder="1"/>
    <xf numFmtId="0" fontId="27" fillId="2" borderId="0" xfId="0" applyFont="1" applyFill="1"/>
    <xf numFmtId="0" fontId="17" fillId="2" borderId="19" xfId="0" applyFont="1" applyFill="1" applyBorder="1" applyAlignment="1">
      <alignment vertical="center"/>
    </xf>
    <xf numFmtId="0" fontId="17" fillId="2" borderId="32" xfId="0" applyFont="1" applyFill="1" applyBorder="1" applyAlignment="1">
      <alignment vertical="center"/>
    </xf>
    <xf numFmtId="0" fontId="28" fillId="2" borderId="0" xfId="0" applyFont="1" applyFill="1" applyAlignment="1">
      <alignment vertical="center"/>
    </xf>
    <xf numFmtId="0" fontId="21" fillId="6" borderId="35" xfId="0" applyFont="1" applyFill="1" applyBorder="1" applyAlignment="1">
      <alignment horizontal="center" vertical="center" wrapText="1"/>
    </xf>
    <xf numFmtId="0" fontId="21" fillId="6" borderId="36" xfId="0" applyFont="1" applyFill="1" applyBorder="1" applyAlignment="1">
      <alignment horizontal="center" vertical="center" wrapText="1"/>
    </xf>
    <xf numFmtId="165" fontId="23" fillId="2" borderId="5" xfId="0" applyNumberFormat="1" applyFont="1" applyFill="1" applyBorder="1" applyAlignment="1">
      <alignment horizontal="center" vertical="center" wrapText="1"/>
    </xf>
    <xf numFmtId="9" fontId="23" fillId="2" borderId="5" xfId="1" applyFont="1" applyFill="1" applyBorder="1" applyAlignment="1">
      <alignment horizontal="center" vertical="center" wrapText="1"/>
    </xf>
    <xf numFmtId="0" fontId="22" fillId="2" borderId="5" xfId="2" quotePrefix="1" applyFill="1" applyBorder="1" applyAlignment="1">
      <alignment horizontal="center" vertical="center" wrapText="1"/>
    </xf>
    <xf numFmtId="0" fontId="19" fillId="2" borderId="0" xfId="0" applyFont="1" applyFill="1" applyAlignment="1">
      <alignment vertical="top"/>
    </xf>
    <xf numFmtId="0" fontId="29" fillId="2" borderId="0" xfId="0" applyFont="1" applyFill="1"/>
    <xf numFmtId="0" fontId="7" fillId="2" borderId="0" xfId="0" quotePrefix="1" applyFont="1" applyFill="1"/>
    <xf numFmtId="0" fontId="7" fillId="5" borderId="14" xfId="0" applyFont="1" applyFill="1" applyBorder="1"/>
    <xf numFmtId="0" fontId="7" fillId="5" borderId="13" xfId="0" applyFont="1" applyFill="1" applyBorder="1"/>
    <xf numFmtId="0" fontId="0" fillId="2" borderId="0" xfId="0" applyFill="1"/>
    <xf numFmtId="0" fontId="2" fillId="2" borderId="31" xfId="0" applyFont="1" applyFill="1" applyBorder="1"/>
    <xf numFmtId="0" fontId="2" fillId="2" borderId="3" xfId="0" applyFont="1" applyFill="1" applyBorder="1"/>
    <xf numFmtId="0" fontId="2" fillId="2" borderId="37" xfId="0" applyFont="1" applyFill="1" applyBorder="1" applyProtection="1">
      <protection locked="0"/>
    </xf>
    <xf numFmtId="0" fontId="2" fillId="2" borderId="37" xfId="0" applyFont="1" applyFill="1" applyBorder="1"/>
    <xf numFmtId="0" fontId="32" fillId="5" borderId="13" xfId="0" applyFont="1" applyFill="1" applyBorder="1" applyProtection="1">
      <protection locked="0"/>
    </xf>
    <xf numFmtId="166" fontId="19" fillId="2" borderId="0" xfId="0" applyNumberFormat="1" applyFont="1" applyFill="1" applyAlignment="1">
      <alignment vertical="center"/>
    </xf>
    <xf numFmtId="0" fontId="34" fillId="2" borderId="0" xfId="0" applyFont="1" applyFill="1" applyAlignment="1">
      <alignment horizontal="left"/>
    </xf>
    <xf numFmtId="0" fontId="34" fillId="2" borderId="0" xfId="0" applyFont="1" applyFill="1"/>
    <xf numFmtId="0" fontId="7" fillId="0" borderId="0" xfId="0" applyFont="1" applyAlignment="1">
      <alignment wrapText="1"/>
    </xf>
    <xf numFmtId="0" fontId="2" fillId="0" borderId="0" xfId="0" applyFont="1"/>
    <xf numFmtId="166" fontId="33" fillId="2" borderId="15" xfId="0" applyNumberFormat="1" applyFont="1" applyFill="1" applyBorder="1" applyAlignment="1">
      <alignment horizontal="center" vertical="center"/>
    </xf>
    <xf numFmtId="166" fontId="33" fillId="2" borderId="1" xfId="0" applyNumberFormat="1" applyFont="1" applyFill="1" applyBorder="1" applyAlignment="1">
      <alignment horizontal="center" vertical="center"/>
    </xf>
    <xf numFmtId="166" fontId="33" fillId="2" borderId="16" xfId="0" applyNumberFormat="1" applyFont="1" applyFill="1" applyBorder="1" applyAlignment="1">
      <alignment horizontal="center" vertical="center"/>
    </xf>
    <xf numFmtId="166" fontId="33" fillId="2" borderId="17" xfId="0" applyNumberFormat="1" applyFont="1" applyFill="1" applyBorder="1" applyAlignment="1">
      <alignment horizontal="center" vertical="center"/>
    </xf>
    <xf numFmtId="166" fontId="33" fillId="2" borderId="40" xfId="0" applyNumberFormat="1" applyFont="1" applyFill="1" applyBorder="1" applyAlignment="1">
      <alignment horizontal="center" vertical="center"/>
    </xf>
    <xf numFmtId="166" fontId="33" fillId="2" borderId="41" xfId="0" applyNumberFormat="1" applyFont="1" applyFill="1" applyBorder="1" applyAlignment="1">
      <alignment horizontal="center" vertical="center"/>
    </xf>
    <xf numFmtId="0" fontId="32" fillId="5" borderId="12" xfId="0" applyFont="1" applyFill="1" applyBorder="1" applyProtection="1">
      <protection locked="0"/>
    </xf>
    <xf numFmtId="0" fontId="7" fillId="2" borderId="0" xfId="0" applyFont="1" applyFill="1" applyAlignment="1">
      <alignment horizontal="center" vertical="center"/>
    </xf>
    <xf numFmtId="0" fontId="20" fillId="2" borderId="0" xfId="0" quotePrefix="1" applyFont="1" applyFill="1" applyAlignment="1">
      <alignment horizontal="center" vertical="center" wrapText="1" readingOrder="1"/>
    </xf>
    <xf numFmtId="0" fontId="21" fillId="6" borderId="38" xfId="0" applyFont="1" applyFill="1" applyBorder="1" applyAlignment="1">
      <alignment horizontal="center" vertical="center" wrapText="1"/>
    </xf>
    <xf numFmtId="0" fontId="21" fillId="6" borderId="15" xfId="0" applyFont="1" applyFill="1" applyBorder="1" applyAlignment="1">
      <alignment horizontal="center" vertical="center" wrapText="1"/>
    </xf>
    <xf numFmtId="0" fontId="21" fillId="6" borderId="39" xfId="0" applyFont="1" applyFill="1" applyBorder="1" applyAlignment="1">
      <alignment horizontal="center" vertical="center" wrapText="1"/>
    </xf>
    <xf numFmtId="0" fontId="21" fillId="6" borderId="0" xfId="0" applyFont="1" applyFill="1" applyAlignment="1">
      <alignment horizontal="center" vertical="center" wrapText="1"/>
    </xf>
    <xf numFmtId="0" fontId="35" fillId="6" borderId="38" xfId="0" applyFont="1" applyFill="1" applyBorder="1"/>
    <xf numFmtId="0" fontId="35" fillId="6" borderId="17" xfId="0" applyFont="1" applyFill="1" applyBorder="1"/>
    <xf numFmtId="0" fontId="7" fillId="2" borderId="39" xfId="0" applyFont="1" applyFill="1" applyBorder="1"/>
    <xf numFmtId="0" fontId="7" fillId="2" borderId="40" xfId="0" applyFont="1" applyFill="1" applyBorder="1"/>
    <xf numFmtId="0" fontId="11" fillId="2" borderId="0" xfId="0" applyFont="1" applyFill="1" applyAlignment="1">
      <alignment horizontal="left" vertical="top" wrapText="1"/>
    </xf>
    <xf numFmtId="0" fontId="29" fillId="4" borderId="0" xfId="0" applyFont="1" applyFill="1" applyAlignment="1">
      <alignment horizontal="left" vertical="top" wrapText="1"/>
    </xf>
    <xf numFmtId="0" fontId="11" fillId="2" borderId="0" xfId="0" applyFont="1" applyFill="1" applyAlignment="1">
      <alignment horizontal="left" vertical="top" wrapText="1"/>
    </xf>
    <xf numFmtId="0" fontId="7" fillId="2" borderId="0" xfId="0" applyFont="1" applyFill="1" applyAlignment="1">
      <alignment horizontal="left" vertical="top" wrapText="1"/>
    </xf>
    <xf numFmtId="0" fontId="9" fillId="2" borderId="0" xfId="0" applyFont="1" applyFill="1" applyAlignment="1">
      <alignment horizontal="left" vertical="top" wrapText="1"/>
    </xf>
    <xf numFmtId="49" fontId="9" fillId="4" borderId="5" xfId="0" applyNumberFormat="1" applyFont="1" applyFill="1" applyBorder="1" applyAlignment="1" applyProtection="1">
      <alignment horizontal="center" vertical="center"/>
      <protection locked="0"/>
    </xf>
    <xf numFmtId="164" fontId="5" fillId="4" borderId="6" xfId="0" applyNumberFormat="1" applyFont="1" applyFill="1" applyBorder="1" applyAlignment="1">
      <alignment horizontal="center" vertical="center"/>
    </xf>
    <xf numFmtId="164" fontId="5" fillId="4" borderId="10" xfId="0" applyNumberFormat="1" applyFont="1" applyFill="1" applyBorder="1" applyAlignment="1">
      <alignment horizontal="center" vertical="center"/>
    </xf>
    <xf numFmtId="164" fontId="5" fillId="4" borderId="7" xfId="0" applyNumberFormat="1" applyFont="1" applyFill="1" applyBorder="1" applyAlignment="1">
      <alignment horizontal="center" vertical="center"/>
    </xf>
    <xf numFmtId="165" fontId="26" fillId="5" borderId="28" xfId="0" applyNumberFormat="1" applyFont="1" applyFill="1" applyBorder="1" applyAlignment="1">
      <alignment horizontal="center" vertical="center" wrapText="1"/>
    </xf>
    <xf numFmtId="165" fontId="26" fillId="5" borderId="19" xfId="0" applyNumberFormat="1" applyFont="1" applyFill="1" applyBorder="1" applyAlignment="1">
      <alignment horizontal="center" vertical="center" wrapText="1"/>
    </xf>
    <xf numFmtId="14" fontId="9" fillId="4" borderId="6" xfId="0" applyNumberFormat="1" applyFont="1" applyFill="1" applyBorder="1" applyAlignment="1" applyProtection="1">
      <alignment horizontal="center" vertical="center"/>
      <protection locked="0"/>
    </xf>
    <xf numFmtId="14" fontId="9" fillId="4" borderId="7" xfId="0" applyNumberFormat="1" applyFont="1" applyFill="1" applyBorder="1" applyAlignment="1" applyProtection="1">
      <alignment horizontal="center" vertical="center"/>
      <protection locked="0"/>
    </xf>
    <xf numFmtId="0" fontId="3" fillId="2" borderId="8" xfId="0" applyFont="1" applyFill="1" applyBorder="1" applyAlignment="1" applyProtection="1">
      <alignment horizontal="left" vertical="center"/>
      <protection locked="0"/>
    </xf>
    <xf numFmtId="0" fontId="3" fillId="2" borderId="9" xfId="0" applyFont="1" applyFill="1" applyBorder="1" applyAlignment="1" applyProtection="1">
      <alignment horizontal="left" vertical="center"/>
      <protection locked="0"/>
    </xf>
    <xf numFmtId="0" fontId="17" fillId="2" borderId="8" xfId="0" applyFont="1" applyFill="1" applyBorder="1" applyAlignment="1">
      <alignment horizontal="left" vertical="center"/>
    </xf>
    <xf numFmtId="49" fontId="9" fillId="4" borderId="6" xfId="0" applyNumberFormat="1" applyFont="1" applyFill="1" applyBorder="1" applyAlignment="1" applyProtection="1">
      <alignment horizontal="center" vertical="center"/>
      <protection locked="0"/>
    </xf>
    <xf numFmtId="49" fontId="9" fillId="4" borderId="7" xfId="0" applyNumberFormat="1" applyFont="1" applyFill="1" applyBorder="1" applyAlignment="1" applyProtection="1">
      <alignment horizontal="center" vertical="center"/>
      <protection locked="0"/>
    </xf>
    <xf numFmtId="0" fontId="17" fillId="2" borderId="0" xfId="0" applyFont="1" applyFill="1" applyAlignment="1">
      <alignment horizontal="left" vertical="center"/>
    </xf>
    <xf numFmtId="14" fontId="14" fillId="2" borderId="0" xfId="0" applyNumberFormat="1" applyFont="1" applyFill="1" applyAlignment="1">
      <alignment horizontal="center" vertical="center"/>
    </xf>
    <xf numFmtId="0" fontId="7" fillId="2" borderId="8" xfId="0" applyFont="1" applyFill="1" applyBorder="1" applyAlignment="1">
      <alignment horizontal="center"/>
    </xf>
    <xf numFmtId="49" fontId="9" fillId="4" borderId="33" xfId="0" applyNumberFormat="1" applyFont="1" applyFill="1" applyBorder="1" applyAlignment="1" applyProtection="1">
      <alignment horizontal="center" vertical="center"/>
      <protection locked="0"/>
    </xf>
    <xf numFmtId="49" fontId="9" fillId="4" borderId="34" xfId="0" applyNumberFormat="1" applyFont="1" applyFill="1" applyBorder="1" applyAlignment="1" applyProtection="1">
      <alignment horizontal="center" vertical="center"/>
      <protection locked="0"/>
    </xf>
    <xf numFmtId="0" fontId="36" fillId="0" borderId="39" xfId="0" quotePrefix="1" applyFont="1" applyFill="1" applyBorder="1" applyAlignment="1">
      <alignment horizontal="center" vertical="center"/>
    </xf>
    <xf numFmtId="0" fontId="36" fillId="0" borderId="42" xfId="0" quotePrefix="1" applyFont="1" applyFill="1" applyBorder="1" applyAlignment="1">
      <alignment horizontal="center" vertical="center"/>
    </xf>
    <xf numFmtId="0" fontId="36" fillId="0" borderId="0" xfId="0" quotePrefix="1" applyFont="1" applyFill="1" applyBorder="1" applyAlignment="1">
      <alignment horizontal="center" vertical="center"/>
    </xf>
    <xf numFmtId="0" fontId="36" fillId="0" borderId="43" xfId="0" quotePrefix="1" applyFont="1" applyFill="1" applyBorder="1" applyAlignment="1">
      <alignment horizontal="center" vertical="center"/>
    </xf>
    <xf numFmtId="0" fontId="37" fillId="6" borderId="44" xfId="0" applyFont="1" applyFill="1" applyBorder="1" applyAlignment="1">
      <alignment horizontal="center" vertical="center"/>
    </xf>
    <xf numFmtId="0" fontId="37" fillId="6" borderId="45" xfId="0" applyFont="1" applyFill="1" applyBorder="1" applyAlignment="1">
      <alignment horizontal="center" vertical="center"/>
    </xf>
    <xf numFmtId="0" fontId="37" fillId="6" borderId="46" xfId="0" applyFont="1" applyFill="1" applyBorder="1" applyAlignment="1">
      <alignment horizontal="center" vertical="center"/>
    </xf>
    <xf numFmtId="0" fontId="37" fillId="6" borderId="47" xfId="0" applyFont="1" applyFill="1" applyBorder="1" applyAlignment="1">
      <alignment horizontal="center" vertical="center"/>
    </xf>
    <xf numFmtId="0" fontId="37" fillId="6" borderId="48" xfId="0" applyFont="1" applyFill="1" applyBorder="1" applyAlignment="1">
      <alignment horizontal="center" vertical="center"/>
    </xf>
    <xf numFmtId="0" fontId="37" fillId="6" borderId="49" xfId="0" applyFont="1" applyFill="1" applyBorder="1" applyAlignment="1">
      <alignment horizontal="center" vertical="center"/>
    </xf>
    <xf numFmtId="0" fontId="36" fillId="0" borderId="38" xfId="0" quotePrefix="1" applyFont="1" applyFill="1" applyBorder="1" applyAlignment="1">
      <alignment horizontal="center" vertical="center"/>
    </xf>
    <xf numFmtId="0" fontId="36" fillId="0" borderId="39" xfId="0" quotePrefix="1" applyFont="1" applyFill="1" applyBorder="1" applyAlignment="1">
      <alignment horizontal="center" vertical="center"/>
    </xf>
    <xf numFmtId="0" fontId="36" fillId="0" borderId="42" xfId="0" quotePrefix="1" applyFont="1" applyFill="1" applyBorder="1" applyAlignment="1">
      <alignment horizontal="center" vertical="center"/>
    </xf>
    <xf numFmtId="0" fontId="36" fillId="0" borderId="17" xfId="0" quotePrefix="1" applyFont="1" applyFill="1" applyBorder="1" applyAlignment="1">
      <alignment horizontal="center" vertical="center"/>
    </xf>
    <xf numFmtId="0" fontId="36" fillId="0" borderId="41" xfId="0" quotePrefix="1" applyFont="1" applyFill="1" applyBorder="1" applyAlignment="1">
      <alignment horizontal="center" vertical="center"/>
    </xf>
    <xf numFmtId="0" fontId="36" fillId="0" borderId="40" xfId="0" quotePrefix="1" applyFont="1" applyFill="1" applyBorder="1" applyAlignment="1">
      <alignment horizontal="center" vertical="center"/>
    </xf>
  </cellXfs>
  <cellStyles count="3">
    <cellStyle name="Lien hypertexte" xfId="2" builtinId="8"/>
    <cellStyle name="Normal" xfId="0" builtinId="0"/>
    <cellStyle name="Pourcentage" xfId="1" builtinId="5"/>
  </cellStyles>
  <dxfs count="11">
    <dxf>
      <fill>
        <patternFill>
          <bgColor theme="0" tint="-0.499984740745262"/>
        </patternFill>
      </fill>
      <border>
        <left style="thin">
          <color theme="0"/>
        </left>
        <right style="thin">
          <color theme="0"/>
        </right>
        <top style="thin">
          <color theme="0"/>
        </top>
        <bottom style="thin">
          <color theme="0"/>
        </bottom>
        <vertical/>
        <horizontal/>
      </border>
    </dxf>
    <dxf>
      <fill>
        <patternFill>
          <bgColor theme="0" tint="-0.24994659260841701"/>
        </patternFill>
      </fill>
      <border>
        <left style="thin">
          <color theme="0"/>
        </left>
        <right style="thin">
          <color theme="0"/>
        </right>
        <top style="thin">
          <color theme="0"/>
        </top>
        <bottom style="thin">
          <color theme="0"/>
        </bottom>
        <vertical/>
        <horizontal/>
      </border>
    </dxf>
    <dxf>
      <font>
        <color theme="4" tint="-0.499984740745262"/>
      </font>
      <fill>
        <patternFill>
          <bgColor theme="4" tint="0.39994506668294322"/>
        </patternFill>
      </fill>
      <border>
        <left/>
        <right/>
        <top/>
        <bottom/>
      </border>
    </dxf>
    <dxf>
      <font>
        <color auto="1"/>
      </font>
      <fill>
        <patternFill>
          <bgColor theme="9" tint="0.59996337778862885"/>
        </patternFill>
      </fill>
      <border>
        <left/>
        <right/>
        <top/>
        <bottom/>
      </border>
    </dxf>
    <dxf>
      <font>
        <color rgb="FF9C0006"/>
      </font>
      <fill>
        <patternFill>
          <bgColor theme="0" tint="-0.499984740745262"/>
        </patternFill>
      </fill>
      <border>
        <left style="thin">
          <color theme="0"/>
        </left>
        <right style="thin">
          <color theme="0"/>
        </right>
        <top style="thin">
          <color theme="0"/>
        </top>
        <bottom style="thin">
          <color theme="0"/>
        </bottom>
      </border>
    </dxf>
    <dxf>
      <font>
        <color auto="1"/>
      </font>
      <fill>
        <patternFill>
          <bgColor theme="0" tint="-0.24994659260841701"/>
        </patternFill>
      </fill>
      <border>
        <left style="thin">
          <color theme="0"/>
        </left>
        <right style="thin">
          <color theme="0"/>
        </right>
        <top style="thin">
          <color theme="0"/>
        </top>
        <bottom style="thin">
          <color theme="0"/>
        </bottom>
      </border>
    </dxf>
    <dxf>
      <font>
        <color theme="1"/>
      </font>
      <fill>
        <patternFill patternType="gray0625">
          <fgColor theme="0"/>
          <bgColor rgb="FFF8CBAD"/>
        </patternFill>
      </fill>
    </dxf>
    <dxf>
      <font>
        <color rgb="FFFF0000"/>
      </font>
    </dxf>
    <dxf>
      <font>
        <color rgb="FFC00000"/>
      </font>
    </dxf>
    <dxf>
      <font>
        <color auto="1"/>
      </font>
    </dxf>
    <dxf>
      <fill>
        <patternFill>
          <bgColor rgb="FFFFC7CE"/>
        </patternFill>
      </fill>
    </dxf>
  </dxfs>
  <tableStyles count="0" defaultTableStyle="TableStyleMedium2" defaultPivotStyle="PivotStyleLight16"/>
  <colors>
    <mruColors>
      <color rgb="FFFFFFFF"/>
      <color rgb="FF00863D"/>
      <color rgb="FF00B853"/>
      <color rgb="FF62BD8A"/>
      <color rgb="FF439B69"/>
      <color rgb="FFF8CBAD"/>
      <color rgb="FFFFF7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firstButton="1" fmlaLink="$L$12" lockText="1" noThreeD="1"/>
</file>

<file path=xl/ctrlProps/ctrlProp3.xml><?xml version="1.0" encoding="utf-8"?>
<formControlPr xmlns="http://schemas.microsoft.com/office/spreadsheetml/2009/9/main" objectType="Radio" checked="Checked"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Scroll" dx="22" fmlaLink="$K$12" horiz="1" inc="4" max="1000" min="1" noThreeD="1" page="8"/>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0</xdr:rowOff>
    </xdr:from>
    <xdr:ext cx="4134602" cy="872233"/>
    <xdr:pic>
      <xdr:nvPicPr>
        <xdr:cNvPr id="3" name="Picture 3">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4134602" cy="8722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1</xdr:col>
      <xdr:colOff>7620</xdr:colOff>
      <xdr:row>76</xdr:row>
      <xdr:rowOff>71908</xdr:rowOff>
    </xdr:from>
    <xdr:to>
      <xdr:col>8</xdr:col>
      <xdr:colOff>301301</xdr:colOff>
      <xdr:row>91</xdr:row>
      <xdr:rowOff>144231</xdr:rowOff>
    </xdr:to>
    <xdr:pic>
      <xdr:nvPicPr>
        <xdr:cNvPr id="6" name="Imag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792480" y="13345948"/>
          <a:ext cx="8195621" cy="2815523"/>
        </a:xfrm>
        <a:prstGeom prst="rect">
          <a:avLst/>
        </a:prstGeom>
      </xdr:spPr>
    </xdr:pic>
    <xdr:clientData/>
  </xdr:twoCellAnchor>
  <xdr:twoCellAnchor>
    <xdr:from>
      <xdr:col>1</xdr:col>
      <xdr:colOff>53340</xdr:colOff>
      <xdr:row>81</xdr:row>
      <xdr:rowOff>83820</xdr:rowOff>
    </xdr:from>
    <xdr:to>
      <xdr:col>8</xdr:col>
      <xdr:colOff>335280</xdr:colOff>
      <xdr:row>82</xdr:row>
      <xdr:rowOff>106680</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838200" y="14272260"/>
          <a:ext cx="8183880" cy="20574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0</xdr:col>
      <xdr:colOff>731521</xdr:colOff>
      <xdr:row>93</xdr:row>
      <xdr:rowOff>429089</xdr:rowOff>
    </xdr:from>
    <xdr:to>
      <xdr:col>11</xdr:col>
      <xdr:colOff>365761</xdr:colOff>
      <xdr:row>112</xdr:row>
      <xdr:rowOff>163517</xdr:rowOff>
    </xdr:to>
    <xdr:grpSp>
      <xdr:nvGrpSpPr>
        <xdr:cNvPr id="20" name="Groupe 19">
          <a:extLst>
            <a:ext uri="{FF2B5EF4-FFF2-40B4-BE49-F238E27FC236}">
              <a16:creationId xmlns:a16="http://schemas.microsoft.com/office/drawing/2014/main" id="{00000000-0008-0000-0000-000014000000}"/>
            </a:ext>
          </a:extLst>
        </xdr:cNvPr>
        <xdr:cNvGrpSpPr/>
      </xdr:nvGrpSpPr>
      <xdr:grpSpPr>
        <a:xfrm>
          <a:off x="731521" y="22245149"/>
          <a:ext cx="11323320" cy="3590148"/>
          <a:chOff x="762001" y="16568249"/>
          <a:chExt cx="11323320" cy="3590148"/>
        </a:xfrm>
      </xdr:grpSpPr>
      <xdr:grpSp>
        <xdr:nvGrpSpPr>
          <xdr:cNvPr id="13" name="Groupe 12">
            <a:extLst>
              <a:ext uri="{FF2B5EF4-FFF2-40B4-BE49-F238E27FC236}">
                <a16:creationId xmlns:a16="http://schemas.microsoft.com/office/drawing/2014/main" id="{00000000-0008-0000-0000-00000D000000}"/>
              </a:ext>
            </a:extLst>
          </xdr:cNvPr>
          <xdr:cNvGrpSpPr/>
        </xdr:nvGrpSpPr>
        <xdr:grpSpPr>
          <a:xfrm>
            <a:off x="769620" y="16568249"/>
            <a:ext cx="11155680" cy="1780712"/>
            <a:chOff x="769620" y="16568248"/>
            <a:chExt cx="11072164" cy="1860453"/>
          </a:xfrm>
        </xdr:grpSpPr>
        <xdr:pic>
          <xdr:nvPicPr>
            <xdr:cNvPr id="11" name="Imag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3"/>
            <a:stretch>
              <a:fillRect/>
            </a:stretch>
          </xdr:blipFill>
          <xdr:spPr>
            <a:xfrm>
              <a:off x="769620" y="16568248"/>
              <a:ext cx="11072164" cy="1860453"/>
            </a:xfrm>
            <a:prstGeom prst="rect">
              <a:avLst/>
            </a:prstGeom>
          </xdr:spPr>
        </xdr:pic>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4"/>
            <a:stretch>
              <a:fillRect/>
            </a:stretch>
          </xdr:blipFill>
          <xdr:spPr>
            <a:xfrm>
              <a:off x="9174606" y="17769840"/>
              <a:ext cx="270344" cy="182880"/>
            </a:xfrm>
            <a:prstGeom prst="rect">
              <a:avLst/>
            </a:prstGeom>
          </xdr:spPr>
        </xdr:pic>
      </xdr:grpSp>
      <xdr:sp macro="" textlink="">
        <xdr:nvSpPr>
          <xdr:cNvPr id="9" name="Rectangle 8">
            <a:extLst>
              <a:ext uri="{FF2B5EF4-FFF2-40B4-BE49-F238E27FC236}">
                <a16:creationId xmlns:a16="http://schemas.microsoft.com/office/drawing/2014/main" id="{00000000-0008-0000-0000-000009000000}"/>
              </a:ext>
            </a:extLst>
          </xdr:cNvPr>
          <xdr:cNvSpPr/>
        </xdr:nvSpPr>
        <xdr:spPr>
          <a:xfrm>
            <a:off x="9883140" y="17503140"/>
            <a:ext cx="1021080" cy="22860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pic>
        <xdr:nvPicPr>
          <xdr:cNvPr id="17" name="Image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5"/>
          <a:stretch>
            <a:fillRect/>
          </a:stretch>
        </xdr:blipFill>
        <xdr:spPr>
          <a:xfrm>
            <a:off x="762001" y="18630715"/>
            <a:ext cx="11323320" cy="1527682"/>
          </a:xfrm>
          <a:prstGeom prst="rect">
            <a:avLst/>
          </a:prstGeom>
        </xdr:spPr>
      </xdr:pic>
      <xdr:sp macro="" textlink="">
        <xdr:nvSpPr>
          <xdr:cNvPr id="18" name="Rectangle 17">
            <a:extLst>
              <a:ext uri="{FF2B5EF4-FFF2-40B4-BE49-F238E27FC236}">
                <a16:creationId xmlns:a16="http://schemas.microsoft.com/office/drawing/2014/main" id="{00000000-0008-0000-0000-000012000000}"/>
              </a:ext>
            </a:extLst>
          </xdr:cNvPr>
          <xdr:cNvSpPr/>
        </xdr:nvSpPr>
        <xdr:spPr>
          <a:xfrm>
            <a:off x="9951720" y="19872960"/>
            <a:ext cx="1104900" cy="27432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19" name="Flèche : bas 18">
            <a:extLst>
              <a:ext uri="{FF2B5EF4-FFF2-40B4-BE49-F238E27FC236}">
                <a16:creationId xmlns:a16="http://schemas.microsoft.com/office/drawing/2014/main" id="{00000000-0008-0000-0000-000013000000}"/>
              </a:ext>
            </a:extLst>
          </xdr:cNvPr>
          <xdr:cNvSpPr/>
        </xdr:nvSpPr>
        <xdr:spPr>
          <a:xfrm>
            <a:off x="10340340" y="18371820"/>
            <a:ext cx="175260" cy="259080"/>
          </a:xfrm>
          <a:prstGeom prst="downArrow">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oneCellAnchor>
    <xdr:from>
      <xdr:col>1</xdr:col>
      <xdr:colOff>53340</xdr:colOff>
      <xdr:row>8</xdr:row>
      <xdr:rowOff>114300</xdr:rowOff>
    </xdr:from>
    <xdr:ext cx="5455920" cy="1355589"/>
    <xdr:pic>
      <xdr:nvPicPr>
        <xdr:cNvPr id="15" name="Imag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6"/>
        <a:stretch>
          <a:fillRect/>
        </a:stretch>
      </xdr:blipFill>
      <xdr:spPr>
        <a:xfrm>
          <a:off x="838200" y="1661160"/>
          <a:ext cx="5455920" cy="1355589"/>
        </a:xfrm>
        <a:prstGeom prst="rect">
          <a:avLst/>
        </a:prstGeom>
      </xdr:spPr>
    </xdr:pic>
    <xdr:clientData/>
  </xdr:oneCellAnchor>
  <xdr:twoCellAnchor>
    <xdr:from>
      <xdr:col>2</xdr:col>
      <xdr:colOff>15240</xdr:colOff>
      <xdr:row>40</xdr:row>
      <xdr:rowOff>455159</xdr:rowOff>
    </xdr:from>
    <xdr:to>
      <xdr:col>12</xdr:col>
      <xdr:colOff>321947</xdr:colOff>
      <xdr:row>45</xdr:row>
      <xdr:rowOff>449828</xdr:rowOff>
    </xdr:to>
    <xdr:grpSp>
      <xdr:nvGrpSpPr>
        <xdr:cNvPr id="16" name="Groupe 15">
          <a:extLst>
            <a:ext uri="{FF2B5EF4-FFF2-40B4-BE49-F238E27FC236}">
              <a16:creationId xmlns:a16="http://schemas.microsoft.com/office/drawing/2014/main" id="{63B5F957-01F9-584B-E1E7-F8CB0A7DF9E1}"/>
            </a:ext>
          </a:extLst>
        </xdr:cNvPr>
        <xdr:cNvGrpSpPr/>
      </xdr:nvGrpSpPr>
      <xdr:grpSpPr>
        <a:xfrm>
          <a:off x="2628900" y="9713459"/>
          <a:ext cx="10166987" cy="2394969"/>
          <a:chOff x="2651760" y="7259819"/>
          <a:chExt cx="10166987" cy="2494029"/>
        </a:xfrm>
      </xdr:grpSpPr>
      <xdr:pic>
        <xdr:nvPicPr>
          <xdr:cNvPr id="10" name="Image 9">
            <a:extLst>
              <a:ext uri="{FF2B5EF4-FFF2-40B4-BE49-F238E27FC236}">
                <a16:creationId xmlns:a16="http://schemas.microsoft.com/office/drawing/2014/main" id="{5A467069-AD9A-01D4-4146-4201FF939FF4}"/>
              </a:ext>
            </a:extLst>
          </xdr:cNvPr>
          <xdr:cNvPicPr>
            <a:picLocks noChangeAspect="1"/>
          </xdr:cNvPicPr>
        </xdr:nvPicPr>
        <xdr:blipFill>
          <a:blip xmlns:r="http://schemas.openxmlformats.org/officeDocument/2006/relationships" r:embed="rId7"/>
          <a:stretch>
            <a:fillRect/>
          </a:stretch>
        </xdr:blipFill>
        <xdr:spPr>
          <a:xfrm>
            <a:off x="2651760" y="7259819"/>
            <a:ext cx="10166987" cy="2494029"/>
          </a:xfrm>
          <a:prstGeom prst="rect">
            <a:avLst/>
          </a:prstGeom>
        </xdr:spPr>
      </xdr:pic>
      <xdr:sp macro="" textlink="">
        <xdr:nvSpPr>
          <xdr:cNvPr id="14" name="Rectangle 13">
            <a:extLst>
              <a:ext uri="{FF2B5EF4-FFF2-40B4-BE49-F238E27FC236}">
                <a16:creationId xmlns:a16="http://schemas.microsoft.com/office/drawing/2014/main" id="{430FF118-5796-3387-C141-1C4683FC1747}"/>
              </a:ext>
            </a:extLst>
          </xdr:cNvPr>
          <xdr:cNvSpPr/>
        </xdr:nvSpPr>
        <xdr:spPr>
          <a:xfrm>
            <a:off x="2659380" y="8138160"/>
            <a:ext cx="10134600" cy="75438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2</xdr:col>
      <xdr:colOff>7620</xdr:colOff>
      <xdr:row>58</xdr:row>
      <xdr:rowOff>142739</xdr:rowOff>
    </xdr:from>
    <xdr:to>
      <xdr:col>12</xdr:col>
      <xdr:colOff>314327</xdr:colOff>
      <xdr:row>71</xdr:row>
      <xdr:rowOff>10107</xdr:rowOff>
    </xdr:to>
    <xdr:grpSp>
      <xdr:nvGrpSpPr>
        <xdr:cNvPr id="24" name="Groupe 23">
          <a:extLst>
            <a:ext uri="{FF2B5EF4-FFF2-40B4-BE49-F238E27FC236}">
              <a16:creationId xmlns:a16="http://schemas.microsoft.com/office/drawing/2014/main" id="{63108149-D93D-4589-B39F-1D141FF3FBCB}"/>
            </a:ext>
          </a:extLst>
        </xdr:cNvPr>
        <xdr:cNvGrpSpPr/>
      </xdr:nvGrpSpPr>
      <xdr:grpSpPr>
        <a:xfrm>
          <a:off x="2621280" y="15413219"/>
          <a:ext cx="10166987" cy="2244808"/>
          <a:chOff x="2651760" y="7259819"/>
          <a:chExt cx="10166987" cy="2505309"/>
        </a:xfrm>
      </xdr:grpSpPr>
      <xdr:pic>
        <xdr:nvPicPr>
          <xdr:cNvPr id="25" name="Image 24">
            <a:extLst>
              <a:ext uri="{FF2B5EF4-FFF2-40B4-BE49-F238E27FC236}">
                <a16:creationId xmlns:a16="http://schemas.microsoft.com/office/drawing/2014/main" id="{E01DB69F-A72B-2C3C-8E18-C7F06E43EA82}"/>
              </a:ext>
            </a:extLst>
          </xdr:cNvPr>
          <xdr:cNvPicPr>
            <a:picLocks noChangeAspect="1"/>
          </xdr:cNvPicPr>
        </xdr:nvPicPr>
        <xdr:blipFill>
          <a:blip xmlns:r="http://schemas.openxmlformats.org/officeDocument/2006/relationships" r:embed="rId7"/>
          <a:stretch>
            <a:fillRect/>
          </a:stretch>
        </xdr:blipFill>
        <xdr:spPr>
          <a:xfrm>
            <a:off x="2651760" y="7259819"/>
            <a:ext cx="10166987" cy="2494029"/>
          </a:xfrm>
          <a:prstGeom prst="rect">
            <a:avLst/>
          </a:prstGeom>
        </xdr:spPr>
      </xdr:pic>
      <xdr:sp macro="" textlink="">
        <xdr:nvSpPr>
          <xdr:cNvPr id="26" name="Rectangle 25">
            <a:extLst>
              <a:ext uri="{FF2B5EF4-FFF2-40B4-BE49-F238E27FC236}">
                <a16:creationId xmlns:a16="http://schemas.microsoft.com/office/drawing/2014/main" id="{226942B2-BF2E-C85F-9810-F7532A2DE69F}"/>
              </a:ext>
            </a:extLst>
          </xdr:cNvPr>
          <xdr:cNvSpPr/>
        </xdr:nvSpPr>
        <xdr:spPr>
          <a:xfrm>
            <a:off x="7223760" y="8860900"/>
            <a:ext cx="251460" cy="90422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7</xdr:col>
      <xdr:colOff>541020</xdr:colOff>
      <xdr:row>60</xdr:row>
      <xdr:rowOff>83820</xdr:rowOff>
    </xdr:from>
    <xdr:to>
      <xdr:col>8</xdr:col>
      <xdr:colOff>1104900</xdr:colOff>
      <xdr:row>61</xdr:row>
      <xdr:rowOff>175260</xdr:rowOff>
    </xdr:to>
    <xdr:sp macro="" textlink="">
      <xdr:nvSpPr>
        <xdr:cNvPr id="27" name="Rectangle 26">
          <a:extLst>
            <a:ext uri="{FF2B5EF4-FFF2-40B4-BE49-F238E27FC236}">
              <a16:creationId xmlns:a16="http://schemas.microsoft.com/office/drawing/2014/main" id="{08FA5F1B-6D4D-41AF-89EC-28B02852B534}"/>
            </a:ext>
          </a:extLst>
        </xdr:cNvPr>
        <xdr:cNvSpPr/>
      </xdr:nvSpPr>
      <xdr:spPr>
        <a:xfrm>
          <a:off x="8176260" y="12946380"/>
          <a:ext cx="1615440" cy="27432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2</xdr:col>
      <xdr:colOff>60960</xdr:colOff>
      <xdr:row>48</xdr:row>
      <xdr:rowOff>93983</xdr:rowOff>
    </xdr:from>
    <xdr:to>
      <xdr:col>11</xdr:col>
      <xdr:colOff>201931</xdr:colOff>
      <xdr:row>56</xdr:row>
      <xdr:rowOff>140486</xdr:rowOff>
    </xdr:to>
    <xdr:grpSp>
      <xdr:nvGrpSpPr>
        <xdr:cNvPr id="30" name="Groupe 29">
          <a:extLst>
            <a:ext uri="{FF2B5EF4-FFF2-40B4-BE49-F238E27FC236}">
              <a16:creationId xmlns:a16="http://schemas.microsoft.com/office/drawing/2014/main" id="{A4B857B6-5D34-79D8-4222-CF074062CC1B}"/>
            </a:ext>
          </a:extLst>
        </xdr:cNvPr>
        <xdr:cNvGrpSpPr/>
      </xdr:nvGrpSpPr>
      <xdr:grpSpPr>
        <a:xfrm>
          <a:off x="2674620" y="12659363"/>
          <a:ext cx="9216391" cy="2340123"/>
          <a:chOff x="2674620" y="9885683"/>
          <a:chExt cx="9216391" cy="2340123"/>
        </a:xfrm>
      </xdr:grpSpPr>
      <xdr:pic>
        <xdr:nvPicPr>
          <xdr:cNvPr id="28" name="Image 27">
            <a:extLst>
              <a:ext uri="{FF2B5EF4-FFF2-40B4-BE49-F238E27FC236}">
                <a16:creationId xmlns:a16="http://schemas.microsoft.com/office/drawing/2014/main" id="{A1358B50-778A-1EAC-5AA9-8A919FB0CEAF}"/>
              </a:ext>
            </a:extLst>
          </xdr:cNvPr>
          <xdr:cNvPicPr>
            <a:picLocks noChangeAspect="1"/>
          </xdr:cNvPicPr>
        </xdr:nvPicPr>
        <xdr:blipFill>
          <a:blip xmlns:r="http://schemas.openxmlformats.org/officeDocument/2006/relationships" r:embed="rId8"/>
          <a:stretch>
            <a:fillRect/>
          </a:stretch>
        </xdr:blipFill>
        <xdr:spPr>
          <a:xfrm>
            <a:off x="2674620" y="9885683"/>
            <a:ext cx="9216391" cy="2340123"/>
          </a:xfrm>
          <a:prstGeom prst="rect">
            <a:avLst/>
          </a:prstGeom>
        </xdr:spPr>
      </xdr:pic>
      <xdr:sp macro="" textlink="">
        <xdr:nvSpPr>
          <xdr:cNvPr id="29" name="Rectangle 28">
            <a:extLst>
              <a:ext uri="{FF2B5EF4-FFF2-40B4-BE49-F238E27FC236}">
                <a16:creationId xmlns:a16="http://schemas.microsoft.com/office/drawing/2014/main" id="{80794EE2-3746-CB8C-856A-661910E63B03}"/>
              </a:ext>
            </a:extLst>
          </xdr:cNvPr>
          <xdr:cNvSpPr/>
        </xdr:nvSpPr>
        <xdr:spPr>
          <a:xfrm>
            <a:off x="7117080" y="10058400"/>
            <a:ext cx="449580" cy="464820"/>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twoCellAnchor>
    <xdr:from>
      <xdr:col>2</xdr:col>
      <xdr:colOff>0</xdr:colOff>
      <xdr:row>19</xdr:row>
      <xdr:rowOff>177453</xdr:rowOff>
    </xdr:from>
    <xdr:to>
      <xdr:col>12</xdr:col>
      <xdr:colOff>392436</xdr:colOff>
      <xdr:row>30</xdr:row>
      <xdr:rowOff>138669</xdr:rowOff>
    </xdr:to>
    <xdr:grpSp>
      <xdr:nvGrpSpPr>
        <xdr:cNvPr id="34" name="Groupe 33">
          <a:extLst>
            <a:ext uri="{FF2B5EF4-FFF2-40B4-BE49-F238E27FC236}">
              <a16:creationId xmlns:a16="http://schemas.microsoft.com/office/drawing/2014/main" id="{3D05951D-4DC6-FEA7-BB53-DA2806B47F22}"/>
            </a:ext>
          </a:extLst>
        </xdr:cNvPr>
        <xdr:cNvGrpSpPr/>
      </xdr:nvGrpSpPr>
      <xdr:grpSpPr>
        <a:xfrm>
          <a:off x="2613660" y="4475133"/>
          <a:ext cx="10252716" cy="2140536"/>
          <a:chOff x="2613660" y="4475133"/>
          <a:chExt cx="10252716" cy="2140536"/>
        </a:xfrm>
      </xdr:grpSpPr>
      <xdr:pic>
        <xdr:nvPicPr>
          <xdr:cNvPr id="31" name="Image 30">
            <a:extLst>
              <a:ext uri="{FF2B5EF4-FFF2-40B4-BE49-F238E27FC236}">
                <a16:creationId xmlns:a16="http://schemas.microsoft.com/office/drawing/2014/main" id="{98DE0C9E-637B-A1D6-184A-B20836500E46}"/>
              </a:ext>
            </a:extLst>
          </xdr:cNvPr>
          <xdr:cNvPicPr>
            <a:picLocks noChangeAspect="1"/>
          </xdr:cNvPicPr>
        </xdr:nvPicPr>
        <xdr:blipFill>
          <a:blip xmlns:r="http://schemas.openxmlformats.org/officeDocument/2006/relationships" r:embed="rId9"/>
          <a:stretch>
            <a:fillRect/>
          </a:stretch>
        </xdr:blipFill>
        <xdr:spPr>
          <a:xfrm>
            <a:off x="2613660" y="4475133"/>
            <a:ext cx="10252716" cy="2140536"/>
          </a:xfrm>
          <a:prstGeom prst="rect">
            <a:avLst/>
          </a:prstGeom>
        </xdr:spPr>
      </xdr:pic>
      <xdr:sp macro="" textlink="">
        <xdr:nvSpPr>
          <xdr:cNvPr id="32" name="Rectangle 31">
            <a:extLst>
              <a:ext uri="{FF2B5EF4-FFF2-40B4-BE49-F238E27FC236}">
                <a16:creationId xmlns:a16="http://schemas.microsoft.com/office/drawing/2014/main" id="{215EBC5C-12F8-C6D0-F748-33F7B38E4AEE}"/>
              </a:ext>
            </a:extLst>
          </xdr:cNvPr>
          <xdr:cNvSpPr/>
        </xdr:nvSpPr>
        <xdr:spPr>
          <a:xfrm>
            <a:off x="4396740" y="4503420"/>
            <a:ext cx="762000" cy="13716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sp macro="" textlink="">
        <xdr:nvSpPr>
          <xdr:cNvPr id="33" name="Rectangle 32">
            <a:extLst>
              <a:ext uri="{FF2B5EF4-FFF2-40B4-BE49-F238E27FC236}">
                <a16:creationId xmlns:a16="http://schemas.microsoft.com/office/drawing/2014/main" id="{88CC4D22-2F3D-4C99-BE3C-9FC370CC1E12}"/>
              </a:ext>
            </a:extLst>
          </xdr:cNvPr>
          <xdr:cNvSpPr/>
        </xdr:nvSpPr>
        <xdr:spPr>
          <a:xfrm>
            <a:off x="2644140" y="5433060"/>
            <a:ext cx="1165860" cy="289560"/>
          </a:xfrm>
          <a:prstGeom prst="rect">
            <a:avLst/>
          </a:prstGeom>
          <a:no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1489922</xdr:colOff>
      <xdr:row>2</xdr:row>
      <xdr:rowOff>188360</xdr:rowOff>
    </xdr:to>
    <xdr:pic>
      <xdr:nvPicPr>
        <xdr:cNvPr id="2" name="Picture 4">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508776" cy="6935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389965</xdr:colOff>
      <xdr:row>2</xdr:row>
      <xdr:rowOff>42598</xdr:rowOff>
    </xdr:from>
    <xdr:to>
      <xdr:col>6</xdr:col>
      <xdr:colOff>809625</xdr:colOff>
      <xdr:row>3</xdr:row>
      <xdr:rowOff>133350</xdr:rowOff>
    </xdr:to>
    <xdr:sp macro="" textlink="">
      <xdr:nvSpPr>
        <xdr:cNvPr id="3" name="Rectangle: Rounded Corners 5">
          <a:extLst>
            <a:ext uri="{FF2B5EF4-FFF2-40B4-BE49-F238E27FC236}">
              <a16:creationId xmlns:a16="http://schemas.microsoft.com/office/drawing/2014/main" id="{00000000-0008-0000-0100-000003000000}"/>
            </a:ext>
          </a:extLst>
        </xdr:cNvPr>
        <xdr:cNvSpPr/>
      </xdr:nvSpPr>
      <xdr:spPr>
        <a:xfrm>
          <a:off x="5129605" y="553138"/>
          <a:ext cx="6119420" cy="418412"/>
        </a:xfrm>
        <a:prstGeom prst="roundRect">
          <a:avLst>
            <a:gd name="adj" fmla="val 26471"/>
          </a:avLst>
        </a:prstGeom>
        <a:solidFill>
          <a:schemeClr val="accent6">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Diagramme</a:t>
          </a:r>
          <a:r>
            <a:rPr lang="en-US" sz="1800" b="1" kern="1200" baseline="0">
              <a:solidFill>
                <a:srgbClr val="439B69"/>
              </a:solidFill>
              <a:effectLst/>
              <a:latin typeface="+mn-lt"/>
              <a:ea typeface="+mn-ea"/>
              <a:cs typeface="+mn-cs"/>
            </a:rPr>
            <a:t> de Gantt</a:t>
          </a:r>
          <a:endParaRPr lang="en-US" sz="1800" b="1" kern="1200">
            <a:solidFill>
              <a:srgbClr val="439B69"/>
            </a:solidFill>
            <a:effectLst/>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34</xdr:col>
          <xdr:colOff>144780</xdr:colOff>
          <xdr:row>4</xdr:row>
          <xdr:rowOff>213360</xdr:rowOff>
        </xdr:from>
        <xdr:to>
          <xdr:col>48</xdr:col>
          <xdr:colOff>0</xdr:colOff>
          <xdr:row>10</xdr:row>
          <xdr:rowOff>68580</xdr:rowOff>
        </xdr:to>
        <xdr:sp macro="" textlink="">
          <xdr:nvSpPr>
            <xdr:cNvPr id="3075" name="Group Box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fr-FR" sz="800" b="0" i="0" u="none" strike="noStrike" baseline="0">
                  <a:solidFill>
                    <a:srgbClr val="000000"/>
                  </a:solidFill>
                  <a:latin typeface="Segoe UI"/>
                  <a:cs typeface="Segoe UI"/>
                </a:rPr>
                <a:t>Echelle de temps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190500</xdr:colOff>
          <xdr:row>6</xdr:row>
          <xdr:rowOff>22860</xdr:rowOff>
        </xdr:from>
        <xdr:to>
          <xdr:col>39</xdr:col>
          <xdr:colOff>182880</xdr:colOff>
          <xdr:row>7</xdr:row>
          <xdr:rowOff>38100</xdr:rowOff>
        </xdr:to>
        <xdr:sp macro="" textlink="">
          <xdr:nvSpPr>
            <xdr:cNvPr id="3076" name="Option Butto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Jour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190500</xdr:colOff>
          <xdr:row>7</xdr:row>
          <xdr:rowOff>60960</xdr:rowOff>
        </xdr:from>
        <xdr:to>
          <xdr:col>39</xdr:col>
          <xdr:colOff>182880</xdr:colOff>
          <xdr:row>8</xdr:row>
          <xdr:rowOff>76200</xdr:rowOff>
        </xdr:to>
        <xdr:sp macro="" textlink="">
          <xdr:nvSpPr>
            <xdr:cNvPr id="3077" name="Option 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Semaine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190500</xdr:colOff>
          <xdr:row>8</xdr:row>
          <xdr:rowOff>83820</xdr:rowOff>
        </xdr:from>
        <xdr:to>
          <xdr:col>39</xdr:col>
          <xdr:colOff>182880</xdr:colOff>
          <xdr:row>9</xdr:row>
          <xdr:rowOff>106680</xdr:rowOff>
        </xdr:to>
        <xdr:sp macro="" textlink="">
          <xdr:nvSpPr>
            <xdr:cNvPr id="3078" name="Option 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fr-FR" sz="800" b="0" i="0" u="none" strike="noStrike" baseline="0">
                  <a:solidFill>
                    <a:srgbClr val="000000"/>
                  </a:solidFill>
                  <a:latin typeface="Segoe UI"/>
                  <a:cs typeface="Segoe UI"/>
                </a:rPr>
                <a:t>Mois</a:t>
              </a:r>
            </a:p>
          </xdr:txBody>
        </xdr:sp>
        <xdr:clientData/>
      </xdr:twoCellAnchor>
    </mc:Choice>
    <mc:Fallback/>
  </mc:AlternateContent>
  <xdr:twoCellAnchor>
    <xdr:from>
      <xdr:col>60</xdr:col>
      <xdr:colOff>114300</xdr:colOff>
      <xdr:row>16</xdr:row>
      <xdr:rowOff>0</xdr:rowOff>
    </xdr:from>
    <xdr:to>
      <xdr:col>60</xdr:col>
      <xdr:colOff>114300</xdr:colOff>
      <xdr:row>58</xdr:row>
      <xdr:rowOff>0</xdr:rowOff>
    </xdr:to>
    <xdr:cxnSp macro="">
      <xdr:nvCxnSpPr>
        <xdr:cNvPr id="5" name="todayBar">
          <a:extLst>
            <a:ext uri="{FF2B5EF4-FFF2-40B4-BE49-F238E27FC236}">
              <a16:creationId xmlns:a16="http://schemas.microsoft.com/office/drawing/2014/main" id="{00000000-0008-0000-0100-000005000000}"/>
            </a:ext>
          </a:extLst>
        </xdr:cNvPr>
        <xdr:cNvCxnSpPr/>
      </xdr:nvCxnSpPr>
      <xdr:spPr>
        <a:xfrm>
          <a:off x="23774400" y="3581400"/>
          <a:ext cx="0" cy="8450580"/>
        </a:xfrm>
        <a:prstGeom prst="line">
          <a:avLst/>
        </a:prstGeom>
        <a:ln w="19050">
          <a:solidFill>
            <a:srgbClr val="F8CBAD"/>
          </a:solidFill>
        </a:ln>
        <a:effectLst>
          <a:glow rad="88900">
            <a:srgbClr val="FFFF00">
              <a:alpha val="30000"/>
            </a:srgbClr>
          </a:glow>
          <a:outerShdw blurRad="50800" dist="38100" dir="8100000" algn="tr" rotWithShape="0">
            <a:prstClr val="black">
              <a:alpha val="40000"/>
            </a:prstClr>
          </a:outerShdw>
        </a:effectLst>
      </xdr:spPr>
      <xdr:style>
        <a:lnRef idx="1">
          <a:schemeClr val="accent2"/>
        </a:lnRef>
        <a:fillRef idx="0">
          <a:schemeClr val="accent2"/>
        </a:fillRef>
        <a:effectRef idx="0">
          <a:schemeClr val="accent2"/>
        </a:effectRef>
        <a:fontRef idx="minor">
          <a:schemeClr val="tx1"/>
        </a:fontRef>
      </xdr:style>
    </xdr:cxnSp>
    <xdr:clientData/>
  </xdr:twoCellAnchor>
  <xdr:twoCellAnchor>
    <xdr:from>
      <xdr:col>38</xdr:col>
      <xdr:colOff>241481</xdr:colOff>
      <xdr:row>6</xdr:row>
      <xdr:rowOff>134471</xdr:rowOff>
    </xdr:from>
    <xdr:to>
      <xdr:col>47</xdr:col>
      <xdr:colOff>123265</xdr:colOff>
      <xdr:row>8</xdr:row>
      <xdr:rowOff>179295</xdr:rowOff>
    </xdr:to>
    <xdr:sp macro="[0]!afficherBarre" textlink="">
      <xdr:nvSpPr>
        <xdr:cNvPr id="4" name="Rectangle à coins arrondis 3">
          <a:extLst>
            <a:ext uri="{FF2B5EF4-FFF2-40B4-BE49-F238E27FC236}">
              <a16:creationId xmlns:a16="http://schemas.microsoft.com/office/drawing/2014/main" id="{00000000-0008-0000-0100-000004000000}"/>
            </a:ext>
          </a:extLst>
        </xdr:cNvPr>
        <xdr:cNvSpPr/>
      </xdr:nvSpPr>
      <xdr:spPr>
        <a:xfrm>
          <a:off x="17812305" y="1815353"/>
          <a:ext cx="2201401" cy="425824"/>
        </a:xfrm>
        <a:prstGeom prst="roundRect">
          <a:avLst/>
        </a:prstGeom>
        <a:solidFill>
          <a:srgbClr val="439B69"/>
        </a:solidFill>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400"/>
            <a:t>Afficher la date du</a:t>
          </a:r>
          <a:r>
            <a:rPr lang="fr-FR" sz="1400" baseline="0"/>
            <a:t> jour</a:t>
          </a:r>
          <a:endParaRPr lang="fr-FR" sz="1400"/>
        </a:p>
      </xdr:txBody>
    </xdr:sp>
    <xdr:clientData/>
  </xdr:twoCellAnchor>
  <mc:AlternateContent xmlns:mc="http://schemas.openxmlformats.org/markup-compatibility/2006">
    <mc:Choice xmlns:a14="http://schemas.microsoft.com/office/drawing/2010/main" Requires="a14">
      <xdr:twoCellAnchor editAs="oneCell">
        <xdr:from>
          <xdr:col>9</xdr:col>
          <xdr:colOff>38100</xdr:colOff>
          <xdr:row>10</xdr:row>
          <xdr:rowOff>144780</xdr:rowOff>
        </xdr:from>
        <xdr:to>
          <xdr:col>63</xdr:col>
          <xdr:colOff>0</xdr:colOff>
          <xdr:row>12</xdr:row>
          <xdr:rowOff>7620</xdr:rowOff>
        </xdr:to>
        <xdr:sp macro="" textlink="">
          <xdr:nvSpPr>
            <xdr:cNvPr id="3079" name="scrollBAR"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35</xdr:col>
      <xdr:colOff>190500</xdr:colOff>
      <xdr:row>6</xdr:row>
      <xdr:rowOff>22413</xdr:rowOff>
    </xdr:from>
    <xdr:to>
      <xdr:col>38</xdr:col>
      <xdr:colOff>44824</xdr:colOff>
      <xdr:row>7</xdr:row>
      <xdr:rowOff>56031</xdr:rowOff>
    </xdr:to>
    <xdr:sp macro="[0]!jourrrrr" textlink="">
      <xdr:nvSpPr>
        <xdr:cNvPr id="3823" name="Rectangle à coins arrondis 3822">
          <a:extLst>
            <a:ext uri="{FF2B5EF4-FFF2-40B4-BE49-F238E27FC236}">
              <a16:creationId xmlns:a16="http://schemas.microsoft.com/office/drawing/2014/main" id="{00000000-0008-0000-0100-0000EF0E0000}"/>
            </a:ext>
          </a:extLst>
        </xdr:cNvPr>
        <xdr:cNvSpPr/>
      </xdr:nvSpPr>
      <xdr:spPr>
        <a:xfrm>
          <a:off x="16674353" y="1703295"/>
          <a:ext cx="627530" cy="224118"/>
        </a:xfrm>
        <a:prstGeom prst="roundRect">
          <a:avLst/>
        </a:prstGeom>
        <a:solidFill>
          <a:srgbClr val="FFFFFF">
            <a:alpha val="1176"/>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35</xdr:col>
      <xdr:colOff>201712</xdr:colOff>
      <xdr:row>7</xdr:row>
      <xdr:rowOff>56030</xdr:rowOff>
    </xdr:from>
    <xdr:to>
      <xdr:col>38</xdr:col>
      <xdr:colOff>56036</xdr:colOff>
      <xdr:row>8</xdr:row>
      <xdr:rowOff>89648</xdr:rowOff>
    </xdr:to>
    <xdr:sp macro="[0]!semainnnnnnnnnnnnnnnnne" textlink="">
      <xdr:nvSpPr>
        <xdr:cNvPr id="132" name="Rectangle à coins arrondis 131">
          <a:extLst>
            <a:ext uri="{FF2B5EF4-FFF2-40B4-BE49-F238E27FC236}">
              <a16:creationId xmlns:a16="http://schemas.microsoft.com/office/drawing/2014/main" id="{00000000-0008-0000-0100-000084000000}"/>
            </a:ext>
          </a:extLst>
        </xdr:cNvPr>
        <xdr:cNvSpPr/>
      </xdr:nvSpPr>
      <xdr:spPr>
        <a:xfrm>
          <a:off x="16685565" y="1927412"/>
          <a:ext cx="627530" cy="224118"/>
        </a:xfrm>
        <a:prstGeom prst="roundRect">
          <a:avLst/>
        </a:prstGeom>
        <a:solidFill>
          <a:srgbClr val="FFFFFF">
            <a:alpha val="1176"/>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35</xdr:col>
      <xdr:colOff>174814</xdr:colOff>
      <xdr:row>8</xdr:row>
      <xdr:rowOff>62754</xdr:rowOff>
    </xdr:from>
    <xdr:to>
      <xdr:col>38</xdr:col>
      <xdr:colOff>29138</xdr:colOff>
      <xdr:row>9</xdr:row>
      <xdr:rowOff>96372</xdr:rowOff>
    </xdr:to>
    <xdr:sp macro="[0]!moissssssssssss" textlink="">
      <xdr:nvSpPr>
        <xdr:cNvPr id="133" name="Rectangle à coins arrondis 132">
          <a:extLst>
            <a:ext uri="{FF2B5EF4-FFF2-40B4-BE49-F238E27FC236}">
              <a16:creationId xmlns:a16="http://schemas.microsoft.com/office/drawing/2014/main" id="{00000000-0008-0000-0100-000085000000}"/>
            </a:ext>
          </a:extLst>
        </xdr:cNvPr>
        <xdr:cNvSpPr/>
      </xdr:nvSpPr>
      <xdr:spPr>
        <a:xfrm>
          <a:off x="16658667" y="2124636"/>
          <a:ext cx="627530" cy="224118"/>
        </a:xfrm>
        <a:prstGeom prst="roundRect">
          <a:avLst/>
        </a:prstGeom>
        <a:solidFill>
          <a:srgbClr val="FFFFFF">
            <a:alpha val="1176"/>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1</xdr:row>
      <xdr:rowOff>23593</xdr:rowOff>
    </xdr:from>
    <xdr:to>
      <xdr:col>2</xdr:col>
      <xdr:colOff>1266825</xdr:colOff>
      <xdr:row>3</xdr:row>
      <xdr:rowOff>78601</xdr:rowOff>
    </xdr:to>
    <xdr:pic>
      <xdr:nvPicPr>
        <xdr:cNvPr id="2" name="Picture 2">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2875" y="156943"/>
          <a:ext cx="1781175" cy="4360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1143000</xdr:colOff>
      <xdr:row>2</xdr:row>
      <xdr:rowOff>23549</xdr:rowOff>
    </xdr:from>
    <xdr:to>
      <xdr:col>8</xdr:col>
      <xdr:colOff>47625</xdr:colOff>
      <xdr:row>3</xdr:row>
      <xdr:rowOff>228601</xdr:rowOff>
    </xdr:to>
    <xdr:sp macro="" textlink="">
      <xdr:nvSpPr>
        <xdr:cNvPr id="3" name="Rectangle: Rounded Corners 3">
          <a:extLst>
            <a:ext uri="{FF2B5EF4-FFF2-40B4-BE49-F238E27FC236}">
              <a16:creationId xmlns:a16="http://schemas.microsoft.com/office/drawing/2014/main" id="{00000000-0008-0000-0200-000003000000}"/>
            </a:ext>
          </a:extLst>
        </xdr:cNvPr>
        <xdr:cNvSpPr/>
      </xdr:nvSpPr>
      <xdr:spPr>
        <a:xfrm>
          <a:off x="3467100" y="347399"/>
          <a:ext cx="4743450" cy="395552"/>
        </a:xfrm>
        <a:prstGeom prst="roundRect">
          <a:avLst>
            <a:gd name="adj" fmla="val 26471"/>
          </a:avLst>
        </a:prstGeom>
        <a:solidFill>
          <a:schemeClr val="accent6">
            <a:lumMod val="20000"/>
            <a:lumOff val="80000"/>
          </a:schemeClr>
        </a:solidFill>
        <a:ln>
          <a:solidFill>
            <a:srgbClr val="62BD8A"/>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800" b="1" kern="1200">
              <a:solidFill>
                <a:srgbClr val="439B69"/>
              </a:solidFill>
              <a:effectLst/>
              <a:latin typeface="+mn-lt"/>
              <a:ea typeface="+mn-ea"/>
              <a:cs typeface="+mn-cs"/>
            </a:rPr>
            <a:t>Ressources impliquées dans le projet</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hyperlink" Target="mailto:SaulnierH@confassis.com" TargetMode="External"/><Relationship Id="rId13" Type="http://schemas.openxmlformats.org/officeDocument/2006/relationships/drawing" Target="../drawings/drawing3.xml"/><Relationship Id="rId3" Type="http://schemas.openxmlformats.org/officeDocument/2006/relationships/hyperlink" Target="mailto:LourteG@confassis.com" TargetMode="External"/><Relationship Id="rId7" Type="http://schemas.openxmlformats.org/officeDocument/2006/relationships/hyperlink" Target="mailto:RefourC@confassis.com" TargetMode="External"/><Relationship Id="rId12" Type="http://schemas.openxmlformats.org/officeDocument/2006/relationships/hyperlink" Target="mailto:ClonetG@confassis.com" TargetMode="External"/><Relationship Id="rId2" Type="http://schemas.openxmlformats.org/officeDocument/2006/relationships/hyperlink" Target="mailto:AnselmeM@confassis.com" TargetMode="External"/><Relationship Id="rId1" Type="http://schemas.openxmlformats.org/officeDocument/2006/relationships/hyperlink" Target="mailto:DupuisB@confassis.com" TargetMode="External"/><Relationship Id="rId6" Type="http://schemas.openxmlformats.org/officeDocument/2006/relationships/hyperlink" Target="mailto:LeperreE@confassis.com" TargetMode="External"/><Relationship Id="rId11" Type="http://schemas.openxmlformats.org/officeDocument/2006/relationships/hyperlink" Target="mailto:FleurA@confassis.com" TargetMode="External"/><Relationship Id="rId5" Type="http://schemas.openxmlformats.org/officeDocument/2006/relationships/hyperlink" Target="mailto:TassinB@confassis.com" TargetMode="External"/><Relationship Id="rId10" Type="http://schemas.openxmlformats.org/officeDocument/2006/relationships/hyperlink" Target="mailto:BinotJ@confassis.com" TargetMode="External"/><Relationship Id="rId4" Type="http://schemas.openxmlformats.org/officeDocument/2006/relationships/hyperlink" Target="mailto:PosteM@confassis.com" TargetMode="External"/><Relationship Id="rId9" Type="http://schemas.openxmlformats.org/officeDocument/2006/relationships/hyperlink" Target="mailto:EllinM@confassi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AL275"/>
  <sheetViews>
    <sheetView showRowColHeaders="0" tabSelected="1" workbookViewId="0">
      <selection activeCell="B19" sqref="B19"/>
    </sheetView>
  </sheetViews>
  <sheetFormatPr baseColWidth="10" defaultColWidth="11.44140625" defaultRowHeight="14.4" x14ac:dyDescent="0.3"/>
  <cols>
    <col min="1" max="1" width="11.44140625" style="5"/>
    <col min="2" max="2" width="26.6640625" style="5" customWidth="1"/>
    <col min="3" max="3" width="15.88671875" style="5" customWidth="1"/>
    <col min="4" max="4" width="16" style="5" customWidth="1"/>
    <col min="5" max="5" width="11.44140625" style="5"/>
    <col min="6" max="6" width="18.44140625" style="5" customWidth="1"/>
    <col min="7" max="7" width="11.44140625" style="5"/>
    <col min="8" max="8" width="15.33203125" style="5" customWidth="1"/>
    <col min="9" max="9" width="20.88671875" style="5" customWidth="1"/>
    <col min="10" max="16384" width="11.44140625" style="5"/>
  </cols>
  <sheetData>
    <row r="1" spans="1:38" x14ac:dyDescent="0.3">
      <c r="A1" s="4"/>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row>
    <row r="2" spans="1:38" x14ac:dyDescent="0.3">
      <c r="A2" s="4"/>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row>
    <row r="3" spans="1:38" x14ac:dyDescent="0.3">
      <c r="A3" s="4"/>
      <c r="B3" s="4"/>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row>
    <row r="4" spans="1:38" x14ac:dyDescent="0.3">
      <c r="A4" s="4"/>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row>
    <row r="5" spans="1:38" x14ac:dyDescent="0.3">
      <c r="A5" s="4"/>
      <c r="B5" s="4"/>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row>
    <row r="6" spans="1:38" x14ac:dyDescent="0.3">
      <c r="A6" s="4"/>
      <c r="B6" s="4"/>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row>
    <row r="7" spans="1:38" ht="21" x14ac:dyDescent="0.4">
      <c r="A7" s="4"/>
      <c r="B7" s="79" t="s">
        <v>188</v>
      </c>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row>
    <row r="8" spans="1:38" x14ac:dyDescent="0.3">
      <c r="A8" s="4"/>
      <c r="B8" s="78" t="s">
        <v>187</v>
      </c>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row>
    <row r="9" spans="1:38" ht="23.4" x14ac:dyDescent="0.45">
      <c r="A9" s="4"/>
      <c r="B9" s="6"/>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row>
    <row r="10" spans="1:38" ht="23.4" x14ac:dyDescent="0.45">
      <c r="A10" s="4"/>
      <c r="B10" s="6"/>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row>
    <row r="11" spans="1:38" ht="23.4" x14ac:dyDescent="0.45">
      <c r="A11" s="4"/>
      <c r="B11" s="6"/>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row>
    <row r="12" spans="1:38" ht="23.4" x14ac:dyDescent="0.45">
      <c r="A12" s="4"/>
      <c r="B12" s="6"/>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row>
    <row r="13" spans="1:38" ht="23.4" x14ac:dyDescent="0.45">
      <c r="A13" s="4"/>
      <c r="B13" s="6"/>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row>
    <row r="14" spans="1:38" x14ac:dyDescent="0.3">
      <c r="A14" s="4"/>
      <c r="B14" s="4"/>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row>
    <row r="15" spans="1:38" s="8" customFormat="1" ht="20.399999999999999" customHeight="1" x14ac:dyDescent="0.3">
      <c r="A15" s="7"/>
      <c r="B15" s="112" t="s">
        <v>179</v>
      </c>
      <c r="C15" s="112"/>
      <c r="D15" s="112"/>
      <c r="E15" s="112"/>
      <c r="F15" s="112"/>
      <c r="G15" s="112"/>
      <c r="H15" s="112"/>
      <c r="I15" s="112"/>
      <c r="J15" s="112"/>
      <c r="K15" s="112"/>
      <c r="L15" s="112"/>
      <c r="M15" s="112"/>
      <c r="N15" s="4"/>
      <c r="O15" s="4"/>
      <c r="P15" s="4"/>
      <c r="Q15" s="4"/>
      <c r="R15" s="7"/>
      <c r="S15" s="7"/>
      <c r="T15" s="7"/>
      <c r="U15" s="7"/>
      <c r="V15" s="7"/>
      <c r="W15" s="7"/>
      <c r="X15" s="7"/>
      <c r="Y15" s="7"/>
      <c r="Z15" s="7"/>
      <c r="AA15" s="7"/>
      <c r="AB15" s="7"/>
      <c r="AC15" s="7"/>
      <c r="AD15" s="7"/>
      <c r="AE15" s="7"/>
      <c r="AF15" s="7"/>
      <c r="AG15" s="7"/>
      <c r="AH15" s="7"/>
      <c r="AI15" s="7"/>
      <c r="AJ15" s="7"/>
      <c r="AK15" s="7"/>
      <c r="AL15" s="7"/>
    </row>
    <row r="16" spans="1:38" ht="18" x14ac:dyDescent="0.35">
      <c r="A16" s="4"/>
      <c r="B16" s="11" t="s">
        <v>115</v>
      </c>
      <c r="C16" s="9"/>
      <c r="D16" s="9"/>
      <c r="E16" s="9"/>
      <c r="F16" s="9"/>
      <c r="G16" s="9"/>
      <c r="H16" s="10"/>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row>
    <row r="17" spans="1:38" ht="15.6" x14ac:dyDescent="0.3">
      <c r="A17" s="4"/>
      <c r="B17" s="10" t="s">
        <v>192</v>
      </c>
      <c r="C17" s="10"/>
      <c r="D17" s="10"/>
      <c r="E17" s="10"/>
      <c r="F17" s="10"/>
      <c r="G17" s="10"/>
      <c r="H17" s="10"/>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row>
    <row r="18" spans="1:38" ht="15.6" x14ac:dyDescent="0.3">
      <c r="A18" s="4"/>
      <c r="B18" s="10" t="s">
        <v>185</v>
      </c>
      <c r="C18" s="10"/>
      <c r="D18" s="10"/>
      <c r="E18" s="10"/>
      <c r="F18" s="10"/>
      <c r="G18" s="10"/>
      <c r="H18" s="10"/>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row>
    <row r="19" spans="1:38" ht="15.6" x14ac:dyDescent="0.3">
      <c r="A19" s="4"/>
      <c r="B19" s="11" t="s">
        <v>198</v>
      </c>
      <c r="C19" s="10" t="s">
        <v>199</v>
      </c>
      <c r="D19" s="10"/>
      <c r="E19" s="10"/>
      <c r="F19" s="10"/>
      <c r="G19" s="10"/>
      <c r="H19" s="10"/>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row>
    <row r="20" spans="1:38" ht="15.6" x14ac:dyDescent="0.3">
      <c r="A20" s="4"/>
      <c r="B20" s="11"/>
      <c r="C20" s="10"/>
      <c r="D20" s="10"/>
      <c r="E20" s="10"/>
      <c r="F20" s="10"/>
      <c r="G20" s="10"/>
      <c r="H20" s="10"/>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row>
    <row r="21" spans="1:38" ht="15.6" x14ac:dyDescent="0.3">
      <c r="A21" s="4"/>
      <c r="B21" s="11"/>
      <c r="C21" s="10"/>
      <c r="D21" s="10"/>
      <c r="E21" s="10"/>
      <c r="F21" s="10"/>
      <c r="G21" s="10"/>
      <c r="H21" s="10"/>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row>
    <row r="22" spans="1:38" ht="15.6" x14ac:dyDescent="0.3">
      <c r="A22" s="4"/>
      <c r="B22" s="11"/>
      <c r="C22" s="10"/>
      <c r="D22" s="10"/>
      <c r="E22" s="10"/>
      <c r="F22" s="10"/>
      <c r="G22" s="10"/>
      <c r="H22" s="10"/>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row>
    <row r="23" spans="1:38" ht="15.6" x14ac:dyDescent="0.3">
      <c r="A23" s="4"/>
      <c r="B23" s="11"/>
      <c r="C23" s="10"/>
      <c r="D23" s="10"/>
      <c r="E23" s="10"/>
      <c r="F23" s="10"/>
      <c r="G23" s="10"/>
      <c r="H23" s="10"/>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row>
    <row r="24" spans="1:38" ht="15.6" x14ac:dyDescent="0.3">
      <c r="A24" s="4"/>
      <c r="B24" s="11"/>
      <c r="C24" s="10"/>
      <c r="D24" s="10"/>
      <c r="E24" s="10"/>
      <c r="F24" s="10"/>
      <c r="G24" s="10"/>
      <c r="H24" s="10"/>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row>
    <row r="25" spans="1:38" ht="15.6" x14ac:dyDescent="0.3">
      <c r="A25" s="4"/>
      <c r="B25" s="11"/>
      <c r="C25" s="10"/>
      <c r="D25" s="10"/>
      <c r="E25" s="10"/>
      <c r="F25" s="10"/>
      <c r="G25" s="10"/>
      <c r="H25" s="10"/>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row>
    <row r="26" spans="1:38" ht="15.6" x14ac:dyDescent="0.3">
      <c r="A26" s="4"/>
      <c r="B26" s="11"/>
      <c r="C26" s="10"/>
      <c r="D26" s="10"/>
      <c r="E26" s="10"/>
      <c r="F26" s="10"/>
      <c r="G26" s="10"/>
      <c r="H26" s="10"/>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row>
    <row r="27" spans="1:38" ht="15.6" x14ac:dyDescent="0.3">
      <c r="A27" s="4"/>
      <c r="B27" s="11"/>
      <c r="C27" s="10"/>
      <c r="D27" s="10"/>
      <c r="E27" s="10"/>
      <c r="F27" s="10"/>
      <c r="G27" s="10"/>
      <c r="H27" s="10"/>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row>
    <row r="28" spans="1:38" ht="15.6" x14ac:dyDescent="0.3">
      <c r="A28" s="4"/>
      <c r="B28" s="11"/>
      <c r="C28" s="10"/>
      <c r="D28" s="10"/>
      <c r="E28" s="10"/>
      <c r="F28" s="10"/>
      <c r="G28" s="10"/>
      <c r="H28" s="10"/>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row>
    <row r="29" spans="1:38" ht="15.6" x14ac:dyDescent="0.3">
      <c r="A29" s="4"/>
      <c r="B29" s="11"/>
      <c r="C29" s="10"/>
      <c r="D29" s="10"/>
      <c r="E29" s="10"/>
      <c r="F29" s="10"/>
      <c r="G29" s="10"/>
      <c r="H29" s="10"/>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row>
    <row r="30" spans="1:38" ht="15.6" x14ac:dyDescent="0.3">
      <c r="A30" s="4"/>
      <c r="B30" s="11"/>
      <c r="C30" s="10"/>
      <c r="D30" s="10"/>
      <c r="E30" s="10"/>
      <c r="F30" s="10"/>
      <c r="G30" s="10"/>
      <c r="H30" s="10"/>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row>
    <row r="31" spans="1:38" ht="15.6" x14ac:dyDescent="0.3">
      <c r="A31" s="4"/>
      <c r="B31" s="11"/>
      <c r="C31" s="10"/>
      <c r="D31" s="10"/>
      <c r="E31" s="10"/>
      <c r="F31" s="10"/>
      <c r="G31" s="10"/>
      <c r="H31" s="10"/>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row>
    <row r="32" spans="1:38" ht="15.6" x14ac:dyDescent="0.3">
      <c r="A32" s="4"/>
      <c r="B32" s="11"/>
      <c r="C32" s="10"/>
      <c r="D32" s="10"/>
      <c r="E32" s="10"/>
      <c r="F32" s="10"/>
      <c r="G32" s="10"/>
      <c r="H32" s="10"/>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row>
    <row r="33" spans="1:38" ht="15.6" x14ac:dyDescent="0.3">
      <c r="A33" s="4"/>
      <c r="B33" s="11" t="s">
        <v>23</v>
      </c>
      <c r="C33" s="10" t="s">
        <v>116</v>
      </c>
      <c r="D33" s="10"/>
      <c r="E33" s="10"/>
      <c r="F33" s="10"/>
      <c r="G33" s="10"/>
      <c r="H33" s="10"/>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row>
    <row r="34" spans="1:38" ht="18.75" customHeight="1" x14ac:dyDescent="0.3">
      <c r="A34" s="4"/>
      <c r="B34" s="12" t="s">
        <v>24</v>
      </c>
      <c r="C34" s="113" t="s">
        <v>25</v>
      </c>
      <c r="D34" s="113"/>
      <c r="E34" s="113"/>
      <c r="F34" s="113"/>
      <c r="G34" s="113"/>
      <c r="H34" s="113"/>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row>
    <row r="35" spans="1:38" ht="15.6" x14ac:dyDescent="0.3">
      <c r="A35" s="4"/>
      <c r="B35" s="11" t="s">
        <v>26</v>
      </c>
      <c r="C35" s="10" t="s">
        <v>117</v>
      </c>
      <c r="D35" s="10"/>
      <c r="E35" s="10"/>
      <c r="F35" s="10"/>
      <c r="G35" s="10"/>
      <c r="H35" s="10"/>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row>
    <row r="36" spans="1:38" ht="15.6" x14ac:dyDescent="0.3">
      <c r="A36" s="4"/>
      <c r="B36" s="11"/>
      <c r="C36" s="10"/>
      <c r="D36" s="10"/>
      <c r="E36" s="10"/>
      <c r="F36" s="10"/>
      <c r="G36" s="10"/>
      <c r="H36" s="10"/>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row>
    <row r="37" spans="1:38" ht="46.35" customHeight="1" x14ac:dyDescent="0.3">
      <c r="A37" s="4"/>
      <c r="B37" s="12" t="s">
        <v>27</v>
      </c>
      <c r="C37" s="113" t="s">
        <v>186</v>
      </c>
      <c r="D37" s="113"/>
      <c r="E37" s="113"/>
      <c r="F37" s="113"/>
      <c r="G37" s="113"/>
      <c r="H37" s="113"/>
      <c r="I37" s="113"/>
      <c r="J37" s="113"/>
      <c r="K37" s="113"/>
      <c r="L37" s="113"/>
      <c r="M37" s="113"/>
      <c r="N37" s="4"/>
      <c r="O37" s="4"/>
      <c r="P37" s="4"/>
      <c r="Q37" s="4"/>
      <c r="R37" s="4"/>
      <c r="S37" s="4"/>
      <c r="T37" s="4"/>
      <c r="U37" s="4"/>
      <c r="V37" s="4"/>
      <c r="W37" s="4"/>
      <c r="X37" s="4"/>
      <c r="Y37" s="4"/>
      <c r="Z37" s="4"/>
      <c r="AA37" s="4"/>
      <c r="AB37" s="4"/>
      <c r="AC37" s="4"/>
      <c r="AD37" s="4"/>
      <c r="AE37" s="4"/>
      <c r="AF37" s="4"/>
      <c r="AG37" s="4"/>
      <c r="AH37" s="4"/>
      <c r="AI37" s="4"/>
      <c r="AJ37" s="4"/>
      <c r="AK37" s="4"/>
      <c r="AL37" s="4"/>
    </row>
    <row r="38" spans="1:38" ht="25.5" customHeight="1" x14ac:dyDescent="0.3">
      <c r="A38" s="4"/>
      <c r="B38" s="12" t="s">
        <v>4</v>
      </c>
      <c r="C38" s="113" t="s">
        <v>30</v>
      </c>
      <c r="D38" s="113"/>
      <c r="E38" s="113"/>
      <c r="F38" s="113"/>
      <c r="G38" s="113"/>
      <c r="H38" s="113"/>
      <c r="I38" s="113"/>
      <c r="J38" s="13"/>
      <c r="K38" s="13"/>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row>
    <row r="39" spans="1:38" ht="23.25" customHeight="1" x14ac:dyDescent="0.3">
      <c r="A39" s="4"/>
      <c r="B39" s="12" t="s">
        <v>28</v>
      </c>
      <c r="C39" s="113" t="s">
        <v>29</v>
      </c>
      <c r="D39" s="113"/>
      <c r="E39" s="113"/>
      <c r="F39" s="113"/>
      <c r="G39" s="113"/>
      <c r="H39" s="113"/>
      <c r="I39" s="113"/>
      <c r="J39" s="13"/>
      <c r="K39" s="13"/>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row>
    <row r="40" spans="1:38" ht="28.5" customHeight="1" x14ac:dyDescent="0.3">
      <c r="A40" s="4"/>
      <c r="B40" s="12" t="s">
        <v>31</v>
      </c>
      <c r="C40" s="113" t="s">
        <v>118</v>
      </c>
      <c r="D40" s="113"/>
      <c r="E40" s="113"/>
      <c r="F40" s="113"/>
      <c r="G40" s="113"/>
      <c r="H40" s="113"/>
      <c r="I40" s="113"/>
      <c r="J40" s="113"/>
      <c r="K40" s="113"/>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row>
    <row r="41" spans="1:38" ht="38.25" customHeight="1" x14ac:dyDescent="0.3">
      <c r="A41" s="4"/>
      <c r="B41" s="12" t="s">
        <v>5</v>
      </c>
      <c r="C41" s="113" t="s">
        <v>195</v>
      </c>
      <c r="D41" s="113"/>
      <c r="E41" s="113"/>
      <c r="F41" s="113"/>
      <c r="G41" s="113"/>
      <c r="H41" s="113"/>
      <c r="I41" s="113"/>
      <c r="J41" s="113"/>
      <c r="K41" s="113"/>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row>
    <row r="42" spans="1:38" ht="38.25" customHeight="1" x14ac:dyDescent="0.3">
      <c r="A42" s="4"/>
      <c r="B42" s="12"/>
      <c r="C42" s="111"/>
      <c r="D42" s="111"/>
      <c r="E42" s="111"/>
      <c r="F42" s="111"/>
      <c r="G42" s="111"/>
      <c r="H42" s="111"/>
      <c r="I42" s="111"/>
      <c r="J42" s="111"/>
      <c r="K42" s="111"/>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row>
    <row r="43" spans="1:38" ht="38.25" customHeight="1" x14ac:dyDescent="0.3">
      <c r="A43" s="4"/>
      <c r="B43" s="12"/>
      <c r="C43" s="111"/>
      <c r="D43" s="111"/>
      <c r="E43" s="111"/>
      <c r="F43" s="111"/>
      <c r="G43" s="111"/>
      <c r="H43" s="111"/>
      <c r="I43" s="111"/>
      <c r="J43" s="111"/>
      <c r="K43" s="111"/>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row>
    <row r="44" spans="1:38" ht="38.25" customHeight="1" x14ac:dyDescent="0.3">
      <c r="A44" s="4"/>
      <c r="B44" s="12"/>
      <c r="C44" s="111"/>
      <c r="D44" s="111"/>
      <c r="E44" s="111"/>
      <c r="F44" s="111"/>
      <c r="G44" s="111"/>
      <c r="H44" s="111"/>
      <c r="I44" s="111"/>
      <c r="J44" s="111"/>
      <c r="K44" s="111"/>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row>
    <row r="45" spans="1:38" ht="38.25" customHeight="1" x14ac:dyDescent="0.3">
      <c r="A45" s="4"/>
      <c r="B45" s="12"/>
      <c r="C45" s="111"/>
      <c r="D45" s="111"/>
      <c r="E45" s="111"/>
      <c r="F45" s="111"/>
      <c r="G45" s="111"/>
      <c r="H45" s="111"/>
      <c r="I45" s="111"/>
      <c r="J45" s="111"/>
      <c r="K45" s="111"/>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row>
    <row r="46" spans="1:38" ht="38.25" customHeight="1" x14ac:dyDescent="0.3">
      <c r="A46" s="4"/>
      <c r="B46" s="12"/>
      <c r="C46" s="111"/>
      <c r="D46" s="111"/>
      <c r="E46" s="111"/>
      <c r="F46" s="111"/>
      <c r="G46" s="111"/>
      <c r="H46" s="111"/>
      <c r="I46" s="111"/>
      <c r="J46" s="111"/>
      <c r="K46" s="111"/>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row>
    <row r="47" spans="1:38" ht="18" customHeight="1" x14ac:dyDescent="0.3">
      <c r="A47" s="4"/>
      <c r="B47" s="12"/>
      <c r="C47" s="113"/>
      <c r="D47" s="113"/>
      <c r="E47" s="113"/>
      <c r="F47" s="113"/>
      <c r="G47" s="113"/>
      <c r="H47" s="113"/>
      <c r="I47" s="113"/>
      <c r="J47" s="13"/>
      <c r="K47" s="13"/>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row>
    <row r="48" spans="1:38" ht="15.6" x14ac:dyDescent="0.3">
      <c r="A48" s="4"/>
      <c r="B48" s="12" t="s">
        <v>194</v>
      </c>
      <c r="C48" s="4" t="s">
        <v>196</v>
      </c>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row>
    <row r="49" spans="1:38" x14ac:dyDescent="0.3">
      <c r="B49" s="4"/>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row>
    <row r="50" spans="1:38" x14ac:dyDescent="0.3">
      <c r="A50" s="4"/>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row>
    <row r="51" spans="1:38" x14ac:dyDescent="0.3">
      <c r="A51" s="4"/>
      <c r="B51" s="4"/>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row>
    <row r="52" spans="1:38" x14ac:dyDescent="0.3">
      <c r="A52" s="4"/>
      <c r="B52" s="14"/>
      <c r="C52" s="1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row>
    <row r="53" spans="1:38" ht="18.75" customHeight="1" x14ac:dyDescent="0.3">
      <c r="A53" s="4"/>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row>
    <row r="54" spans="1:38" ht="43.5" customHeight="1" x14ac:dyDescent="0.3">
      <c r="A54" s="4"/>
      <c r="B54" s="4"/>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row>
    <row r="55" spans="1:38" ht="47.25" customHeight="1" x14ac:dyDescent="0.3">
      <c r="A55" s="4"/>
      <c r="B55" s="4"/>
      <c r="C55" s="4"/>
      <c r="D55" s="4"/>
      <c r="E55" s="114"/>
      <c r="F55" s="114"/>
      <c r="G55" s="114"/>
      <c r="H55" s="114"/>
      <c r="I55" s="114"/>
      <c r="J55" s="114"/>
      <c r="K55" s="114"/>
      <c r="L55" s="114"/>
      <c r="M55" s="114"/>
      <c r="N55" s="4"/>
      <c r="O55" s="4"/>
      <c r="P55" s="4"/>
      <c r="Q55" s="4"/>
      <c r="R55" s="4"/>
      <c r="S55" s="4"/>
      <c r="T55" s="4"/>
      <c r="U55" s="4"/>
      <c r="V55" s="4"/>
      <c r="W55" s="4"/>
      <c r="X55" s="4"/>
      <c r="Y55" s="4"/>
      <c r="Z55" s="4"/>
      <c r="AA55" s="4"/>
      <c r="AB55" s="4"/>
      <c r="AC55" s="4"/>
      <c r="AD55" s="4"/>
      <c r="AE55" s="4"/>
      <c r="AF55" s="4"/>
      <c r="AG55" s="4"/>
      <c r="AH55" s="4"/>
      <c r="AI55" s="4"/>
      <c r="AJ55" s="4"/>
      <c r="AK55" s="4"/>
      <c r="AL55" s="4"/>
    </row>
    <row r="56" spans="1:38" x14ac:dyDescent="0.3">
      <c r="A56" s="4"/>
      <c r="B56" s="4"/>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row>
    <row r="57" spans="1:38" ht="18" customHeight="1" x14ac:dyDescent="0.3">
      <c r="A57" s="4"/>
      <c r="B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row>
    <row r="58" spans="1:38" x14ac:dyDescent="0.3">
      <c r="A58" s="4"/>
      <c r="B58" s="4"/>
      <c r="C58" s="4" t="s">
        <v>197</v>
      </c>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row>
    <row r="59" spans="1:38" x14ac:dyDescent="0.3">
      <c r="A59" s="4"/>
      <c r="B59" s="4"/>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row>
    <row r="60" spans="1:38" x14ac:dyDescent="0.3">
      <c r="A60" s="4"/>
      <c r="B60" s="4"/>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row>
    <row r="61" spans="1:38" x14ac:dyDescent="0.3">
      <c r="A61" s="4"/>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row>
    <row r="62" spans="1:38" x14ac:dyDescent="0.3">
      <c r="A62" s="4"/>
      <c r="B62" s="4"/>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row>
    <row r="63" spans="1:38" x14ac:dyDescent="0.3">
      <c r="A63" s="4"/>
      <c r="B63" s="4"/>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row>
    <row r="64" spans="1:38" x14ac:dyDescent="0.3">
      <c r="A64" s="4"/>
      <c r="B64" s="4"/>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row>
    <row r="65" spans="1:38" x14ac:dyDescent="0.3">
      <c r="A65" s="4"/>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row>
    <row r="66" spans="1:38" x14ac:dyDescent="0.3">
      <c r="A66" s="4"/>
      <c r="B66" s="4"/>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row>
    <row r="67" spans="1:38" x14ac:dyDescent="0.3">
      <c r="A67" s="4"/>
      <c r="B67" s="4"/>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row>
    <row r="68" spans="1:38" x14ac:dyDescent="0.3">
      <c r="A68" s="4"/>
      <c r="B68" s="4"/>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row>
    <row r="69" spans="1:38" x14ac:dyDescent="0.3">
      <c r="A69" s="4"/>
      <c r="B69" s="4"/>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row>
    <row r="70" spans="1:38" x14ac:dyDescent="0.3">
      <c r="A70" s="4"/>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row>
    <row r="71" spans="1:38" x14ac:dyDescent="0.3">
      <c r="A71" s="4"/>
      <c r="B71" s="4"/>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row>
    <row r="72" spans="1:38" x14ac:dyDescent="0.3">
      <c r="A72" s="4"/>
      <c r="B72" s="4"/>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row>
    <row r="73" spans="1:38" ht="21" x14ac:dyDescent="0.3">
      <c r="A73" s="4"/>
      <c r="B73" s="112" t="s">
        <v>180</v>
      </c>
      <c r="C73" s="112"/>
      <c r="D73" s="112"/>
      <c r="E73" s="112"/>
      <c r="F73" s="112"/>
      <c r="G73" s="112"/>
      <c r="H73" s="112"/>
      <c r="I73" s="112"/>
      <c r="J73" s="112"/>
      <c r="K73" s="112"/>
      <c r="L73" s="112"/>
      <c r="M73" s="112"/>
      <c r="N73" s="4"/>
      <c r="O73" s="4"/>
      <c r="P73" s="4"/>
      <c r="Q73" s="4"/>
      <c r="R73" s="4"/>
      <c r="S73" s="4"/>
      <c r="T73" s="4"/>
      <c r="U73" s="4"/>
      <c r="V73" s="4"/>
      <c r="W73" s="4"/>
      <c r="X73" s="4"/>
      <c r="Y73" s="4"/>
      <c r="Z73" s="4"/>
      <c r="AA73" s="4"/>
      <c r="AB73" s="4"/>
      <c r="AC73" s="4"/>
      <c r="AD73" s="4"/>
      <c r="AE73" s="4"/>
      <c r="AF73" s="4"/>
      <c r="AG73" s="4"/>
      <c r="AH73" s="4"/>
      <c r="AI73" s="4"/>
      <c r="AJ73" s="4"/>
      <c r="AK73" s="4"/>
      <c r="AL73" s="4"/>
    </row>
    <row r="74" spans="1:38" ht="15.6" x14ac:dyDescent="0.3">
      <c r="A74" s="4"/>
      <c r="B74" s="11" t="s">
        <v>181</v>
      </c>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row>
    <row r="75" spans="1:38" ht="15.6" x14ac:dyDescent="0.3">
      <c r="A75" s="4"/>
      <c r="B75" s="10" t="s">
        <v>182</v>
      </c>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row>
    <row r="76" spans="1:38" ht="15.6" x14ac:dyDescent="0.3">
      <c r="A76" s="4"/>
      <c r="B76" s="10" t="s">
        <v>183</v>
      </c>
      <c r="C76" s="4"/>
      <c r="D76" s="4"/>
      <c r="E76" s="114"/>
      <c r="F76" s="114"/>
      <c r="G76" s="114"/>
      <c r="H76" s="114"/>
      <c r="I76" s="114"/>
      <c r="J76" s="114"/>
      <c r="K76" s="114"/>
      <c r="L76" s="114"/>
      <c r="M76" s="4"/>
      <c r="N76" s="4"/>
      <c r="O76" s="4"/>
      <c r="P76" s="4"/>
      <c r="Q76" s="4"/>
      <c r="R76" s="4"/>
      <c r="S76" s="4"/>
      <c r="T76" s="4"/>
      <c r="U76" s="4"/>
      <c r="V76" s="4"/>
      <c r="W76" s="4"/>
      <c r="X76" s="4"/>
      <c r="Y76" s="4"/>
      <c r="Z76" s="4"/>
      <c r="AA76" s="4"/>
      <c r="AB76" s="4"/>
      <c r="AC76" s="4"/>
      <c r="AD76" s="4"/>
      <c r="AE76" s="4"/>
      <c r="AF76" s="4"/>
      <c r="AG76" s="4"/>
      <c r="AH76" s="4"/>
      <c r="AI76" s="4"/>
      <c r="AJ76" s="4"/>
      <c r="AK76" s="4"/>
      <c r="AL76" s="4"/>
    </row>
    <row r="77" spans="1:38" x14ac:dyDescent="0.3">
      <c r="A77" s="4"/>
      <c r="B77" s="115"/>
      <c r="C77" s="115"/>
      <c r="D77" s="115"/>
      <c r="E77" s="114"/>
      <c r="F77" s="114"/>
      <c r="G77" s="114"/>
      <c r="H77" s="114"/>
      <c r="I77" s="114"/>
      <c r="J77" s="114"/>
      <c r="K77" s="114"/>
      <c r="L77" s="114"/>
      <c r="M77" s="4"/>
      <c r="N77" s="4"/>
      <c r="O77" s="4"/>
      <c r="P77" s="4"/>
      <c r="Q77" s="4"/>
      <c r="R77" s="4"/>
      <c r="S77" s="4"/>
      <c r="T77" s="4"/>
      <c r="U77" s="4"/>
      <c r="V77" s="4"/>
      <c r="W77" s="4"/>
      <c r="X77" s="4"/>
      <c r="Y77" s="4"/>
      <c r="Z77" s="4"/>
      <c r="AA77" s="4"/>
      <c r="AB77" s="4"/>
      <c r="AC77" s="4"/>
      <c r="AD77" s="4"/>
      <c r="AE77" s="4"/>
      <c r="AF77" s="4"/>
      <c r="AG77" s="4"/>
      <c r="AH77" s="4"/>
      <c r="AI77" s="4"/>
      <c r="AJ77" s="4"/>
      <c r="AK77" s="4"/>
      <c r="AL77" s="4"/>
    </row>
    <row r="78" spans="1:38" x14ac:dyDescent="0.3">
      <c r="A78" s="4"/>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row>
    <row r="79" spans="1:38" x14ac:dyDescent="0.3">
      <c r="A79" s="4"/>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row>
    <row r="80" spans="1:38" x14ac:dyDescent="0.3">
      <c r="A80" s="4"/>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row>
    <row r="81" spans="1:38" x14ac:dyDescent="0.3">
      <c r="A81" s="4"/>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row>
    <row r="82" spans="1:38" x14ac:dyDescent="0.3">
      <c r="A82" s="4"/>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row>
    <row r="83" spans="1:38" x14ac:dyDescent="0.3">
      <c r="A83" s="4"/>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row>
    <row r="84" spans="1:38" x14ac:dyDescent="0.3">
      <c r="A84" s="4"/>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row>
    <row r="85" spans="1:38" x14ac:dyDescent="0.3">
      <c r="A85" s="4"/>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row>
    <row r="86" spans="1:38" x14ac:dyDescent="0.3">
      <c r="A86" s="4"/>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row>
    <row r="87" spans="1:38" x14ac:dyDescent="0.3">
      <c r="A87" s="4"/>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row>
    <row r="88" spans="1:38" x14ac:dyDescent="0.3">
      <c r="A88" s="4"/>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row>
    <row r="89" spans="1:38" x14ac:dyDescent="0.3">
      <c r="A89" s="4"/>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row>
    <row r="90" spans="1:38" x14ac:dyDescent="0.3">
      <c r="A90" s="4"/>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row>
    <row r="91" spans="1:38" x14ac:dyDescent="0.3">
      <c r="A91" s="4"/>
      <c r="B91" s="115"/>
      <c r="C91" s="115"/>
      <c r="D91" s="115"/>
      <c r="E91" s="114"/>
      <c r="F91" s="114"/>
      <c r="G91" s="114"/>
      <c r="H91" s="114"/>
      <c r="I91" s="114"/>
      <c r="J91" s="114"/>
      <c r="K91" s="114"/>
      <c r="L91" s="114"/>
      <c r="M91" s="114"/>
      <c r="N91" s="4"/>
      <c r="O91" s="4"/>
      <c r="P91" s="4"/>
      <c r="Q91" s="4"/>
      <c r="R91" s="4"/>
      <c r="S91" s="4"/>
      <c r="T91" s="4"/>
      <c r="U91" s="4"/>
      <c r="V91" s="4"/>
      <c r="W91" s="4"/>
      <c r="X91" s="4"/>
      <c r="Y91" s="4"/>
      <c r="Z91" s="4"/>
      <c r="AA91" s="4"/>
      <c r="AB91" s="4"/>
      <c r="AC91" s="4"/>
      <c r="AD91" s="4"/>
      <c r="AE91" s="4"/>
      <c r="AF91" s="4"/>
      <c r="AG91" s="4"/>
      <c r="AH91" s="4"/>
      <c r="AI91" s="4"/>
      <c r="AJ91" s="4"/>
      <c r="AK91" s="4"/>
      <c r="AL91" s="4"/>
    </row>
    <row r="92" spans="1:38" x14ac:dyDescent="0.3">
      <c r="A92" s="4"/>
      <c r="B92" s="4"/>
      <c r="C92" s="4"/>
      <c r="D92" s="4"/>
      <c r="E92" s="4"/>
      <c r="F92" s="4"/>
      <c r="G92" s="4"/>
      <c r="H92" s="4"/>
      <c r="I92" s="114"/>
      <c r="J92" s="114"/>
      <c r="K92" s="114"/>
      <c r="L92" s="114"/>
      <c r="M92" s="114"/>
      <c r="N92" s="114"/>
      <c r="O92" s="4"/>
      <c r="P92" s="4"/>
      <c r="Q92" s="4"/>
      <c r="R92" s="4"/>
      <c r="S92" s="4"/>
      <c r="T92" s="4"/>
      <c r="U92" s="4"/>
      <c r="V92" s="4"/>
      <c r="W92" s="4"/>
      <c r="X92" s="4"/>
      <c r="Y92" s="4"/>
      <c r="Z92" s="4"/>
      <c r="AA92" s="4"/>
      <c r="AB92" s="4"/>
      <c r="AC92" s="4"/>
      <c r="AD92" s="4"/>
      <c r="AE92" s="4"/>
      <c r="AF92" s="4"/>
      <c r="AG92" s="4"/>
      <c r="AH92" s="4"/>
      <c r="AI92" s="4"/>
      <c r="AJ92" s="4"/>
      <c r="AK92" s="4"/>
      <c r="AL92" s="4"/>
    </row>
    <row r="93" spans="1:38" ht="15.6" x14ac:dyDescent="0.3">
      <c r="A93" s="4"/>
      <c r="B93" s="10" t="s">
        <v>191</v>
      </c>
      <c r="C93" s="10"/>
      <c r="D93" s="10"/>
      <c r="E93" s="10"/>
      <c r="F93" s="10"/>
      <c r="G93" s="10"/>
      <c r="H93" s="10"/>
      <c r="I93" s="10"/>
      <c r="J93" s="10"/>
      <c r="K93" s="10"/>
      <c r="L93" s="10"/>
      <c r="M93" s="10"/>
      <c r="N93" s="4"/>
      <c r="O93" s="4"/>
      <c r="P93" s="4"/>
      <c r="Q93" s="4"/>
      <c r="R93" s="4"/>
      <c r="S93" s="4"/>
      <c r="T93" s="4"/>
      <c r="U93" s="4"/>
      <c r="V93" s="4"/>
      <c r="W93" s="4"/>
      <c r="X93" s="4"/>
      <c r="Y93" s="4"/>
      <c r="Z93" s="4"/>
      <c r="AA93" s="4"/>
      <c r="AB93" s="4"/>
      <c r="AC93" s="4"/>
      <c r="AD93" s="4"/>
      <c r="AE93" s="4"/>
      <c r="AF93" s="4"/>
      <c r="AG93" s="4"/>
      <c r="AH93" s="4"/>
      <c r="AI93" s="4"/>
      <c r="AJ93" s="4"/>
      <c r="AK93" s="4"/>
      <c r="AL93" s="4"/>
    </row>
    <row r="94" spans="1:38" ht="35.700000000000003" customHeight="1" x14ac:dyDescent="0.3">
      <c r="A94" s="4"/>
      <c r="B94" s="113" t="s">
        <v>184</v>
      </c>
      <c r="C94" s="113"/>
      <c r="D94" s="113"/>
      <c r="E94" s="113"/>
      <c r="F94" s="113"/>
      <c r="G94" s="113"/>
      <c r="H94" s="113"/>
      <c r="I94" s="113"/>
      <c r="J94" s="113"/>
      <c r="K94" s="113"/>
      <c r="L94" s="113"/>
      <c r="M94" s="113"/>
      <c r="N94" s="113"/>
      <c r="O94" s="4"/>
      <c r="P94" s="4"/>
      <c r="Q94" s="4"/>
      <c r="R94" s="4"/>
      <c r="S94" s="4"/>
      <c r="T94" s="4"/>
      <c r="U94" s="4"/>
      <c r="V94" s="4"/>
      <c r="W94" s="4"/>
      <c r="X94" s="4"/>
      <c r="Y94" s="4"/>
      <c r="Z94" s="4"/>
      <c r="AA94" s="4"/>
      <c r="AB94" s="4"/>
      <c r="AC94" s="4"/>
      <c r="AD94" s="4"/>
      <c r="AE94" s="4"/>
      <c r="AF94" s="4"/>
      <c r="AG94" s="4"/>
      <c r="AH94" s="4"/>
      <c r="AI94" s="4"/>
      <c r="AJ94" s="4"/>
      <c r="AK94" s="4"/>
      <c r="AL94" s="4"/>
    </row>
    <row r="95" spans="1:38" x14ac:dyDescent="0.3">
      <c r="A95" s="4"/>
      <c r="B95" s="4"/>
      <c r="C95" s="4"/>
      <c r="D95" s="4"/>
      <c r="E95" s="4"/>
      <c r="F95" s="4"/>
      <c r="G95" s="4"/>
      <c r="H95" s="4"/>
      <c r="I95" s="14"/>
      <c r="J95" s="15"/>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row>
    <row r="96" spans="1:38" x14ac:dyDescent="0.3">
      <c r="A96" s="4"/>
      <c r="B96" s="4"/>
      <c r="C96" s="4"/>
      <c r="D96" s="4"/>
      <c r="E96" s="4"/>
      <c r="F96" s="4"/>
      <c r="G96" s="4"/>
      <c r="H96" s="4"/>
      <c r="I96" s="14"/>
      <c r="J96" s="15"/>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row>
    <row r="97" spans="1:38" x14ac:dyDescent="0.3">
      <c r="A97" s="4"/>
      <c r="B97" s="4"/>
      <c r="C97" s="4"/>
      <c r="D97" s="4"/>
      <c r="E97" s="4"/>
      <c r="F97" s="4"/>
      <c r="G97" s="4"/>
      <c r="H97" s="4"/>
      <c r="I97" s="14"/>
      <c r="J97" s="15"/>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row>
    <row r="98" spans="1:38" x14ac:dyDescent="0.3">
      <c r="A98" s="4"/>
      <c r="B98" s="4"/>
      <c r="C98" s="4"/>
      <c r="D98" s="4"/>
      <c r="E98" s="4"/>
      <c r="F98" s="4"/>
      <c r="G98" s="4"/>
      <c r="H98" s="4"/>
      <c r="I98" s="14"/>
      <c r="J98" s="15"/>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row>
    <row r="99" spans="1:38" x14ac:dyDescent="0.3">
      <c r="A99" s="4"/>
      <c r="B99" s="4"/>
      <c r="C99" s="4"/>
      <c r="D99" s="4"/>
      <c r="E99" s="4"/>
      <c r="F99" s="4"/>
      <c r="G99" s="4"/>
      <c r="H99" s="4"/>
      <c r="I99" s="14"/>
      <c r="J99" s="15"/>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row>
    <row r="100" spans="1:38" x14ac:dyDescent="0.3">
      <c r="A100" s="4"/>
      <c r="B100" s="4"/>
      <c r="C100" s="4"/>
      <c r="D100" s="4"/>
      <c r="E100" s="4"/>
      <c r="F100" s="4"/>
      <c r="G100" s="4"/>
      <c r="H100" s="4"/>
      <c r="I100" s="14"/>
      <c r="J100" s="15"/>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row>
    <row r="101" spans="1:38" x14ac:dyDescent="0.3">
      <c r="A101" s="4"/>
      <c r="B101" s="4"/>
      <c r="C101" s="4"/>
      <c r="D101" s="4"/>
      <c r="E101" s="4"/>
      <c r="F101" s="4"/>
      <c r="G101" s="4"/>
      <c r="H101" s="4"/>
      <c r="I101" s="14"/>
      <c r="J101" s="15"/>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row>
    <row r="102" spans="1:38" ht="16.5" customHeight="1" x14ac:dyDescent="0.3">
      <c r="A102" s="4"/>
      <c r="B102" s="4"/>
      <c r="C102" s="4"/>
      <c r="D102" s="4"/>
      <c r="E102" s="4"/>
      <c r="F102" s="4"/>
      <c r="G102" s="4"/>
      <c r="H102" s="4"/>
      <c r="I102" s="14"/>
      <c r="J102" s="15"/>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row>
    <row r="103" spans="1:38" ht="16.5" customHeight="1" x14ac:dyDescent="0.3">
      <c r="A103" s="4"/>
      <c r="B103" s="4"/>
      <c r="C103" s="4"/>
      <c r="D103" s="4"/>
      <c r="E103" s="4"/>
      <c r="F103" s="4"/>
      <c r="G103" s="4"/>
      <c r="H103" s="4"/>
      <c r="I103" s="14"/>
      <c r="J103" s="15"/>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row>
    <row r="104" spans="1:38" ht="16.5" customHeight="1" x14ac:dyDescent="0.3">
      <c r="A104" s="4"/>
      <c r="B104" s="4"/>
      <c r="C104" s="4"/>
      <c r="D104" s="4"/>
      <c r="E104" s="4"/>
      <c r="F104" s="4"/>
      <c r="G104" s="4"/>
      <c r="H104" s="4"/>
      <c r="I104" s="14"/>
      <c r="J104" s="15"/>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row>
    <row r="105" spans="1:38" ht="16.5" customHeight="1" x14ac:dyDescent="0.3">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row>
    <row r="106" spans="1:38" ht="16.5" customHeight="1" x14ac:dyDescent="0.3">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row>
    <row r="107" spans="1:38" x14ac:dyDescent="0.3">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row>
    <row r="108" spans="1:38" x14ac:dyDescent="0.3">
      <c r="A108" s="4"/>
      <c r="B108" s="1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row>
    <row r="109" spans="1:38" x14ac:dyDescent="0.3">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row>
    <row r="110" spans="1:38" x14ac:dyDescent="0.3">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row>
    <row r="111" spans="1:38" x14ac:dyDescent="0.3">
      <c r="A111" s="4"/>
      <c r="B111" s="4"/>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row>
    <row r="112" spans="1:38" x14ac:dyDescent="0.3">
      <c r="A112" s="4"/>
      <c r="B112" s="4"/>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row>
    <row r="113" spans="1:38" x14ac:dyDescent="0.3">
      <c r="A113" s="4"/>
      <c r="B113" s="4"/>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row>
    <row r="114" spans="1:38" x14ac:dyDescent="0.3">
      <c r="A114" s="4"/>
      <c r="B114" s="4"/>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row>
    <row r="115" spans="1:38" ht="22.2" customHeight="1" x14ac:dyDescent="0.35">
      <c r="A115" s="4"/>
      <c r="B115" s="10" t="s">
        <v>193</v>
      </c>
      <c r="C115" s="10"/>
      <c r="D115" s="10"/>
      <c r="E115" s="10"/>
      <c r="F115" s="10"/>
      <c r="G115" s="10"/>
      <c r="H115" s="10"/>
      <c r="I115" s="10"/>
      <c r="J115" s="10"/>
      <c r="K115" s="10"/>
      <c r="L115" s="10"/>
      <c r="M115" s="10"/>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row>
    <row r="116" spans="1:38" x14ac:dyDescent="0.3">
      <c r="A116" s="4"/>
      <c r="B116" s="4"/>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row>
    <row r="117" spans="1:38" x14ac:dyDescent="0.3">
      <c r="A117" s="4"/>
      <c r="B117" s="4"/>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row>
    <row r="118" spans="1:38" x14ac:dyDescent="0.3">
      <c r="A118" s="4"/>
      <c r="B118" s="4"/>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row>
    <row r="119" spans="1:38" x14ac:dyDescent="0.3">
      <c r="A119" s="4"/>
      <c r="B119" s="4"/>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row>
    <row r="120" spans="1:38" x14ac:dyDescent="0.3">
      <c r="A120" s="4"/>
      <c r="B120" s="4"/>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row>
    <row r="121" spans="1:38" x14ac:dyDescent="0.3">
      <c r="A121" s="4"/>
      <c r="B121" s="4"/>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row>
    <row r="122" spans="1:38" x14ac:dyDescent="0.3">
      <c r="A122" s="4"/>
      <c r="B122" s="4"/>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row>
    <row r="123" spans="1:38" x14ac:dyDescent="0.3">
      <c r="A123" s="4"/>
      <c r="B123" s="4"/>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row>
    <row r="124" spans="1:38" x14ac:dyDescent="0.3">
      <c r="A124" s="4"/>
      <c r="B124" s="4"/>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row>
    <row r="125" spans="1:38" x14ac:dyDescent="0.3">
      <c r="A125" s="4"/>
      <c r="B125" s="4"/>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row>
    <row r="126" spans="1:38" x14ac:dyDescent="0.3">
      <c r="A126" s="4"/>
      <c r="B126" s="4"/>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row>
    <row r="127" spans="1:38" x14ac:dyDescent="0.3">
      <c r="A127" s="4"/>
      <c r="B127" s="4"/>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row>
    <row r="128" spans="1:38" x14ac:dyDescent="0.3">
      <c r="A128" s="4"/>
      <c r="B128" s="4"/>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row>
    <row r="129" spans="1:34" x14ac:dyDescent="0.3">
      <c r="A129" s="4"/>
      <c r="B129" s="4"/>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row>
    <row r="130" spans="1:34" x14ac:dyDescent="0.3">
      <c r="A130" s="4"/>
      <c r="B130" s="4"/>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row>
    <row r="131" spans="1:34" x14ac:dyDescent="0.3">
      <c r="A131" s="4"/>
      <c r="B131" s="4"/>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row>
    <row r="132" spans="1:34" x14ac:dyDescent="0.3">
      <c r="A132" s="4"/>
      <c r="B132" s="4"/>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row>
    <row r="133" spans="1:34" x14ac:dyDescent="0.3">
      <c r="A133" s="4"/>
      <c r="B133" s="4"/>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row>
    <row r="134" spans="1:34" x14ac:dyDescent="0.3">
      <c r="A134" s="4"/>
      <c r="B134" s="4"/>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row>
    <row r="135" spans="1:34" x14ac:dyDescent="0.3">
      <c r="A135" s="4"/>
      <c r="B135" s="4"/>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row>
    <row r="136" spans="1:34" x14ac:dyDescent="0.3">
      <c r="A136" s="4"/>
      <c r="B136" s="4"/>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row>
    <row r="137" spans="1:34" x14ac:dyDescent="0.3">
      <c r="A137" s="4"/>
      <c r="B137" s="4"/>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row>
    <row r="138" spans="1:34" x14ac:dyDescent="0.3">
      <c r="A138" s="4"/>
      <c r="B138" s="4"/>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row>
    <row r="139" spans="1:34" x14ac:dyDescent="0.3">
      <c r="A139" s="4"/>
      <c r="B139" s="4"/>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row>
    <row r="140" spans="1:34" x14ac:dyDescent="0.3">
      <c r="A140" s="4"/>
      <c r="B140" s="4"/>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row>
    <row r="141" spans="1:34" x14ac:dyDescent="0.3">
      <c r="A141" s="4"/>
      <c r="B141" s="4"/>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row>
    <row r="142" spans="1:34" x14ac:dyDescent="0.3">
      <c r="A142" s="4"/>
      <c r="B142" s="4"/>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row>
    <row r="143" spans="1:34" x14ac:dyDescent="0.3">
      <c r="A143" s="4"/>
      <c r="B143" s="4"/>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row>
    <row r="144" spans="1:34" x14ac:dyDescent="0.3">
      <c r="A144" s="4"/>
      <c r="B144" s="4"/>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row>
    <row r="145" spans="1:34" x14ac:dyDescent="0.3">
      <c r="A145" s="4"/>
      <c r="B145" s="4"/>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row>
    <row r="146" spans="1:34" x14ac:dyDescent="0.3">
      <c r="A146" s="4"/>
      <c r="B146" s="4"/>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row>
    <row r="147" spans="1:34" x14ac:dyDescent="0.3">
      <c r="A147" s="4"/>
      <c r="B147" s="4"/>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row>
    <row r="148" spans="1:34" x14ac:dyDescent="0.3">
      <c r="A148" s="4"/>
      <c r="B148" s="4"/>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row>
    <row r="149" spans="1:34" x14ac:dyDescent="0.3">
      <c r="A149" s="4"/>
      <c r="B149" s="4"/>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row>
    <row r="150" spans="1:34" x14ac:dyDescent="0.3">
      <c r="A150" s="4"/>
      <c r="B150" s="4"/>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row>
    <row r="151" spans="1:34" x14ac:dyDescent="0.3">
      <c r="A151" s="4"/>
      <c r="B151" s="4"/>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row>
    <row r="152" spans="1:34" x14ac:dyDescent="0.3">
      <c r="A152" s="4"/>
      <c r="B152" s="4"/>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row>
    <row r="153" spans="1:34" x14ac:dyDescent="0.3">
      <c r="A153" s="4"/>
      <c r="B153" s="4"/>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row>
    <row r="154" spans="1:34" x14ac:dyDescent="0.3">
      <c r="A154" s="4"/>
      <c r="B154" s="4"/>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row>
    <row r="155" spans="1:34" x14ac:dyDescent="0.3">
      <c r="A155" s="4"/>
      <c r="B155" s="4"/>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row>
    <row r="156" spans="1:34" x14ac:dyDescent="0.3">
      <c r="A156" s="4"/>
      <c r="B156" s="4"/>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row>
    <row r="157" spans="1:34" x14ac:dyDescent="0.3">
      <c r="A157" s="4"/>
      <c r="B157" s="4"/>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row>
    <row r="158" spans="1:34" x14ac:dyDescent="0.3">
      <c r="A158" s="4"/>
      <c r="B158" s="4"/>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row>
    <row r="159" spans="1:34" x14ac:dyDescent="0.3">
      <c r="A159" s="4"/>
      <c r="B159" s="4"/>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row>
    <row r="160" spans="1:34" x14ac:dyDescent="0.3">
      <c r="A160" s="4"/>
      <c r="B160" s="4"/>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row>
    <row r="161" spans="1:34" x14ac:dyDescent="0.3">
      <c r="A161" s="4"/>
      <c r="B161" s="4"/>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row>
    <row r="162" spans="1:34" x14ac:dyDescent="0.3">
      <c r="A162" s="4"/>
      <c r="B162" s="4"/>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row>
    <row r="163" spans="1:34" x14ac:dyDescent="0.3">
      <c r="A163" s="4"/>
      <c r="B163" s="4"/>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row>
    <row r="164" spans="1:34" x14ac:dyDescent="0.3">
      <c r="A164" s="4"/>
      <c r="B164" s="4"/>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row>
    <row r="165" spans="1:34" x14ac:dyDescent="0.3">
      <c r="A165" s="4"/>
      <c r="B165" s="4"/>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row>
    <row r="166" spans="1:34" x14ac:dyDescent="0.3">
      <c r="A166" s="4"/>
      <c r="B166" s="4"/>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row>
    <row r="167" spans="1:34" x14ac:dyDescent="0.3">
      <c r="A167" s="4"/>
      <c r="B167" s="4"/>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row>
    <row r="168" spans="1:34" x14ac:dyDescent="0.3">
      <c r="A168" s="4"/>
      <c r="B168" s="4"/>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row>
    <row r="169" spans="1:34" x14ac:dyDescent="0.3">
      <c r="A169" s="4"/>
      <c r="B169" s="4"/>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row>
    <row r="170" spans="1:34" x14ac:dyDescent="0.3">
      <c r="A170" s="4"/>
      <c r="B170" s="4"/>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row>
    <row r="171" spans="1:34" x14ac:dyDescent="0.3">
      <c r="A171" s="4"/>
      <c r="B171" s="4"/>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row>
    <row r="172" spans="1:34" x14ac:dyDescent="0.3">
      <c r="A172" s="4"/>
      <c r="B172" s="4"/>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row>
    <row r="173" spans="1:34" x14ac:dyDescent="0.3">
      <c r="A173" s="4"/>
      <c r="B173" s="4"/>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row>
    <row r="174" spans="1:34" x14ac:dyDescent="0.3">
      <c r="A174" s="4"/>
      <c r="B174" s="4"/>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row>
    <row r="175" spans="1:34" x14ac:dyDescent="0.3">
      <c r="A175" s="4"/>
      <c r="B175" s="4"/>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row>
    <row r="176" spans="1:34" x14ac:dyDescent="0.3">
      <c r="A176" s="4"/>
      <c r="B176" s="4"/>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row>
    <row r="177" spans="1:34" x14ac:dyDescent="0.3">
      <c r="A177" s="4"/>
      <c r="B177" s="4"/>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row>
    <row r="178" spans="1:34" x14ac:dyDescent="0.3">
      <c r="A178" s="4"/>
      <c r="B178" s="4"/>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row>
    <row r="179" spans="1:34" x14ac:dyDescent="0.3">
      <c r="A179" s="4"/>
      <c r="B179" s="4"/>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row>
    <row r="180" spans="1:34" x14ac:dyDescent="0.3">
      <c r="A180" s="4"/>
      <c r="B180" s="4"/>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row>
    <row r="181" spans="1:34" x14ac:dyDescent="0.3">
      <c r="A181" s="4"/>
      <c r="B181" s="4"/>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row>
    <row r="182" spans="1:34" x14ac:dyDescent="0.3">
      <c r="A182" s="4"/>
      <c r="B182" s="4"/>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row>
    <row r="183" spans="1:34" x14ac:dyDescent="0.3">
      <c r="A183" s="4"/>
      <c r="B183" s="4"/>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row>
    <row r="184" spans="1:34" x14ac:dyDescent="0.3">
      <c r="A184" s="4"/>
      <c r="B184" s="4"/>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row>
    <row r="185" spans="1:34" x14ac:dyDescent="0.3">
      <c r="A185" s="4"/>
      <c r="B185" s="4"/>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row>
    <row r="186" spans="1:34" x14ac:dyDescent="0.3">
      <c r="A186" s="4"/>
      <c r="B186" s="4"/>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row>
    <row r="187" spans="1:34" x14ac:dyDescent="0.3">
      <c r="A187" s="4"/>
      <c r="B187" s="4"/>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row>
    <row r="188" spans="1:34" x14ac:dyDescent="0.3">
      <c r="A188" s="4"/>
      <c r="B188" s="4"/>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row>
    <row r="189" spans="1:34" x14ac:dyDescent="0.3">
      <c r="A189" s="4"/>
      <c r="B189" s="4"/>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row>
    <row r="190" spans="1:34" x14ac:dyDescent="0.3">
      <c r="A190" s="4"/>
      <c r="B190" s="4"/>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row>
    <row r="191" spans="1:34" x14ac:dyDescent="0.3">
      <c r="A191" s="4"/>
      <c r="B191" s="4"/>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row>
    <row r="192" spans="1:34" x14ac:dyDescent="0.3">
      <c r="A192" s="4"/>
      <c r="B192" s="4"/>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row>
    <row r="193" spans="1:34" x14ac:dyDescent="0.3">
      <c r="A193" s="4"/>
      <c r="B193" s="4"/>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row>
    <row r="194" spans="1:34" x14ac:dyDescent="0.3">
      <c r="A194" s="4"/>
      <c r="B194" s="4"/>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row>
    <row r="195" spans="1:34" x14ac:dyDescent="0.3">
      <c r="A195" s="4"/>
      <c r="B195" s="4"/>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row>
    <row r="196" spans="1:34" x14ac:dyDescent="0.3">
      <c r="A196" s="4"/>
      <c r="B196" s="4"/>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row>
    <row r="197" spans="1:34" x14ac:dyDescent="0.3">
      <c r="A197" s="4"/>
      <c r="B197" s="4"/>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row>
    <row r="198" spans="1:34" x14ac:dyDescent="0.3">
      <c r="A198" s="4"/>
      <c r="B198" s="4"/>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row>
    <row r="199" spans="1:34" x14ac:dyDescent="0.3">
      <c r="A199" s="4"/>
      <c r="B199" s="4"/>
      <c r="C199" s="4"/>
      <c r="D199" s="4"/>
      <c r="E199" s="4"/>
      <c r="F199" s="4"/>
      <c r="G199" s="4"/>
      <c r="H199" s="4"/>
      <c r="I199" s="4"/>
      <c r="J199" s="4"/>
      <c r="K199" s="4"/>
      <c r="L199" s="4"/>
      <c r="M199" s="4"/>
      <c r="N199" s="4"/>
      <c r="O199" s="4"/>
      <c r="P199" s="4"/>
      <c r="Q199" s="4"/>
      <c r="R199" s="4"/>
      <c r="S199" s="4"/>
      <c r="T199" s="4"/>
      <c r="U199" s="4"/>
      <c r="V199" s="4"/>
      <c r="W199" s="4"/>
      <c r="X199" s="4"/>
      <c r="Y199" s="4"/>
      <c r="Z199" s="4"/>
      <c r="AA199" s="4"/>
      <c r="AB199" s="4"/>
      <c r="AC199" s="4"/>
      <c r="AD199" s="4"/>
      <c r="AE199" s="4"/>
      <c r="AF199" s="4"/>
      <c r="AG199" s="4"/>
      <c r="AH199" s="4"/>
    </row>
    <row r="200" spans="1:34" x14ac:dyDescent="0.3">
      <c r="A200" s="4"/>
      <c r="B200" s="4"/>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row>
    <row r="201" spans="1:34" x14ac:dyDescent="0.3">
      <c r="A201" s="4"/>
      <c r="B201" s="4"/>
      <c r="C201" s="4"/>
      <c r="D201" s="4"/>
      <c r="E201" s="4"/>
      <c r="F201" s="4"/>
      <c r="G201" s="4"/>
      <c r="H201" s="4"/>
      <c r="I201" s="4"/>
      <c r="J201" s="4"/>
      <c r="K201" s="4"/>
      <c r="L201" s="4"/>
      <c r="M201" s="4"/>
      <c r="N201" s="4"/>
      <c r="O201" s="4"/>
      <c r="P201" s="4"/>
      <c r="Q201" s="4"/>
      <c r="R201" s="4"/>
      <c r="S201" s="4"/>
      <c r="T201" s="4"/>
      <c r="U201" s="4"/>
      <c r="V201" s="4"/>
      <c r="W201" s="4"/>
      <c r="X201" s="4"/>
      <c r="Y201" s="4"/>
      <c r="Z201" s="4"/>
      <c r="AA201" s="4"/>
      <c r="AB201" s="4"/>
      <c r="AC201" s="4"/>
      <c r="AD201" s="4"/>
      <c r="AE201" s="4"/>
      <c r="AF201" s="4"/>
      <c r="AG201" s="4"/>
      <c r="AH201" s="4"/>
    </row>
    <row r="202" spans="1:34" x14ac:dyDescent="0.3">
      <c r="A202" s="4"/>
      <c r="B202" s="4"/>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row>
    <row r="203" spans="1:34" x14ac:dyDescent="0.3">
      <c r="A203" s="4"/>
      <c r="B203" s="4"/>
      <c r="C203" s="4"/>
      <c r="D203" s="4"/>
      <c r="E203" s="4"/>
      <c r="F203" s="4"/>
      <c r="G203" s="4"/>
      <c r="H203" s="4"/>
      <c r="I203" s="4"/>
      <c r="J203" s="4"/>
      <c r="K203" s="4"/>
      <c r="L203" s="4"/>
      <c r="M203" s="4"/>
      <c r="N203" s="4"/>
      <c r="O203" s="4"/>
      <c r="P203" s="4"/>
      <c r="Q203" s="4"/>
      <c r="R203" s="4"/>
      <c r="S203" s="4"/>
      <c r="T203" s="4"/>
      <c r="U203" s="4"/>
      <c r="V203" s="4"/>
      <c r="W203" s="4"/>
      <c r="X203" s="4"/>
      <c r="Y203" s="4"/>
      <c r="Z203" s="4"/>
      <c r="AA203" s="4"/>
      <c r="AB203" s="4"/>
      <c r="AC203" s="4"/>
      <c r="AD203" s="4"/>
      <c r="AE203" s="4"/>
      <c r="AF203" s="4"/>
      <c r="AG203" s="4"/>
      <c r="AH203" s="4"/>
    </row>
    <row r="204" spans="1:34" x14ac:dyDescent="0.3">
      <c r="A204" s="4"/>
      <c r="B204" s="4"/>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row>
    <row r="205" spans="1:34" x14ac:dyDescent="0.3">
      <c r="A205" s="4"/>
      <c r="B205" s="4"/>
      <c r="C205" s="4"/>
      <c r="D205" s="4"/>
      <c r="E205" s="4"/>
      <c r="F205" s="4"/>
      <c r="G205" s="4"/>
      <c r="H205" s="4"/>
      <c r="I205" s="4"/>
      <c r="J205" s="4"/>
      <c r="K205" s="4"/>
      <c r="L205" s="4"/>
      <c r="M205" s="4"/>
      <c r="N205" s="4"/>
      <c r="O205" s="4"/>
      <c r="P205" s="4"/>
      <c r="Q205" s="4"/>
      <c r="R205" s="4"/>
      <c r="S205" s="4"/>
      <c r="T205" s="4"/>
      <c r="U205" s="4"/>
      <c r="V205" s="4"/>
      <c r="W205" s="4"/>
      <c r="X205" s="4"/>
      <c r="Y205" s="4"/>
      <c r="Z205" s="4"/>
      <c r="AA205" s="4"/>
      <c r="AB205" s="4"/>
      <c r="AC205" s="4"/>
      <c r="AD205" s="4"/>
      <c r="AE205" s="4"/>
      <c r="AF205" s="4"/>
      <c r="AG205" s="4"/>
      <c r="AH205" s="4"/>
    </row>
    <row r="206" spans="1:34" x14ac:dyDescent="0.3">
      <c r="A206" s="4"/>
      <c r="B206" s="4"/>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row>
    <row r="207" spans="1:34" x14ac:dyDescent="0.3">
      <c r="A207" s="4"/>
      <c r="B207" s="4"/>
      <c r="C207" s="4"/>
      <c r="D207" s="4"/>
      <c r="E207" s="4"/>
      <c r="F207" s="4"/>
      <c r="G207" s="4"/>
      <c r="H207" s="4"/>
      <c r="I207" s="4"/>
      <c r="J207" s="4"/>
      <c r="K207" s="4"/>
      <c r="L207" s="4"/>
      <c r="M207" s="4"/>
      <c r="N207" s="4"/>
      <c r="O207" s="4"/>
      <c r="P207" s="4"/>
      <c r="Q207" s="4"/>
      <c r="R207" s="4"/>
      <c r="S207" s="4"/>
      <c r="T207" s="4"/>
      <c r="U207" s="4"/>
      <c r="V207" s="4"/>
      <c r="W207" s="4"/>
      <c r="X207" s="4"/>
      <c r="Y207" s="4"/>
      <c r="Z207" s="4"/>
      <c r="AA207" s="4"/>
      <c r="AB207" s="4"/>
      <c r="AC207" s="4"/>
      <c r="AD207" s="4"/>
      <c r="AE207" s="4"/>
      <c r="AF207" s="4"/>
      <c r="AG207" s="4"/>
      <c r="AH207" s="4"/>
    </row>
    <row r="208" spans="1:34" x14ac:dyDescent="0.3">
      <c r="A208" s="4"/>
      <c r="B208" s="4"/>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row>
    <row r="209" spans="1:34" x14ac:dyDescent="0.3">
      <c r="A209" s="4"/>
      <c r="B209" s="4"/>
      <c r="C209" s="4"/>
      <c r="D209" s="4"/>
      <c r="E209" s="4"/>
      <c r="F209" s="4"/>
      <c r="G209" s="4"/>
      <c r="H209" s="4"/>
      <c r="I209" s="4"/>
      <c r="J209" s="4"/>
      <c r="K209" s="4"/>
      <c r="L209" s="4"/>
      <c r="M209" s="4"/>
      <c r="N209" s="4"/>
      <c r="O209" s="4"/>
      <c r="P209" s="4"/>
      <c r="Q209" s="4"/>
      <c r="R209" s="4"/>
      <c r="S209" s="4"/>
      <c r="T209" s="4"/>
      <c r="U209" s="4"/>
      <c r="V209" s="4"/>
      <c r="W209" s="4"/>
      <c r="X209" s="4"/>
      <c r="Y209" s="4"/>
      <c r="Z209" s="4"/>
      <c r="AA209" s="4"/>
      <c r="AB209" s="4"/>
      <c r="AC209" s="4"/>
      <c r="AD209" s="4"/>
      <c r="AE209" s="4"/>
      <c r="AF209" s="4"/>
      <c r="AG209" s="4"/>
      <c r="AH209" s="4"/>
    </row>
    <row r="210" spans="1:34" x14ac:dyDescent="0.3">
      <c r="A210" s="4"/>
      <c r="B210" s="4"/>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row>
    <row r="211" spans="1:34" x14ac:dyDescent="0.3">
      <c r="A211" s="4"/>
      <c r="B211" s="4"/>
      <c r="C211" s="4"/>
      <c r="D211" s="4"/>
      <c r="E211" s="4"/>
      <c r="F211" s="4"/>
      <c r="G211" s="4"/>
      <c r="H211" s="4"/>
      <c r="I211" s="4"/>
      <c r="J211" s="4"/>
      <c r="K211" s="4"/>
      <c r="L211" s="4"/>
      <c r="M211" s="4"/>
      <c r="N211" s="4"/>
      <c r="O211" s="4"/>
      <c r="P211" s="4"/>
      <c r="Q211" s="4"/>
      <c r="R211" s="4"/>
      <c r="S211" s="4"/>
      <c r="T211" s="4"/>
      <c r="U211" s="4"/>
      <c r="V211" s="4"/>
      <c r="W211" s="4"/>
      <c r="X211" s="4"/>
      <c r="Y211" s="4"/>
      <c r="Z211" s="4"/>
      <c r="AA211" s="4"/>
      <c r="AB211" s="4"/>
      <c r="AC211" s="4"/>
      <c r="AD211" s="4"/>
      <c r="AE211" s="4"/>
      <c r="AF211" s="4"/>
      <c r="AG211" s="4"/>
      <c r="AH211" s="4"/>
    </row>
    <row r="212" spans="1:34" x14ac:dyDescent="0.3">
      <c r="A212" s="4"/>
      <c r="B212" s="4"/>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row>
    <row r="213" spans="1:34" x14ac:dyDescent="0.3">
      <c r="A213" s="4"/>
      <c r="B213" s="4"/>
      <c r="C213" s="4"/>
      <c r="D213" s="4"/>
      <c r="E213" s="4"/>
      <c r="F213" s="4"/>
      <c r="G213" s="4"/>
      <c r="H213" s="4"/>
      <c r="I213" s="4"/>
      <c r="J213" s="4"/>
      <c r="K213" s="4"/>
      <c r="L213" s="4"/>
      <c r="M213" s="4"/>
      <c r="N213" s="4"/>
      <c r="O213" s="4"/>
      <c r="P213" s="4"/>
      <c r="Q213" s="4"/>
      <c r="R213" s="4"/>
      <c r="S213" s="4"/>
      <c r="T213" s="4"/>
      <c r="U213" s="4"/>
      <c r="V213" s="4"/>
      <c r="W213" s="4"/>
      <c r="X213" s="4"/>
      <c r="Y213" s="4"/>
      <c r="Z213" s="4"/>
      <c r="AA213" s="4"/>
      <c r="AB213" s="4"/>
      <c r="AC213" s="4"/>
      <c r="AD213" s="4"/>
      <c r="AE213" s="4"/>
      <c r="AF213" s="4"/>
      <c r="AG213" s="4"/>
      <c r="AH213" s="4"/>
    </row>
    <row r="214" spans="1:34" x14ac:dyDescent="0.3">
      <c r="A214" s="4"/>
      <c r="B214" s="4"/>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row>
    <row r="215" spans="1:34" x14ac:dyDescent="0.3">
      <c r="A215" s="4"/>
      <c r="B215" s="4"/>
      <c r="C215" s="4"/>
      <c r="D215" s="4"/>
      <c r="E215" s="4"/>
      <c r="F215" s="4"/>
      <c r="G215" s="4"/>
      <c r="H215" s="4"/>
      <c r="I215" s="4"/>
      <c r="J215" s="4"/>
      <c r="K215" s="4"/>
      <c r="L215" s="4"/>
      <c r="M215" s="4"/>
      <c r="N215" s="4"/>
      <c r="O215" s="4"/>
      <c r="P215" s="4"/>
      <c r="Q215" s="4"/>
      <c r="R215" s="4"/>
      <c r="S215" s="4"/>
      <c r="T215" s="4"/>
      <c r="U215" s="4"/>
      <c r="V215" s="4"/>
      <c r="W215" s="4"/>
      <c r="X215" s="4"/>
      <c r="Y215" s="4"/>
      <c r="Z215" s="4"/>
      <c r="AA215" s="4"/>
      <c r="AB215" s="4"/>
      <c r="AC215" s="4"/>
      <c r="AD215" s="4"/>
      <c r="AE215" s="4"/>
      <c r="AF215" s="4"/>
      <c r="AG215" s="4"/>
      <c r="AH215" s="4"/>
    </row>
    <row r="216" spans="1:34" x14ac:dyDescent="0.3">
      <c r="A216" s="4"/>
      <c r="B216" s="4"/>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row>
    <row r="217" spans="1:34" x14ac:dyDescent="0.3">
      <c r="A217" s="4"/>
      <c r="B217" s="4"/>
      <c r="C217" s="4"/>
      <c r="D217" s="4"/>
      <c r="E217" s="4"/>
      <c r="F217" s="4"/>
      <c r="G217" s="4"/>
      <c r="H217" s="4"/>
      <c r="I217" s="4"/>
      <c r="J217" s="4"/>
      <c r="K217" s="4"/>
      <c r="L217" s="4"/>
      <c r="M217" s="4"/>
      <c r="N217" s="4"/>
      <c r="O217" s="4"/>
      <c r="P217" s="4"/>
      <c r="Q217" s="4"/>
      <c r="R217" s="4"/>
      <c r="S217" s="4"/>
      <c r="T217" s="4"/>
      <c r="U217" s="4"/>
      <c r="V217" s="4"/>
      <c r="W217" s="4"/>
      <c r="X217" s="4"/>
      <c r="Y217" s="4"/>
      <c r="Z217" s="4"/>
      <c r="AA217" s="4"/>
      <c r="AB217" s="4"/>
      <c r="AC217" s="4"/>
      <c r="AD217" s="4"/>
      <c r="AE217" s="4"/>
      <c r="AF217" s="4"/>
      <c r="AG217" s="4"/>
      <c r="AH217" s="4"/>
    </row>
    <row r="218" spans="1:34" x14ac:dyDescent="0.3">
      <c r="A218" s="4"/>
      <c r="B218" s="4"/>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row>
    <row r="219" spans="1:34" x14ac:dyDescent="0.3">
      <c r="A219" s="4"/>
      <c r="B219" s="4"/>
      <c r="C219" s="4"/>
      <c r="D219" s="4"/>
      <c r="E219" s="4"/>
      <c r="F219" s="4"/>
      <c r="G219" s="4"/>
      <c r="H219" s="4"/>
      <c r="I219" s="4"/>
      <c r="J219" s="4"/>
      <c r="K219" s="4"/>
      <c r="L219" s="4"/>
      <c r="M219" s="4"/>
      <c r="N219" s="4"/>
      <c r="O219" s="4"/>
      <c r="P219" s="4"/>
      <c r="Q219" s="4"/>
      <c r="R219" s="4"/>
      <c r="S219" s="4"/>
      <c r="T219" s="4"/>
      <c r="U219" s="4"/>
      <c r="V219" s="4"/>
      <c r="W219" s="4"/>
      <c r="X219" s="4"/>
      <c r="Y219" s="4"/>
      <c r="Z219" s="4"/>
      <c r="AA219" s="4"/>
      <c r="AB219" s="4"/>
      <c r="AC219" s="4"/>
      <c r="AD219" s="4"/>
      <c r="AE219" s="4"/>
      <c r="AF219" s="4"/>
      <c r="AG219" s="4"/>
      <c r="AH219" s="4"/>
    </row>
    <row r="220" spans="1:34" x14ac:dyDescent="0.3">
      <c r="A220" s="4"/>
      <c r="B220" s="4"/>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row>
    <row r="221" spans="1:34" x14ac:dyDescent="0.3">
      <c r="A221" s="4"/>
      <c r="B221" s="4"/>
      <c r="C221" s="4"/>
      <c r="D221" s="4"/>
      <c r="E221" s="4"/>
      <c r="F221" s="4"/>
      <c r="G221" s="4"/>
      <c r="H221" s="4"/>
      <c r="I221" s="4"/>
      <c r="J221" s="4"/>
      <c r="K221" s="4"/>
      <c r="L221" s="4"/>
      <c r="M221" s="4"/>
      <c r="N221" s="4"/>
      <c r="O221" s="4"/>
      <c r="P221" s="4"/>
      <c r="Q221" s="4"/>
      <c r="R221" s="4"/>
      <c r="S221" s="4"/>
      <c r="T221" s="4"/>
      <c r="U221" s="4"/>
      <c r="V221" s="4"/>
      <c r="W221" s="4"/>
      <c r="X221" s="4"/>
      <c r="Y221" s="4"/>
      <c r="Z221" s="4"/>
      <c r="AA221" s="4"/>
      <c r="AB221" s="4"/>
      <c r="AC221" s="4"/>
      <c r="AD221" s="4"/>
      <c r="AE221" s="4"/>
      <c r="AF221" s="4"/>
      <c r="AG221" s="4"/>
      <c r="AH221" s="4"/>
    </row>
    <row r="222" spans="1:34" x14ac:dyDescent="0.3">
      <c r="A222" s="4"/>
      <c r="B222" s="4"/>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row>
    <row r="223" spans="1:34" x14ac:dyDescent="0.3">
      <c r="A223" s="4"/>
      <c r="B223" s="4"/>
      <c r="C223" s="4"/>
      <c r="D223" s="4"/>
      <c r="E223" s="4"/>
      <c r="F223" s="4"/>
      <c r="G223" s="4"/>
      <c r="H223" s="4"/>
      <c r="I223" s="4"/>
      <c r="J223" s="4"/>
      <c r="K223" s="4"/>
      <c r="L223" s="4"/>
      <c r="M223" s="4"/>
      <c r="N223" s="4"/>
      <c r="O223" s="4"/>
      <c r="P223" s="4"/>
      <c r="Q223" s="4"/>
      <c r="R223" s="4"/>
      <c r="S223" s="4"/>
      <c r="T223" s="4"/>
      <c r="U223" s="4"/>
      <c r="V223" s="4"/>
      <c r="W223" s="4"/>
      <c r="X223" s="4"/>
      <c r="Y223" s="4"/>
      <c r="Z223" s="4"/>
      <c r="AA223" s="4"/>
      <c r="AB223" s="4"/>
      <c r="AC223" s="4"/>
      <c r="AD223" s="4"/>
      <c r="AE223" s="4"/>
      <c r="AF223" s="4"/>
      <c r="AG223" s="4"/>
      <c r="AH223" s="4"/>
    </row>
    <row r="224" spans="1:34" x14ac:dyDescent="0.3">
      <c r="A224" s="4"/>
      <c r="B224" s="4"/>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row>
    <row r="225" spans="1:34" x14ac:dyDescent="0.3">
      <c r="A225" s="4"/>
      <c r="B225" s="4"/>
      <c r="C225" s="4"/>
      <c r="D225" s="4"/>
      <c r="E225" s="4"/>
      <c r="F225" s="4"/>
      <c r="G225" s="4"/>
      <c r="H225" s="4"/>
      <c r="I225" s="4"/>
      <c r="J225" s="4"/>
      <c r="K225" s="4"/>
      <c r="L225" s="4"/>
      <c r="M225" s="4"/>
      <c r="N225" s="4"/>
      <c r="O225" s="4"/>
      <c r="P225" s="4"/>
      <c r="Q225" s="4"/>
      <c r="R225" s="4"/>
      <c r="S225" s="4"/>
      <c r="T225" s="4"/>
      <c r="U225" s="4"/>
      <c r="V225" s="4"/>
      <c r="W225" s="4"/>
      <c r="X225" s="4"/>
      <c r="Y225" s="4"/>
      <c r="Z225" s="4"/>
      <c r="AA225" s="4"/>
      <c r="AB225" s="4"/>
      <c r="AC225" s="4"/>
      <c r="AD225" s="4"/>
      <c r="AE225" s="4"/>
      <c r="AF225" s="4"/>
      <c r="AG225" s="4"/>
      <c r="AH225" s="4"/>
    </row>
    <row r="226" spans="1:34" x14ac:dyDescent="0.3">
      <c r="A226" s="4"/>
      <c r="B226" s="4"/>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row>
    <row r="227" spans="1:34" x14ac:dyDescent="0.3">
      <c r="A227" s="4"/>
      <c r="B227" s="4"/>
      <c r="C227" s="4"/>
      <c r="D227" s="4"/>
      <c r="E227" s="4"/>
      <c r="F227" s="4"/>
      <c r="G227" s="4"/>
      <c r="H227" s="4"/>
      <c r="I227" s="4"/>
      <c r="J227" s="4"/>
      <c r="K227" s="4"/>
      <c r="L227" s="4"/>
      <c r="M227" s="4"/>
      <c r="N227" s="4"/>
      <c r="O227" s="4"/>
      <c r="P227" s="4"/>
      <c r="Q227" s="4"/>
      <c r="R227" s="4"/>
      <c r="S227" s="4"/>
      <c r="T227" s="4"/>
      <c r="U227" s="4"/>
      <c r="V227" s="4"/>
      <c r="W227" s="4"/>
      <c r="X227" s="4"/>
      <c r="Y227" s="4"/>
      <c r="Z227" s="4"/>
      <c r="AA227" s="4"/>
      <c r="AB227" s="4"/>
      <c r="AC227" s="4"/>
      <c r="AD227" s="4"/>
      <c r="AE227" s="4"/>
      <c r="AF227" s="4"/>
      <c r="AG227" s="4"/>
      <c r="AH227" s="4"/>
    </row>
    <row r="228" spans="1:34" x14ac:dyDescent="0.3">
      <c r="A228" s="4"/>
      <c r="B228" s="4"/>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row>
    <row r="229" spans="1:34" x14ac:dyDescent="0.3">
      <c r="A229" s="4"/>
      <c r="B229" s="4"/>
      <c r="C229" s="4"/>
      <c r="D229" s="4"/>
      <c r="E229" s="4"/>
      <c r="F229" s="4"/>
      <c r="G229" s="4"/>
      <c r="H229" s="4"/>
      <c r="I229" s="4"/>
      <c r="J229" s="4"/>
      <c r="K229" s="4"/>
      <c r="L229" s="4"/>
      <c r="M229" s="4"/>
      <c r="N229" s="4"/>
      <c r="O229" s="4"/>
      <c r="P229" s="4"/>
      <c r="Q229" s="4"/>
      <c r="R229" s="4"/>
      <c r="S229" s="4"/>
      <c r="T229" s="4"/>
      <c r="U229" s="4"/>
      <c r="V229" s="4"/>
      <c r="W229" s="4"/>
      <c r="X229" s="4"/>
      <c r="Y229" s="4"/>
      <c r="Z229" s="4"/>
      <c r="AA229" s="4"/>
      <c r="AB229" s="4"/>
      <c r="AC229" s="4"/>
      <c r="AD229" s="4"/>
      <c r="AE229" s="4"/>
      <c r="AF229" s="4"/>
      <c r="AG229" s="4"/>
      <c r="AH229" s="4"/>
    </row>
    <row r="230" spans="1:34" x14ac:dyDescent="0.3">
      <c r="A230" s="4"/>
      <c r="B230" s="4"/>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row>
    <row r="231" spans="1:34" x14ac:dyDescent="0.3">
      <c r="A231" s="4"/>
      <c r="B231" s="4"/>
      <c r="C231" s="4"/>
      <c r="D231" s="4"/>
      <c r="E231" s="4"/>
      <c r="F231" s="4"/>
      <c r="G231" s="4"/>
      <c r="H231" s="4"/>
      <c r="I231" s="4"/>
      <c r="J231" s="4"/>
      <c r="K231" s="4"/>
      <c r="L231" s="4"/>
      <c r="M231" s="4"/>
      <c r="N231" s="4"/>
      <c r="O231" s="4"/>
      <c r="P231" s="4"/>
      <c r="Q231" s="4"/>
      <c r="R231" s="4"/>
      <c r="S231" s="4"/>
      <c r="T231" s="4"/>
      <c r="U231" s="4"/>
      <c r="V231" s="4"/>
      <c r="W231" s="4"/>
      <c r="X231" s="4"/>
      <c r="Y231" s="4"/>
      <c r="Z231" s="4"/>
      <c r="AA231" s="4"/>
      <c r="AB231" s="4"/>
      <c r="AC231" s="4"/>
      <c r="AD231" s="4"/>
      <c r="AE231" s="4"/>
      <c r="AF231" s="4"/>
      <c r="AG231" s="4"/>
      <c r="AH231" s="4"/>
    </row>
    <row r="232" spans="1:34" x14ac:dyDescent="0.3">
      <c r="A232" s="4"/>
      <c r="B232" s="4"/>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row>
    <row r="233" spans="1:34" x14ac:dyDescent="0.3">
      <c r="A233" s="4"/>
      <c r="B233" s="4"/>
      <c r="C233" s="4"/>
      <c r="D233" s="4"/>
      <c r="E233" s="4"/>
      <c r="F233" s="4"/>
      <c r="G233" s="4"/>
      <c r="H233" s="4"/>
      <c r="I233" s="4"/>
      <c r="J233" s="4"/>
      <c r="K233" s="4"/>
      <c r="L233" s="4"/>
      <c r="M233" s="4"/>
      <c r="N233" s="4"/>
      <c r="O233" s="4"/>
      <c r="P233" s="4"/>
      <c r="Q233" s="4"/>
      <c r="R233" s="4"/>
      <c r="S233" s="4"/>
      <c r="T233" s="4"/>
      <c r="U233" s="4"/>
      <c r="V233" s="4"/>
      <c r="W233" s="4"/>
      <c r="X233" s="4"/>
      <c r="Y233" s="4"/>
      <c r="Z233" s="4"/>
      <c r="AA233" s="4"/>
      <c r="AB233" s="4"/>
      <c r="AC233" s="4"/>
      <c r="AD233" s="4"/>
      <c r="AE233" s="4"/>
      <c r="AF233" s="4"/>
      <c r="AG233" s="4"/>
      <c r="AH233" s="4"/>
    </row>
    <row r="234" spans="1:34" x14ac:dyDescent="0.3">
      <c r="A234" s="4"/>
      <c r="B234" s="4"/>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row>
    <row r="235" spans="1:34" x14ac:dyDescent="0.3">
      <c r="A235" s="4"/>
      <c r="B235" s="4"/>
      <c r="C235" s="4"/>
      <c r="D235" s="4"/>
      <c r="E235" s="4"/>
      <c r="F235" s="4"/>
      <c r="G235" s="4"/>
      <c r="H235" s="4"/>
      <c r="I235" s="4"/>
      <c r="J235" s="4"/>
      <c r="K235" s="4"/>
      <c r="L235" s="4"/>
      <c r="M235" s="4"/>
      <c r="N235" s="4"/>
      <c r="O235" s="4"/>
      <c r="P235" s="4"/>
      <c r="Q235" s="4"/>
      <c r="R235" s="4"/>
      <c r="S235" s="4"/>
      <c r="T235" s="4"/>
      <c r="U235" s="4"/>
      <c r="V235" s="4"/>
      <c r="W235" s="4"/>
      <c r="X235" s="4"/>
      <c r="Y235" s="4"/>
      <c r="Z235" s="4"/>
      <c r="AA235" s="4"/>
      <c r="AB235" s="4"/>
      <c r="AC235" s="4"/>
      <c r="AD235" s="4"/>
      <c r="AE235" s="4"/>
      <c r="AF235" s="4"/>
      <c r="AG235" s="4"/>
      <c r="AH235" s="4"/>
    </row>
    <row r="236" spans="1:34" x14ac:dyDescent="0.3">
      <c r="A236" s="4"/>
      <c r="B236" s="4"/>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row>
    <row r="237" spans="1:34" x14ac:dyDescent="0.3">
      <c r="A237" s="4"/>
      <c r="B237" s="4"/>
      <c r="C237" s="4"/>
      <c r="D237" s="4"/>
      <c r="E237" s="4"/>
      <c r="F237" s="4"/>
      <c r="G237" s="4"/>
      <c r="H237" s="4"/>
      <c r="I237" s="4"/>
      <c r="J237" s="4"/>
      <c r="K237" s="4"/>
      <c r="L237" s="4"/>
      <c r="M237" s="4"/>
      <c r="N237" s="4"/>
      <c r="O237" s="4"/>
      <c r="P237" s="4"/>
      <c r="Q237" s="4"/>
      <c r="R237" s="4"/>
      <c r="S237" s="4"/>
      <c r="T237" s="4"/>
      <c r="U237" s="4"/>
      <c r="V237" s="4"/>
      <c r="W237" s="4"/>
      <c r="X237" s="4"/>
      <c r="Y237" s="4"/>
      <c r="Z237" s="4"/>
      <c r="AA237" s="4"/>
      <c r="AB237" s="4"/>
      <c r="AC237" s="4"/>
      <c r="AD237" s="4"/>
      <c r="AE237" s="4"/>
      <c r="AF237" s="4"/>
      <c r="AG237" s="4"/>
      <c r="AH237" s="4"/>
    </row>
    <row r="238" spans="1:34" x14ac:dyDescent="0.3">
      <c r="A238" s="4"/>
      <c r="B238" s="4"/>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row>
    <row r="239" spans="1:34" x14ac:dyDescent="0.3">
      <c r="A239" s="4"/>
      <c r="B239" s="4"/>
      <c r="C239" s="4"/>
      <c r="D239" s="4"/>
      <c r="E239" s="4"/>
      <c r="F239" s="4"/>
      <c r="G239" s="4"/>
      <c r="H239" s="4"/>
      <c r="I239" s="4"/>
      <c r="J239" s="4"/>
      <c r="K239" s="4"/>
      <c r="L239" s="4"/>
      <c r="M239" s="4"/>
      <c r="N239" s="4"/>
      <c r="O239" s="4"/>
      <c r="P239" s="4"/>
      <c r="Q239" s="4"/>
      <c r="R239" s="4"/>
      <c r="S239" s="4"/>
      <c r="T239" s="4"/>
      <c r="U239" s="4"/>
      <c r="V239" s="4"/>
      <c r="W239" s="4"/>
      <c r="X239" s="4"/>
      <c r="Y239" s="4"/>
      <c r="Z239" s="4"/>
      <c r="AA239" s="4"/>
      <c r="AB239" s="4"/>
      <c r="AC239" s="4"/>
      <c r="AD239" s="4"/>
      <c r="AE239" s="4"/>
      <c r="AF239" s="4"/>
      <c r="AG239" s="4"/>
      <c r="AH239" s="4"/>
    </row>
    <row r="240" spans="1:34" x14ac:dyDescent="0.3">
      <c r="A240" s="4"/>
      <c r="B240" s="4"/>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row>
    <row r="241" spans="1:34" x14ac:dyDescent="0.3">
      <c r="A241" s="4"/>
      <c r="B241" s="4"/>
      <c r="C241" s="4"/>
      <c r="D241" s="4"/>
      <c r="E241" s="4"/>
      <c r="F241" s="4"/>
      <c r="G241" s="4"/>
      <c r="H241" s="4"/>
      <c r="I241" s="4"/>
      <c r="J241" s="4"/>
      <c r="K241" s="4"/>
      <c r="L241" s="4"/>
      <c r="M241" s="4"/>
      <c r="N241" s="4"/>
      <c r="O241" s="4"/>
      <c r="P241" s="4"/>
      <c r="Q241" s="4"/>
      <c r="R241" s="4"/>
      <c r="S241" s="4"/>
      <c r="T241" s="4"/>
      <c r="U241" s="4"/>
      <c r="V241" s="4"/>
      <c r="W241" s="4"/>
      <c r="X241" s="4"/>
      <c r="Y241" s="4"/>
      <c r="Z241" s="4"/>
      <c r="AA241" s="4"/>
      <c r="AB241" s="4"/>
      <c r="AC241" s="4"/>
      <c r="AD241" s="4"/>
      <c r="AE241" s="4"/>
      <c r="AF241" s="4"/>
      <c r="AG241" s="4"/>
      <c r="AH241" s="4"/>
    </row>
    <row r="242" spans="1:34" x14ac:dyDescent="0.3">
      <c r="A242" s="4"/>
      <c r="B242" s="4"/>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row>
    <row r="243" spans="1:34" x14ac:dyDescent="0.3">
      <c r="A243" s="4"/>
      <c r="B243" s="4"/>
      <c r="C243" s="4"/>
      <c r="D243" s="4"/>
      <c r="E243" s="4"/>
      <c r="F243" s="4"/>
      <c r="G243" s="4"/>
      <c r="H243" s="4"/>
      <c r="I243" s="4"/>
      <c r="J243" s="4"/>
      <c r="K243" s="4"/>
      <c r="L243" s="4"/>
      <c r="M243" s="4"/>
      <c r="N243" s="4"/>
      <c r="O243" s="4"/>
      <c r="P243" s="4"/>
      <c r="Q243" s="4"/>
      <c r="R243" s="4"/>
      <c r="S243" s="4"/>
      <c r="T243" s="4"/>
      <c r="U243" s="4"/>
      <c r="V243" s="4"/>
      <c r="W243" s="4"/>
      <c r="X243" s="4"/>
      <c r="Y243" s="4"/>
      <c r="Z243" s="4"/>
      <c r="AA243" s="4"/>
      <c r="AB243" s="4"/>
      <c r="AC243" s="4"/>
      <c r="AD243" s="4"/>
      <c r="AE243" s="4"/>
      <c r="AF243" s="4"/>
      <c r="AG243" s="4"/>
      <c r="AH243" s="4"/>
    </row>
    <row r="244" spans="1:34" x14ac:dyDescent="0.3">
      <c r="A244" s="4"/>
      <c r="B244" s="4"/>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row>
    <row r="245" spans="1:34" x14ac:dyDescent="0.3">
      <c r="A245" s="4"/>
      <c r="B245" s="4"/>
      <c r="C245" s="4"/>
      <c r="D245" s="4"/>
      <c r="E245" s="4"/>
      <c r="F245" s="4"/>
      <c r="G245" s="4"/>
      <c r="H245" s="4"/>
      <c r="I245" s="4"/>
      <c r="J245" s="4"/>
      <c r="K245" s="4"/>
      <c r="L245" s="4"/>
      <c r="M245" s="4"/>
      <c r="N245" s="4"/>
      <c r="O245" s="4"/>
      <c r="P245" s="4"/>
      <c r="Q245" s="4"/>
      <c r="R245" s="4"/>
      <c r="S245" s="4"/>
      <c r="T245" s="4"/>
      <c r="U245" s="4"/>
      <c r="V245" s="4"/>
      <c r="W245" s="4"/>
      <c r="X245" s="4"/>
      <c r="Y245" s="4"/>
      <c r="Z245" s="4"/>
      <c r="AA245" s="4"/>
      <c r="AB245" s="4"/>
      <c r="AC245" s="4"/>
      <c r="AD245" s="4"/>
      <c r="AE245" s="4"/>
      <c r="AF245" s="4"/>
      <c r="AG245" s="4"/>
      <c r="AH245" s="4"/>
    </row>
    <row r="246" spans="1:34" x14ac:dyDescent="0.3">
      <c r="A246" s="4"/>
      <c r="B246" s="4"/>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row>
    <row r="247" spans="1:34" x14ac:dyDescent="0.3">
      <c r="A247" s="4"/>
      <c r="B247" s="4"/>
      <c r="C247" s="4"/>
      <c r="D247" s="4"/>
      <c r="E247" s="4"/>
      <c r="F247" s="4"/>
      <c r="G247" s="4"/>
      <c r="H247" s="4"/>
      <c r="I247" s="4"/>
      <c r="J247" s="4"/>
      <c r="K247" s="4"/>
      <c r="L247" s="4"/>
      <c r="M247" s="4"/>
      <c r="N247" s="4"/>
      <c r="O247" s="4"/>
      <c r="P247" s="4"/>
      <c r="Q247" s="4"/>
      <c r="R247" s="4"/>
      <c r="S247" s="4"/>
      <c r="T247" s="4"/>
      <c r="U247" s="4"/>
      <c r="V247" s="4"/>
      <c r="W247" s="4"/>
      <c r="X247" s="4"/>
      <c r="Y247" s="4"/>
      <c r="Z247" s="4"/>
      <c r="AA247" s="4"/>
      <c r="AB247" s="4"/>
      <c r="AC247" s="4"/>
      <c r="AD247" s="4"/>
      <c r="AE247" s="4"/>
      <c r="AF247" s="4"/>
      <c r="AG247" s="4"/>
      <c r="AH247" s="4"/>
    </row>
    <row r="248" spans="1:34" x14ac:dyDescent="0.3">
      <c r="A248" s="4"/>
      <c r="B248" s="4"/>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row>
    <row r="249" spans="1:34" x14ac:dyDescent="0.3">
      <c r="A249" s="4"/>
      <c r="B249" s="4"/>
      <c r="C249" s="4"/>
      <c r="D249" s="4"/>
      <c r="E249" s="4"/>
      <c r="F249" s="4"/>
      <c r="G249" s="4"/>
      <c r="H249" s="4"/>
      <c r="I249" s="4"/>
      <c r="J249" s="4"/>
      <c r="K249" s="4"/>
      <c r="L249" s="4"/>
      <c r="M249" s="4"/>
      <c r="N249" s="4"/>
      <c r="O249" s="4"/>
      <c r="P249" s="4"/>
      <c r="Q249" s="4"/>
      <c r="R249" s="4"/>
      <c r="S249" s="4"/>
      <c r="T249" s="4"/>
      <c r="U249" s="4"/>
      <c r="V249" s="4"/>
      <c r="W249" s="4"/>
      <c r="X249" s="4"/>
      <c r="Y249" s="4"/>
      <c r="Z249" s="4"/>
      <c r="AA249" s="4"/>
      <c r="AB249" s="4"/>
      <c r="AC249" s="4"/>
      <c r="AD249" s="4"/>
      <c r="AE249" s="4"/>
      <c r="AF249" s="4"/>
      <c r="AG249" s="4"/>
      <c r="AH249" s="4"/>
    </row>
    <row r="250" spans="1:34" x14ac:dyDescent="0.3">
      <c r="A250" s="4"/>
      <c r="B250" s="4"/>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row>
    <row r="251" spans="1:34" x14ac:dyDescent="0.3">
      <c r="A251" s="4"/>
      <c r="B251" s="4"/>
      <c r="C251" s="4"/>
      <c r="D251" s="4"/>
      <c r="E251" s="4"/>
      <c r="F251" s="4"/>
      <c r="G251" s="4"/>
      <c r="H251" s="4"/>
      <c r="I251" s="4"/>
      <c r="J251" s="4"/>
      <c r="K251" s="4"/>
      <c r="L251" s="4"/>
      <c r="M251" s="4"/>
      <c r="N251" s="4"/>
      <c r="O251" s="4"/>
      <c r="P251" s="4"/>
      <c r="Q251" s="4"/>
      <c r="R251" s="4"/>
      <c r="S251" s="4"/>
      <c r="T251" s="4"/>
      <c r="U251" s="4"/>
      <c r="V251" s="4"/>
      <c r="W251" s="4"/>
      <c r="X251" s="4"/>
      <c r="Y251" s="4"/>
      <c r="Z251" s="4"/>
      <c r="AA251" s="4"/>
      <c r="AB251" s="4"/>
      <c r="AC251" s="4"/>
      <c r="AD251" s="4"/>
      <c r="AE251" s="4"/>
      <c r="AF251" s="4"/>
      <c r="AG251" s="4"/>
      <c r="AH251" s="4"/>
    </row>
    <row r="252" spans="1:34" x14ac:dyDescent="0.3">
      <c r="A252" s="4"/>
      <c r="B252" s="4"/>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row>
    <row r="253" spans="1:34" x14ac:dyDescent="0.3">
      <c r="A253" s="4"/>
      <c r="B253" s="4"/>
      <c r="C253" s="4"/>
      <c r="D253" s="4"/>
      <c r="E253" s="4"/>
      <c r="F253" s="4"/>
      <c r="G253" s="4"/>
      <c r="H253" s="4"/>
      <c r="I253" s="4"/>
      <c r="J253" s="4"/>
      <c r="K253" s="4"/>
      <c r="L253" s="4"/>
      <c r="M253" s="4"/>
      <c r="N253" s="4"/>
      <c r="O253" s="4"/>
      <c r="P253" s="4"/>
      <c r="Q253" s="4"/>
      <c r="R253" s="4"/>
      <c r="S253" s="4"/>
      <c r="T253" s="4"/>
      <c r="U253" s="4"/>
      <c r="V253" s="4"/>
      <c r="W253" s="4"/>
      <c r="X253" s="4"/>
      <c r="Y253" s="4"/>
      <c r="Z253" s="4"/>
      <c r="AA253" s="4"/>
      <c r="AB253" s="4"/>
      <c r="AC253" s="4"/>
      <c r="AD253" s="4"/>
      <c r="AE253" s="4"/>
      <c r="AF253" s="4"/>
      <c r="AG253" s="4"/>
      <c r="AH253" s="4"/>
    </row>
    <row r="254" spans="1:34" x14ac:dyDescent="0.3">
      <c r="A254" s="4"/>
      <c r="B254" s="4"/>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row>
    <row r="255" spans="1:34" x14ac:dyDescent="0.3">
      <c r="A255" s="4"/>
      <c r="B255" s="4"/>
      <c r="C255" s="4"/>
      <c r="D255" s="4"/>
      <c r="E255" s="4"/>
      <c r="F255" s="4"/>
      <c r="G255" s="4"/>
      <c r="H255" s="4"/>
      <c r="I255" s="4"/>
      <c r="J255" s="4"/>
      <c r="K255" s="4"/>
      <c r="L255" s="4"/>
      <c r="M255" s="4"/>
      <c r="N255" s="4"/>
      <c r="O255" s="4"/>
      <c r="P255" s="4"/>
      <c r="Q255" s="4"/>
      <c r="R255" s="4"/>
      <c r="S255" s="4"/>
      <c r="T255" s="4"/>
      <c r="U255" s="4"/>
      <c r="V255" s="4"/>
      <c r="W255" s="4"/>
      <c r="X255" s="4"/>
      <c r="Y255" s="4"/>
      <c r="Z255" s="4"/>
      <c r="AA255" s="4"/>
      <c r="AB255" s="4"/>
      <c r="AC255" s="4"/>
      <c r="AD255" s="4"/>
      <c r="AE255" s="4"/>
      <c r="AF255" s="4"/>
      <c r="AG255" s="4"/>
      <c r="AH255" s="4"/>
    </row>
    <row r="256" spans="1:34" x14ac:dyDescent="0.3">
      <c r="A256" s="4"/>
      <c r="B256" s="4"/>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row>
    <row r="257" spans="1:34" x14ac:dyDescent="0.3">
      <c r="A257" s="4"/>
      <c r="B257" s="4"/>
      <c r="C257" s="4"/>
      <c r="D257" s="4"/>
      <c r="E257" s="4"/>
      <c r="F257" s="4"/>
      <c r="G257" s="4"/>
      <c r="H257" s="4"/>
      <c r="I257" s="4"/>
      <c r="J257" s="4"/>
      <c r="K257" s="4"/>
      <c r="L257" s="4"/>
      <c r="M257" s="4"/>
      <c r="N257" s="4"/>
      <c r="O257" s="4"/>
      <c r="P257" s="4"/>
      <c r="Q257" s="4"/>
      <c r="R257" s="4"/>
      <c r="S257" s="4"/>
      <c r="T257" s="4"/>
      <c r="U257" s="4"/>
      <c r="V257" s="4"/>
      <c r="W257" s="4"/>
      <c r="X257" s="4"/>
      <c r="Y257" s="4"/>
      <c r="Z257" s="4"/>
      <c r="AA257" s="4"/>
      <c r="AB257" s="4"/>
      <c r="AC257" s="4"/>
      <c r="AD257" s="4"/>
      <c r="AE257" s="4"/>
      <c r="AF257" s="4"/>
      <c r="AG257" s="4"/>
      <c r="AH257" s="4"/>
    </row>
    <row r="258" spans="1:34" x14ac:dyDescent="0.3">
      <c r="A258" s="4"/>
      <c r="B258" s="4"/>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row>
    <row r="259" spans="1:34" x14ac:dyDescent="0.3">
      <c r="A259" s="4"/>
      <c r="B259" s="4"/>
      <c r="C259" s="4"/>
      <c r="D259" s="4"/>
      <c r="E259" s="4"/>
      <c r="F259" s="4"/>
      <c r="G259" s="4"/>
      <c r="H259" s="4"/>
      <c r="I259" s="4"/>
      <c r="J259" s="4"/>
      <c r="K259" s="4"/>
      <c r="L259" s="4"/>
      <c r="M259" s="4"/>
      <c r="N259" s="4"/>
      <c r="O259" s="4"/>
      <c r="P259" s="4"/>
      <c r="Q259" s="4"/>
      <c r="R259" s="4"/>
      <c r="S259" s="4"/>
      <c r="T259" s="4"/>
      <c r="U259" s="4"/>
      <c r="V259" s="4"/>
      <c r="W259" s="4"/>
      <c r="X259" s="4"/>
      <c r="Y259" s="4"/>
      <c r="Z259" s="4"/>
      <c r="AA259" s="4"/>
      <c r="AB259" s="4"/>
      <c r="AC259" s="4"/>
      <c r="AD259" s="4"/>
      <c r="AE259" s="4"/>
      <c r="AF259" s="4"/>
      <c r="AG259" s="4"/>
      <c r="AH259" s="4"/>
    </row>
    <row r="260" spans="1:34" x14ac:dyDescent="0.3">
      <c r="A260" s="4"/>
      <c r="B260" s="4"/>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row>
    <row r="261" spans="1:34" x14ac:dyDescent="0.3">
      <c r="A261" s="4"/>
      <c r="B261" s="4"/>
      <c r="C261" s="4"/>
      <c r="D261" s="4"/>
      <c r="E261" s="4"/>
      <c r="F261" s="4"/>
      <c r="G261" s="4"/>
      <c r="H261" s="4"/>
      <c r="I261" s="4"/>
      <c r="J261" s="4"/>
      <c r="K261" s="4"/>
      <c r="L261" s="4"/>
      <c r="M261" s="4"/>
      <c r="N261" s="4"/>
      <c r="O261" s="4"/>
      <c r="P261" s="4"/>
      <c r="Q261" s="4"/>
      <c r="R261" s="4"/>
      <c r="S261" s="4"/>
      <c r="T261" s="4"/>
      <c r="U261" s="4"/>
      <c r="V261" s="4"/>
      <c r="W261" s="4"/>
      <c r="X261" s="4"/>
      <c r="Y261" s="4"/>
      <c r="Z261" s="4"/>
      <c r="AA261" s="4"/>
      <c r="AB261" s="4"/>
      <c r="AC261" s="4"/>
      <c r="AD261" s="4"/>
      <c r="AE261" s="4"/>
      <c r="AF261" s="4"/>
      <c r="AG261" s="4"/>
      <c r="AH261" s="4"/>
    </row>
    <row r="262" spans="1:34" x14ac:dyDescent="0.3">
      <c r="A262" s="4"/>
      <c r="B262" s="4"/>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row>
    <row r="263" spans="1:34" x14ac:dyDescent="0.3">
      <c r="A263" s="4"/>
      <c r="B263" s="4"/>
      <c r="C263" s="4"/>
      <c r="D263" s="4"/>
      <c r="E263" s="4"/>
      <c r="F263" s="4"/>
      <c r="G263" s="4"/>
      <c r="H263" s="4"/>
      <c r="I263" s="4"/>
      <c r="J263" s="4"/>
      <c r="K263" s="4"/>
      <c r="L263" s="4"/>
      <c r="M263" s="4"/>
      <c r="N263" s="4"/>
      <c r="O263" s="4"/>
      <c r="P263" s="4"/>
      <c r="Q263" s="4"/>
      <c r="R263" s="4"/>
      <c r="S263" s="4"/>
      <c r="T263" s="4"/>
      <c r="U263" s="4"/>
      <c r="V263" s="4"/>
      <c r="W263" s="4"/>
      <c r="X263" s="4"/>
      <c r="Y263" s="4"/>
      <c r="Z263" s="4"/>
      <c r="AA263" s="4"/>
      <c r="AB263" s="4"/>
      <c r="AC263" s="4"/>
      <c r="AD263" s="4"/>
      <c r="AE263" s="4"/>
      <c r="AF263" s="4"/>
      <c r="AG263" s="4"/>
      <c r="AH263" s="4"/>
    </row>
    <row r="264" spans="1:34" x14ac:dyDescent="0.3">
      <c r="A264" s="4"/>
      <c r="B264" s="4"/>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row>
    <row r="265" spans="1:34" x14ac:dyDescent="0.3">
      <c r="A265" s="4"/>
      <c r="B265" s="4"/>
      <c r="C265" s="4"/>
      <c r="D265" s="4"/>
      <c r="E265" s="4"/>
      <c r="F265" s="4"/>
      <c r="G265" s="4"/>
      <c r="H265" s="4"/>
      <c r="I265" s="4"/>
      <c r="J265" s="4"/>
      <c r="K265" s="4"/>
      <c r="L265" s="4"/>
      <c r="M265" s="4"/>
      <c r="N265" s="4"/>
      <c r="O265" s="4"/>
      <c r="P265" s="4"/>
      <c r="Q265" s="4"/>
      <c r="R265" s="4"/>
      <c r="S265" s="4"/>
      <c r="T265" s="4"/>
      <c r="U265" s="4"/>
      <c r="V265" s="4"/>
      <c r="W265" s="4"/>
      <c r="X265" s="4"/>
      <c r="Y265" s="4"/>
      <c r="Z265" s="4"/>
      <c r="AA265" s="4"/>
      <c r="AB265" s="4"/>
      <c r="AC265" s="4"/>
      <c r="AD265" s="4"/>
      <c r="AE265" s="4"/>
      <c r="AF265" s="4"/>
      <c r="AG265" s="4"/>
      <c r="AH265" s="4"/>
    </row>
    <row r="266" spans="1:34" x14ac:dyDescent="0.3">
      <c r="A266" s="4"/>
      <c r="B266" s="4"/>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row>
    <row r="267" spans="1:34" x14ac:dyDescent="0.3">
      <c r="A267" s="4"/>
      <c r="B267" s="4"/>
      <c r="C267" s="4"/>
      <c r="D267" s="4"/>
      <c r="E267" s="4"/>
      <c r="F267" s="4"/>
      <c r="G267" s="4"/>
      <c r="H267" s="4"/>
      <c r="I267" s="4"/>
      <c r="J267" s="4"/>
      <c r="K267" s="4"/>
      <c r="L267" s="4"/>
      <c r="M267" s="4"/>
      <c r="N267" s="4"/>
      <c r="O267" s="4"/>
      <c r="P267" s="4"/>
      <c r="Q267" s="4"/>
      <c r="R267" s="4"/>
      <c r="S267" s="4"/>
      <c r="T267" s="4"/>
      <c r="U267" s="4"/>
      <c r="V267" s="4"/>
      <c r="W267" s="4"/>
      <c r="X267" s="4"/>
      <c r="Y267" s="4"/>
      <c r="Z267" s="4"/>
      <c r="AA267" s="4"/>
      <c r="AB267" s="4"/>
      <c r="AC267" s="4"/>
      <c r="AD267" s="4"/>
      <c r="AE267" s="4"/>
      <c r="AF267" s="4"/>
      <c r="AG267" s="4"/>
      <c r="AH267" s="4"/>
    </row>
    <row r="268" spans="1:34" x14ac:dyDescent="0.3">
      <c r="A268" s="4"/>
      <c r="B268" s="4"/>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row>
    <row r="269" spans="1:34" x14ac:dyDescent="0.3">
      <c r="A269" s="4"/>
      <c r="B269" s="4"/>
      <c r="C269" s="4"/>
      <c r="D269" s="4"/>
      <c r="E269" s="4"/>
      <c r="F269" s="4"/>
      <c r="G269" s="4"/>
      <c r="H269" s="4"/>
      <c r="I269" s="4"/>
      <c r="J269" s="4"/>
      <c r="K269" s="4"/>
      <c r="L269" s="4"/>
      <c r="M269" s="4"/>
      <c r="N269" s="4"/>
      <c r="O269" s="4"/>
      <c r="P269" s="4"/>
      <c r="Q269" s="4"/>
      <c r="R269" s="4"/>
      <c r="S269" s="4"/>
      <c r="T269" s="4"/>
      <c r="U269" s="4"/>
      <c r="V269" s="4"/>
      <c r="W269" s="4"/>
      <c r="X269" s="4"/>
      <c r="Y269" s="4"/>
      <c r="Z269" s="4"/>
      <c r="AA269" s="4"/>
      <c r="AB269" s="4"/>
      <c r="AC269" s="4"/>
      <c r="AD269" s="4"/>
      <c r="AE269" s="4"/>
      <c r="AF269" s="4"/>
      <c r="AG269" s="4"/>
      <c r="AH269" s="4"/>
    </row>
    <row r="270" spans="1:34" x14ac:dyDescent="0.3">
      <c r="A270" s="4"/>
      <c r="B270" s="4"/>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row>
    <row r="271" spans="1:34" x14ac:dyDescent="0.3">
      <c r="A271" s="4"/>
      <c r="B271" s="4"/>
      <c r="C271" s="4"/>
      <c r="D271" s="4"/>
      <c r="E271" s="4"/>
      <c r="F271" s="4"/>
      <c r="G271" s="4"/>
      <c r="H271" s="4"/>
      <c r="I271" s="4"/>
      <c r="J271" s="4"/>
      <c r="K271" s="4"/>
      <c r="L271" s="4"/>
      <c r="M271" s="4"/>
      <c r="N271" s="4"/>
      <c r="O271" s="4"/>
      <c r="P271" s="4"/>
      <c r="Q271" s="4"/>
      <c r="R271" s="4"/>
      <c r="S271" s="4"/>
      <c r="T271" s="4"/>
      <c r="U271" s="4"/>
      <c r="V271" s="4"/>
      <c r="W271" s="4"/>
      <c r="X271" s="4"/>
      <c r="Y271" s="4"/>
      <c r="Z271" s="4"/>
      <c r="AA271" s="4"/>
      <c r="AB271" s="4"/>
      <c r="AC271" s="4"/>
      <c r="AD271" s="4"/>
      <c r="AE271" s="4"/>
      <c r="AF271" s="4"/>
      <c r="AG271" s="4"/>
      <c r="AH271" s="4"/>
    </row>
    <row r="272" spans="1:34" x14ac:dyDescent="0.3">
      <c r="A272" s="4"/>
      <c r="B272" s="4"/>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row>
    <row r="273" spans="1:34" x14ac:dyDescent="0.3">
      <c r="A273" s="4"/>
      <c r="B273" s="4"/>
      <c r="C273" s="4"/>
      <c r="D273" s="4"/>
      <c r="E273" s="4"/>
      <c r="F273" s="4"/>
      <c r="G273" s="4"/>
      <c r="H273" s="4"/>
      <c r="I273" s="4"/>
      <c r="J273" s="4"/>
      <c r="K273" s="4"/>
      <c r="L273" s="4"/>
      <c r="M273" s="4"/>
      <c r="N273" s="4"/>
      <c r="O273" s="4"/>
      <c r="P273" s="4"/>
      <c r="Q273" s="4"/>
      <c r="R273" s="4"/>
      <c r="S273" s="4"/>
      <c r="T273" s="4"/>
      <c r="U273" s="4"/>
      <c r="V273" s="4"/>
      <c r="W273" s="4"/>
      <c r="X273" s="4"/>
      <c r="Y273" s="4"/>
      <c r="Z273" s="4"/>
      <c r="AA273" s="4"/>
      <c r="AB273" s="4"/>
      <c r="AC273" s="4"/>
      <c r="AD273" s="4"/>
      <c r="AE273" s="4"/>
      <c r="AF273" s="4"/>
      <c r="AG273" s="4"/>
      <c r="AH273" s="4"/>
    </row>
    <row r="274" spans="1:34" x14ac:dyDescent="0.3">
      <c r="A274" s="4"/>
      <c r="B274" s="4"/>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row>
    <row r="275" spans="1:34" x14ac:dyDescent="0.3">
      <c r="A275" s="4"/>
      <c r="B275" s="4"/>
      <c r="C275" s="4"/>
      <c r="D275" s="4"/>
      <c r="E275" s="4"/>
      <c r="F275" s="4"/>
      <c r="G275" s="4"/>
      <c r="H275" s="4"/>
      <c r="I275" s="4"/>
      <c r="J275" s="4"/>
      <c r="K275" s="4"/>
      <c r="L275" s="4"/>
      <c r="M275" s="4"/>
      <c r="N275" s="4"/>
      <c r="O275" s="4"/>
      <c r="P275" s="4"/>
      <c r="Q275" s="4"/>
      <c r="R275" s="4"/>
      <c r="S275" s="4"/>
      <c r="T275" s="4"/>
      <c r="U275" s="4"/>
      <c r="V275" s="4"/>
      <c r="W275" s="4"/>
      <c r="X275" s="4"/>
      <c r="Y275" s="4"/>
      <c r="Z275" s="4"/>
      <c r="AA275" s="4"/>
      <c r="AB275" s="4"/>
      <c r="AC275" s="4"/>
      <c r="AD275" s="4"/>
      <c r="AE275" s="4"/>
      <c r="AF275" s="4"/>
      <c r="AG275" s="4"/>
      <c r="AH275" s="4"/>
    </row>
  </sheetData>
  <mergeCells count="17">
    <mergeCell ref="B73:M73"/>
    <mergeCell ref="E76:L76"/>
    <mergeCell ref="B77:D77"/>
    <mergeCell ref="E77:L77"/>
    <mergeCell ref="B94:N94"/>
    <mergeCell ref="B91:D91"/>
    <mergeCell ref="E91:M91"/>
    <mergeCell ref="I92:N92"/>
    <mergeCell ref="B15:M15"/>
    <mergeCell ref="C40:K40"/>
    <mergeCell ref="C34:H34"/>
    <mergeCell ref="C38:I38"/>
    <mergeCell ref="C39:I39"/>
    <mergeCell ref="C37:M37"/>
    <mergeCell ref="C41:K41"/>
    <mergeCell ref="C47:I47"/>
    <mergeCell ref="E55:M55"/>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L89"/>
  <sheetViews>
    <sheetView showGridLines="0" topLeftCell="I4" zoomScale="85" zoomScaleNormal="85" workbookViewId="0">
      <selection activeCell="BL9" sqref="BL9"/>
    </sheetView>
  </sheetViews>
  <sheetFormatPr baseColWidth="10" defaultColWidth="11.5546875" defaultRowHeight="14.4" x14ac:dyDescent="0.3"/>
  <cols>
    <col min="1" max="1" width="6.33203125" style="1" customWidth="1"/>
    <col min="2" max="2" width="8.44140625" style="1" customWidth="1"/>
    <col min="3" max="3" width="49.5546875" style="65" customWidth="1"/>
    <col min="4" max="4" width="12.88671875" style="1" customWidth="1"/>
    <col min="5" max="5" width="19.109375" style="1" customWidth="1"/>
    <col min="6" max="7" width="13.109375" style="1" customWidth="1"/>
    <col min="8" max="8" width="13.6640625" style="1" bestFit="1" customWidth="1"/>
    <col min="9" max="9" width="13.33203125" style="62" customWidth="1"/>
    <col min="10" max="10" width="1" style="83" customWidth="1"/>
    <col min="11" max="63" width="3.88671875" style="62" customWidth="1"/>
    <col min="64" max="16384" width="11.5546875" style="93"/>
  </cols>
  <sheetData>
    <row r="1" spans="1:63" s="5" customFormat="1" x14ac:dyDescent="0.3">
      <c r="A1" s="4"/>
      <c r="B1" s="4"/>
      <c r="C1" s="13"/>
      <c r="D1" s="4"/>
      <c r="E1" s="4"/>
      <c r="F1" s="4"/>
      <c r="G1" s="4"/>
      <c r="H1" s="4"/>
      <c r="I1" s="4"/>
      <c r="J1" s="83"/>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row>
    <row r="2" spans="1:63" s="5" customFormat="1" ht="25.8" x14ac:dyDescent="0.3">
      <c r="A2" s="4"/>
      <c r="B2" s="16"/>
      <c r="C2" s="17"/>
      <c r="D2" s="16"/>
      <c r="E2" s="16"/>
      <c r="F2" s="4"/>
      <c r="G2" s="4"/>
      <c r="H2" s="130"/>
      <c r="I2" s="130"/>
      <c r="J2" s="83"/>
      <c r="K2" s="4"/>
      <c r="L2" s="18"/>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row>
    <row r="3" spans="1:63" s="5" customFormat="1" ht="25.8" x14ac:dyDescent="0.3">
      <c r="A3" s="4"/>
      <c r="B3" s="16"/>
      <c r="C3" s="17"/>
      <c r="D3" s="16"/>
      <c r="E3" s="16"/>
      <c r="F3" s="4"/>
      <c r="G3" s="4"/>
      <c r="H3" s="4"/>
      <c r="I3" s="4"/>
      <c r="J3" s="83"/>
      <c r="K3" s="4"/>
      <c r="L3" s="4"/>
      <c r="M3" s="4"/>
      <c r="N3" s="4"/>
      <c r="O3" s="4"/>
      <c r="P3" s="4"/>
      <c r="Q3" s="4"/>
      <c r="R3" s="80"/>
      <c r="S3" s="4"/>
      <c r="T3" s="4"/>
      <c r="U3" s="4"/>
      <c r="V3" s="4"/>
      <c r="W3" s="4"/>
      <c r="X3" s="4"/>
      <c r="Y3" s="4"/>
      <c r="Z3" s="4"/>
      <c r="AA3" s="4"/>
      <c r="AB3" s="4"/>
      <c r="AC3" s="4"/>
      <c r="AD3" s="4"/>
      <c r="AE3" s="4"/>
      <c r="AF3" s="4"/>
      <c r="AG3" s="4"/>
      <c r="AH3" s="4"/>
      <c r="AI3" s="4"/>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row>
    <row r="4" spans="1:63" s="5" customFormat="1" ht="25.8" x14ac:dyDescent="0.3">
      <c r="A4" s="4"/>
      <c r="B4" s="16"/>
      <c r="C4" s="17"/>
      <c r="D4" s="16"/>
      <c r="E4" s="16"/>
      <c r="F4" s="4"/>
      <c r="G4" s="4"/>
      <c r="H4" s="4"/>
      <c r="I4" s="4"/>
      <c r="J4" s="83"/>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row>
    <row r="5" spans="1:63" s="5" customFormat="1" ht="23.4" x14ac:dyDescent="0.45">
      <c r="A5" s="4"/>
      <c r="B5" s="4"/>
      <c r="C5" s="13"/>
      <c r="D5" s="4"/>
      <c r="E5" s="4"/>
      <c r="F5" s="4"/>
      <c r="G5" s="4"/>
      <c r="H5" s="4"/>
      <c r="I5" s="19"/>
      <c r="J5" s="83"/>
      <c r="K5" s="4"/>
      <c r="L5" s="4"/>
      <c r="M5" s="4"/>
      <c r="N5" s="4"/>
      <c r="O5" s="4"/>
      <c r="P5" s="4"/>
      <c r="Q5" s="4"/>
      <c r="R5" s="4"/>
      <c r="S5" s="4"/>
      <c r="T5" s="131"/>
      <c r="U5" s="131"/>
      <c r="V5" s="131"/>
      <c r="W5" s="131"/>
      <c r="X5" s="4"/>
      <c r="Y5" s="4"/>
      <c r="Z5" s="4"/>
      <c r="AA5" s="4"/>
      <c r="AB5" s="4"/>
      <c r="AC5" s="4"/>
      <c r="AD5" s="4"/>
      <c r="AE5" s="4"/>
      <c r="AF5" s="4"/>
      <c r="AG5" s="4"/>
      <c r="AH5" s="4"/>
      <c r="AI5" s="4"/>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row>
    <row r="6" spans="1:63" s="5" customFormat="1" x14ac:dyDescent="0.3">
      <c r="A6" s="4"/>
      <c r="B6" s="20" t="s">
        <v>32</v>
      </c>
      <c r="C6" s="21"/>
      <c r="D6" s="116" t="s">
        <v>33</v>
      </c>
      <c r="E6" s="116"/>
      <c r="F6" s="129" t="s">
        <v>34</v>
      </c>
      <c r="G6" s="129"/>
      <c r="H6" s="122">
        <v>44685</v>
      </c>
      <c r="I6" s="123"/>
      <c r="J6" s="83"/>
      <c r="K6" s="124" t="s">
        <v>0</v>
      </c>
      <c r="L6" s="124"/>
      <c r="M6" s="124"/>
      <c r="N6" s="124"/>
      <c r="O6" s="124"/>
      <c r="P6" s="124"/>
      <c r="Q6" s="124"/>
      <c r="R6" s="124"/>
      <c r="S6" s="125"/>
      <c r="T6" s="117">
        <v>44562</v>
      </c>
      <c r="U6" s="118"/>
      <c r="V6" s="118"/>
      <c r="W6" s="119"/>
      <c r="X6" s="90"/>
      <c r="Y6" s="4"/>
      <c r="Z6" s="4"/>
      <c r="AA6" s="4"/>
      <c r="AB6" s="4"/>
      <c r="AC6" s="4"/>
      <c r="AD6" s="4"/>
      <c r="AE6" s="4"/>
      <c r="AF6" s="4"/>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row>
    <row r="7" spans="1:63" s="5" customFormat="1" x14ac:dyDescent="0.3">
      <c r="A7" s="4"/>
      <c r="B7" s="22"/>
      <c r="C7" s="13"/>
      <c r="D7" s="22"/>
      <c r="E7" s="23"/>
      <c r="F7" s="24"/>
      <c r="G7" s="25"/>
      <c r="H7" s="23"/>
      <c r="I7" s="4"/>
      <c r="J7" s="83"/>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row>
    <row r="8" spans="1:63" s="5" customFormat="1" x14ac:dyDescent="0.3">
      <c r="A8" s="4"/>
      <c r="B8" s="20" t="s">
        <v>35</v>
      </c>
      <c r="C8" s="21"/>
      <c r="D8" s="116" t="s">
        <v>36</v>
      </c>
      <c r="E8" s="116"/>
      <c r="F8" s="126" t="s">
        <v>37</v>
      </c>
      <c r="G8" s="126"/>
      <c r="H8" s="122">
        <v>44685</v>
      </c>
      <c r="I8" s="123"/>
      <c r="J8" s="83"/>
      <c r="K8" s="124" t="s">
        <v>1</v>
      </c>
      <c r="L8" s="124"/>
      <c r="M8" s="124"/>
      <c r="N8" s="124"/>
      <c r="O8" s="124"/>
      <c r="P8" s="124"/>
      <c r="Q8" s="124"/>
      <c r="R8" s="124"/>
      <c r="S8" s="125"/>
      <c r="T8" s="117">
        <v>44957</v>
      </c>
      <c r="U8" s="118"/>
      <c r="V8" s="118"/>
      <c r="W8" s="119"/>
      <c r="X8" s="4"/>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row>
    <row r="9" spans="1:63" s="5" customFormat="1" x14ac:dyDescent="0.3">
      <c r="A9" s="4"/>
      <c r="B9" s="26"/>
      <c r="C9" s="13"/>
      <c r="D9" s="23"/>
      <c r="E9" s="23"/>
      <c r="F9" s="27"/>
      <c r="G9" s="28"/>
      <c r="H9" s="23"/>
      <c r="I9" s="4"/>
      <c r="J9" s="83"/>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F9" s="4"/>
      <c r="BG9" s="4"/>
      <c r="BH9" s="4"/>
      <c r="BI9" s="4"/>
      <c r="BJ9" s="4"/>
      <c r="BK9" s="4"/>
    </row>
    <row r="10" spans="1:63" s="5" customFormat="1" x14ac:dyDescent="0.3">
      <c r="A10" s="4"/>
      <c r="B10" s="20" t="s">
        <v>38</v>
      </c>
      <c r="C10" s="21"/>
      <c r="D10" s="116" t="s">
        <v>39</v>
      </c>
      <c r="E10" s="116"/>
      <c r="F10" s="126" t="s">
        <v>40</v>
      </c>
      <c r="G10" s="126"/>
      <c r="H10" s="127" t="s">
        <v>41</v>
      </c>
      <c r="I10" s="128"/>
      <c r="J10" s="83"/>
      <c r="K10" s="124" t="s">
        <v>2</v>
      </c>
      <c r="L10" s="124"/>
      <c r="M10" s="124"/>
      <c r="N10" s="124"/>
      <c r="O10" s="124"/>
      <c r="P10" s="124"/>
      <c r="Q10" s="124"/>
      <c r="R10" s="124"/>
      <c r="S10" s="125"/>
      <c r="T10" s="117">
        <v>44957</v>
      </c>
      <c r="U10" s="118"/>
      <c r="V10" s="118"/>
      <c r="W10" s="119"/>
      <c r="X10" s="91"/>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row>
    <row r="11" spans="1:63" s="5" customFormat="1" ht="16.2" thickBot="1" x14ac:dyDescent="0.35">
      <c r="A11" s="4"/>
      <c r="B11" s="22"/>
      <c r="C11" s="13"/>
      <c r="D11" s="23"/>
      <c r="E11" s="23"/>
      <c r="F11" s="29"/>
      <c r="G11" s="29"/>
      <c r="H11" s="30"/>
      <c r="I11" s="30"/>
      <c r="J11" s="83"/>
      <c r="K11" s="4"/>
      <c r="L11" s="80"/>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row>
    <row r="12" spans="1:63" s="5" customFormat="1" ht="15" thickBot="1" x14ac:dyDescent="0.35">
      <c r="A12" s="4"/>
      <c r="B12" s="20" t="s">
        <v>42</v>
      </c>
      <c r="C12" s="21"/>
      <c r="D12" s="116" t="s">
        <v>43</v>
      </c>
      <c r="E12" s="116"/>
      <c r="F12" s="29"/>
      <c r="G12" s="89"/>
      <c r="H12" s="4"/>
      <c r="I12" s="31"/>
      <c r="J12" s="83"/>
      <c r="K12" s="100">
        <v>0</v>
      </c>
      <c r="L12" s="88">
        <v>2</v>
      </c>
      <c r="M12" s="81"/>
      <c r="N12" s="81"/>
      <c r="O12" s="81"/>
      <c r="P12" s="81"/>
      <c r="Q12" s="81"/>
      <c r="R12" s="81"/>
      <c r="S12" s="81"/>
      <c r="T12" s="81"/>
      <c r="U12" s="81"/>
      <c r="V12" s="81"/>
      <c r="W12" s="81"/>
      <c r="X12" s="81"/>
      <c r="Y12" s="81"/>
      <c r="Z12" s="81"/>
      <c r="AA12" s="81"/>
      <c r="AB12" s="81"/>
      <c r="AC12" s="81"/>
      <c r="AD12" s="81"/>
      <c r="AE12" s="81"/>
      <c r="AF12" s="81"/>
      <c r="AG12" s="81"/>
      <c r="AH12" s="81"/>
      <c r="AI12" s="81"/>
      <c r="AJ12" s="81"/>
      <c r="AK12" s="81"/>
      <c r="AL12" s="81"/>
      <c r="AM12" s="81"/>
      <c r="AN12" s="81"/>
      <c r="AO12" s="81"/>
      <c r="AP12" s="81"/>
      <c r="AQ12" s="81"/>
      <c r="AR12" s="81"/>
      <c r="AS12" s="81"/>
      <c r="AT12" s="81"/>
      <c r="AU12" s="81"/>
      <c r="AV12" s="81"/>
      <c r="AW12" s="81"/>
      <c r="AX12" s="81"/>
      <c r="AY12" s="81"/>
      <c r="AZ12" s="81"/>
      <c r="BA12" s="81"/>
      <c r="BB12" s="81"/>
      <c r="BC12" s="81"/>
      <c r="BD12" s="81"/>
      <c r="BE12" s="81"/>
      <c r="BF12" s="81"/>
      <c r="BG12" s="81"/>
      <c r="BH12" s="81"/>
      <c r="BI12" s="81"/>
      <c r="BJ12" s="81"/>
      <c r="BK12" s="82"/>
    </row>
    <row r="13" spans="1:63" s="5" customFormat="1" ht="16.5" customHeight="1" x14ac:dyDescent="0.3">
      <c r="A13" s="4"/>
      <c r="B13" s="32"/>
      <c r="C13" s="33"/>
      <c r="D13" s="34"/>
      <c r="E13" s="101"/>
      <c r="F13" s="29"/>
      <c r="G13" s="4"/>
      <c r="H13" s="4"/>
      <c r="I13" s="4"/>
      <c r="J13" s="109"/>
      <c r="K13" s="144" t="s">
        <v>200</v>
      </c>
      <c r="L13" s="146"/>
      <c r="M13" s="144" t="s">
        <v>201</v>
      </c>
      <c r="N13" s="145"/>
      <c r="O13" s="145"/>
      <c r="P13" s="146"/>
      <c r="Q13" s="144" t="s">
        <v>202</v>
      </c>
      <c r="R13" s="145"/>
      <c r="S13" s="145"/>
      <c r="T13" s="146"/>
      <c r="U13" s="144" t="s">
        <v>203</v>
      </c>
      <c r="V13" s="145"/>
      <c r="W13" s="145"/>
      <c r="X13" s="146"/>
      <c r="Y13" s="144" t="s">
        <v>204</v>
      </c>
      <c r="Z13" s="145"/>
      <c r="AA13" s="145"/>
      <c r="AB13" s="146"/>
      <c r="AC13" s="144" t="s">
        <v>205</v>
      </c>
      <c r="AD13" s="145"/>
      <c r="AE13" s="145"/>
      <c r="AF13" s="145"/>
      <c r="AG13" s="146"/>
      <c r="AH13" s="144" t="s">
        <v>206</v>
      </c>
      <c r="AI13" s="145"/>
      <c r="AJ13" s="145"/>
      <c r="AK13" s="146"/>
      <c r="AL13" s="144" t="s">
        <v>207</v>
      </c>
      <c r="AM13" s="145"/>
      <c r="AN13" s="145"/>
      <c r="AO13" s="146"/>
      <c r="AP13" s="144" t="s">
        <v>208</v>
      </c>
      <c r="AQ13" s="145"/>
      <c r="AR13" s="145"/>
      <c r="AS13" s="145"/>
      <c r="AT13" s="146"/>
      <c r="AU13" s="144" t="s">
        <v>209</v>
      </c>
      <c r="AV13" s="145"/>
      <c r="AW13" s="145"/>
      <c r="AX13" s="146"/>
      <c r="AY13" s="144" t="s">
        <v>210</v>
      </c>
      <c r="AZ13" s="145"/>
      <c r="BA13" s="145"/>
      <c r="BB13" s="145"/>
      <c r="BC13" s="146"/>
      <c r="BD13" s="144" t="s">
        <v>211</v>
      </c>
      <c r="BE13" s="145"/>
      <c r="BF13" s="145"/>
      <c r="BG13" s="146"/>
      <c r="BH13" s="134"/>
      <c r="BI13" s="134"/>
      <c r="BJ13" s="134"/>
      <c r="BK13" s="135"/>
    </row>
    <row r="14" spans="1:63" s="5" customFormat="1" ht="14.25" customHeight="1" thickBot="1" x14ac:dyDescent="0.35">
      <c r="A14" s="35"/>
      <c r="B14" s="4"/>
      <c r="C14" s="13"/>
      <c r="D14" s="4"/>
      <c r="E14" s="4"/>
      <c r="F14" s="102"/>
      <c r="G14" s="4"/>
      <c r="H14" s="4"/>
      <c r="I14" s="4"/>
      <c r="J14" s="110"/>
      <c r="K14" s="147"/>
      <c r="L14" s="148"/>
      <c r="M14" s="147"/>
      <c r="N14" s="149"/>
      <c r="O14" s="149"/>
      <c r="P14" s="148"/>
      <c r="Q14" s="147"/>
      <c r="R14" s="149"/>
      <c r="S14" s="149"/>
      <c r="T14" s="148"/>
      <c r="U14" s="147"/>
      <c r="V14" s="149"/>
      <c r="W14" s="149"/>
      <c r="X14" s="148"/>
      <c r="Y14" s="147"/>
      <c r="Z14" s="149"/>
      <c r="AA14" s="149"/>
      <c r="AB14" s="148"/>
      <c r="AC14" s="147"/>
      <c r="AD14" s="149"/>
      <c r="AE14" s="149"/>
      <c r="AF14" s="149"/>
      <c r="AG14" s="148"/>
      <c r="AH14" s="147"/>
      <c r="AI14" s="149"/>
      <c r="AJ14" s="149"/>
      <c r="AK14" s="148"/>
      <c r="AL14" s="147"/>
      <c r="AM14" s="149"/>
      <c r="AN14" s="149"/>
      <c r="AO14" s="148"/>
      <c r="AP14" s="147"/>
      <c r="AQ14" s="149"/>
      <c r="AR14" s="149"/>
      <c r="AS14" s="149"/>
      <c r="AT14" s="148"/>
      <c r="AU14" s="147"/>
      <c r="AV14" s="149"/>
      <c r="AW14" s="149"/>
      <c r="AX14" s="148"/>
      <c r="AY14" s="147"/>
      <c r="AZ14" s="149"/>
      <c r="BA14" s="149"/>
      <c r="BB14" s="149"/>
      <c r="BC14" s="148"/>
      <c r="BD14" s="147"/>
      <c r="BE14" s="149"/>
      <c r="BF14" s="149"/>
      <c r="BG14" s="148"/>
      <c r="BH14" s="136"/>
      <c r="BI14" s="136"/>
      <c r="BJ14" s="136"/>
      <c r="BK14" s="137"/>
    </row>
    <row r="15" spans="1:63" s="5" customFormat="1" x14ac:dyDescent="0.3">
      <c r="A15" s="35"/>
      <c r="B15" s="103" t="s">
        <v>44</v>
      </c>
      <c r="C15" s="105" t="s">
        <v>178</v>
      </c>
      <c r="D15" s="105" t="s">
        <v>190</v>
      </c>
      <c r="E15" s="105" t="s">
        <v>3</v>
      </c>
      <c r="F15" s="105" t="s">
        <v>4</v>
      </c>
      <c r="G15" s="105" t="s">
        <v>45</v>
      </c>
      <c r="H15" s="105" t="s">
        <v>46</v>
      </c>
      <c r="I15" s="105" t="s">
        <v>5</v>
      </c>
      <c r="J15" s="107"/>
      <c r="K15" s="138" t="str">
        <f>"S"&amp;_xlfn.ISOWEEKNUM(K17)</f>
        <v>S52</v>
      </c>
      <c r="L15" s="139" t="str">
        <f>"S"&amp;_xlfn.ISOWEEKNUM(L17)</f>
        <v>S1</v>
      </c>
      <c r="M15" s="139" t="str">
        <f>"S"&amp;_xlfn.ISOWEEKNUM(M17)</f>
        <v>S2</v>
      </c>
      <c r="N15" s="139" t="str">
        <f>"S"&amp;_xlfn.ISOWEEKNUM(N17)</f>
        <v>S3</v>
      </c>
      <c r="O15" s="139" t="str">
        <f>"S"&amp;_xlfn.ISOWEEKNUM(O17)</f>
        <v>S4</v>
      </c>
      <c r="P15" s="139" t="str">
        <f>"S"&amp;_xlfn.ISOWEEKNUM(P17)</f>
        <v>S5</v>
      </c>
      <c r="Q15" s="139" t="str">
        <f>"S"&amp;_xlfn.ISOWEEKNUM(Q17)</f>
        <v>S6</v>
      </c>
      <c r="R15" s="139" t="str">
        <f>"S"&amp;_xlfn.ISOWEEKNUM(R17)</f>
        <v>S7</v>
      </c>
      <c r="S15" s="139" t="str">
        <f>"S"&amp;_xlfn.ISOWEEKNUM(S17)</f>
        <v>S8</v>
      </c>
      <c r="T15" s="139" t="str">
        <f>"S"&amp;_xlfn.ISOWEEKNUM(T17)</f>
        <v>S9</v>
      </c>
      <c r="U15" s="139" t="str">
        <f>"S"&amp;_xlfn.ISOWEEKNUM(U17)</f>
        <v>S10</v>
      </c>
      <c r="V15" s="139" t="str">
        <f>"S"&amp;_xlfn.ISOWEEKNUM(V17)</f>
        <v>S11</v>
      </c>
      <c r="W15" s="139" t="str">
        <f>"S"&amp;_xlfn.ISOWEEKNUM(W17)</f>
        <v>S12</v>
      </c>
      <c r="X15" s="139" t="str">
        <f>"S"&amp;_xlfn.ISOWEEKNUM(X17)</f>
        <v>S13</v>
      </c>
      <c r="Y15" s="139" t="str">
        <f>"S"&amp;_xlfn.ISOWEEKNUM(Y17)</f>
        <v>S14</v>
      </c>
      <c r="Z15" s="139" t="str">
        <f>"S"&amp;_xlfn.ISOWEEKNUM(Z17)</f>
        <v>S15</v>
      </c>
      <c r="AA15" s="139" t="str">
        <f>"S"&amp;_xlfn.ISOWEEKNUM(AA17)</f>
        <v>S16</v>
      </c>
      <c r="AB15" s="139" t="str">
        <f>"S"&amp;_xlfn.ISOWEEKNUM(AB17)</f>
        <v>S17</v>
      </c>
      <c r="AC15" s="139" t="str">
        <f>"S"&amp;_xlfn.ISOWEEKNUM(AC17)</f>
        <v>S18</v>
      </c>
      <c r="AD15" s="139" t="str">
        <f>"S"&amp;_xlfn.ISOWEEKNUM(AD17)</f>
        <v>S19</v>
      </c>
      <c r="AE15" s="139" t="str">
        <f>"S"&amp;_xlfn.ISOWEEKNUM(AE17)</f>
        <v>S20</v>
      </c>
      <c r="AF15" s="139" t="str">
        <f>"S"&amp;_xlfn.ISOWEEKNUM(AF17)</f>
        <v>S21</v>
      </c>
      <c r="AG15" s="139" t="str">
        <f>"S"&amp;_xlfn.ISOWEEKNUM(AG17)</f>
        <v>S22</v>
      </c>
      <c r="AH15" s="139" t="str">
        <f>"S"&amp;_xlfn.ISOWEEKNUM(AH17)</f>
        <v>S23</v>
      </c>
      <c r="AI15" s="139" t="str">
        <f>"S"&amp;_xlfn.ISOWEEKNUM(AI17)</f>
        <v>S24</v>
      </c>
      <c r="AJ15" s="139" t="str">
        <f>"S"&amp;_xlfn.ISOWEEKNUM(AJ17)</f>
        <v>S25</v>
      </c>
      <c r="AK15" s="139" t="str">
        <f>"S"&amp;_xlfn.ISOWEEKNUM(AK17)</f>
        <v>S26</v>
      </c>
      <c r="AL15" s="139" t="str">
        <f>"S"&amp;_xlfn.ISOWEEKNUM(AL17)</f>
        <v>S27</v>
      </c>
      <c r="AM15" s="139" t="str">
        <f>"S"&amp;_xlfn.ISOWEEKNUM(AM17)</f>
        <v>S28</v>
      </c>
      <c r="AN15" s="139" t="str">
        <f>"S"&amp;_xlfn.ISOWEEKNUM(AN17)</f>
        <v>S29</v>
      </c>
      <c r="AO15" s="139" t="str">
        <f>"S"&amp;_xlfn.ISOWEEKNUM(AO17)</f>
        <v>S30</v>
      </c>
      <c r="AP15" s="139" t="str">
        <f>"S"&amp;_xlfn.ISOWEEKNUM(AP17)</f>
        <v>S31</v>
      </c>
      <c r="AQ15" s="139" t="str">
        <f>"S"&amp;_xlfn.ISOWEEKNUM(AQ17)</f>
        <v>S32</v>
      </c>
      <c r="AR15" s="139" t="str">
        <f>"S"&amp;_xlfn.ISOWEEKNUM(AR17)</f>
        <v>S33</v>
      </c>
      <c r="AS15" s="139" t="str">
        <f>"S"&amp;_xlfn.ISOWEEKNUM(AS17)</f>
        <v>S34</v>
      </c>
      <c r="AT15" s="139" t="str">
        <f>"S"&amp;_xlfn.ISOWEEKNUM(AT17)</f>
        <v>S35</v>
      </c>
      <c r="AU15" s="139" t="str">
        <f>"S"&amp;_xlfn.ISOWEEKNUM(AU17)</f>
        <v>S36</v>
      </c>
      <c r="AV15" s="139" t="str">
        <f>"S"&amp;_xlfn.ISOWEEKNUM(AV17)</f>
        <v>S37</v>
      </c>
      <c r="AW15" s="139" t="str">
        <f>"S"&amp;_xlfn.ISOWEEKNUM(AW17)</f>
        <v>S38</v>
      </c>
      <c r="AX15" s="139" t="str">
        <f>"S"&amp;_xlfn.ISOWEEKNUM(AX17)</f>
        <v>S39</v>
      </c>
      <c r="AY15" s="139" t="str">
        <f>"S"&amp;_xlfn.ISOWEEKNUM(AY17)</f>
        <v>S40</v>
      </c>
      <c r="AZ15" s="139" t="str">
        <f>"S"&amp;_xlfn.ISOWEEKNUM(AZ17)</f>
        <v>S41</v>
      </c>
      <c r="BA15" s="139" t="str">
        <f>"S"&amp;_xlfn.ISOWEEKNUM(BA17)</f>
        <v>S42</v>
      </c>
      <c r="BB15" s="139" t="str">
        <f>"S"&amp;_xlfn.ISOWEEKNUM(BB17)</f>
        <v>S43</v>
      </c>
      <c r="BC15" s="139" t="str">
        <f>"S"&amp;_xlfn.ISOWEEKNUM(BC17)</f>
        <v>S44</v>
      </c>
      <c r="BD15" s="139" t="str">
        <f>"S"&amp;_xlfn.ISOWEEKNUM(BD17)</f>
        <v>S45</v>
      </c>
      <c r="BE15" s="139" t="str">
        <f>"S"&amp;_xlfn.ISOWEEKNUM(BE17)</f>
        <v>S46</v>
      </c>
      <c r="BF15" s="139" t="str">
        <f>"S"&amp;_xlfn.ISOWEEKNUM(BF17)</f>
        <v>S47</v>
      </c>
      <c r="BG15" s="139" t="str">
        <f>"S"&amp;_xlfn.ISOWEEKNUM(BG17)</f>
        <v>S48</v>
      </c>
      <c r="BH15" s="139" t="str">
        <f>"S"&amp;_xlfn.ISOWEEKNUM(BH17)</f>
        <v>S49</v>
      </c>
      <c r="BI15" s="139" t="str">
        <f>"S"&amp;_xlfn.ISOWEEKNUM(BI17)</f>
        <v>S50</v>
      </c>
      <c r="BJ15" s="139" t="str">
        <f>"S"&amp;_xlfn.ISOWEEKNUM(BJ17)</f>
        <v>S51</v>
      </c>
      <c r="BK15" s="140" t="str">
        <f>"S"&amp;_xlfn.ISOWEEKNUM(BK17)</f>
        <v>S52</v>
      </c>
    </row>
    <row r="16" spans="1:63" s="5" customFormat="1" ht="19.5" customHeight="1" thickBot="1" x14ac:dyDescent="0.35">
      <c r="A16" s="35"/>
      <c r="B16" s="104"/>
      <c r="C16" s="106"/>
      <c r="D16" s="106"/>
      <c r="E16" s="106"/>
      <c r="F16" s="106"/>
      <c r="G16" s="106"/>
      <c r="H16" s="106"/>
      <c r="I16" s="106"/>
      <c r="J16" s="108"/>
      <c r="K16" s="141"/>
      <c r="L16" s="142"/>
      <c r="M16" s="142"/>
      <c r="N16" s="142"/>
      <c r="O16" s="142"/>
      <c r="P16" s="142"/>
      <c r="Q16" s="142"/>
      <c r="R16" s="142"/>
      <c r="S16" s="142"/>
      <c r="T16" s="142"/>
      <c r="U16" s="142"/>
      <c r="V16" s="142"/>
      <c r="W16" s="142"/>
      <c r="X16" s="142"/>
      <c r="Y16" s="142"/>
      <c r="Z16" s="142"/>
      <c r="AA16" s="142"/>
      <c r="AB16" s="142"/>
      <c r="AC16" s="142"/>
      <c r="AD16" s="142"/>
      <c r="AE16" s="142"/>
      <c r="AF16" s="142"/>
      <c r="AG16" s="142"/>
      <c r="AH16" s="142"/>
      <c r="AI16" s="142"/>
      <c r="AJ16" s="142"/>
      <c r="AK16" s="142"/>
      <c r="AL16" s="142"/>
      <c r="AM16" s="142"/>
      <c r="AN16" s="142"/>
      <c r="AO16" s="142"/>
      <c r="AP16" s="142"/>
      <c r="AQ16" s="142"/>
      <c r="AR16" s="142"/>
      <c r="AS16" s="142"/>
      <c r="AT16" s="142"/>
      <c r="AU16" s="142"/>
      <c r="AV16" s="142"/>
      <c r="AW16" s="142"/>
      <c r="AX16" s="142"/>
      <c r="AY16" s="142"/>
      <c r="AZ16" s="142"/>
      <c r="BA16" s="142"/>
      <c r="BB16" s="142"/>
      <c r="BC16" s="142"/>
      <c r="BD16" s="142"/>
      <c r="BE16" s="142"/>
      <c r="BF16" s="142"/>
      <c r="BG16" s="142"/>
      <c r="BH16" s="142"/>
      <c r="BI16" s="142"/>
      <c r="BJ16" s="142"/>
      <c r="BK16" s="143"/>
    </row>
    <row r="17" spans="1:64" s="5" customFormat="1" hidden="1" x14ac:dyDescent="0.3">
      <c r="A17" s="35"/>
      <c r="B17" s="4"/>
      <c r="C17" s="4"/>
      <c r="D17" s="4"/>
      <c r="E17" s="4"/>
      <c r="F17" s="4"/>
      <c r="G17" s="4"/>
      <c r="H17" s="4"/>
      <c r="I17" s="4"/>
      <c r="J17" s="83"/>
      <c r="K17" s="94">
        <f t="shared" ref="K17:AP17" si="0">IF(WEEKDAY(DATE(YEAR($T$6),1,1))&gt;2,DATE(YEAR($T$6),1,1)-(WEEKDAY(DATE(YEAR($T$6),1,1))-2),DATE(YEAR($T$6),1,1))+($K$12-1)*7+(COLUMN()-11)*7+7</f>
        <v>44557</v>
      </c>
      <c r="L17" s="95">
        <f t="shared" si="0"/>
        <v>44564</v>
      </c>
      <c r="M17" s="95">
        <f t="shared" si="0"/>
        <v>44571</v>
      </c>
      <c r="N17" s="95">
        <f t="shared" si="0"/>
        <v>44578</v>
      </c>
      <c r="O17" s="95">
        <f t="shared" si="0"/>
        <v>44585</v>
      </c>
      <c r="P17" s="95">
        <f t="shared" si="0"/>
        <v>44592</v>
      </c>
      <c r="Q17" s="95">
        <f t="shared" si="0"/>
        <v>44599</v>
      </c>
      <c r="R17" s="95">
        <f t="shared" si="0"/>
        <v>44606</v>
      </c>
      <c r="S17" s="95">
        <f t="shared" si="0"/>
        <v>44613</v>
      </c>
      <c r="T17" s="95">
        <f t="shared" si="0"/>
        <v>44620</v>
      </c>
      <c r="U17" s="95">
        <f t="shared" si="0"/>
        <v>44627</v>
      </c>
      <c r="V17" s="95">
        <f t="shared" si="0"/>
        <v>44634</v>
      </c>
      <c r="W17" s="95">
        <f t="shared" si="0"/>
        <v>44641</v>
      </c>
      <c r="X17" s="95">
        <f t="shared" si="0"/>
        <v>44648</v>
      </c>
      <c r="Y17" s="95">
        <f t="shared" si="0"/>
        <v>44655</v>
      </c>
      <c r="Z17" s="95">
        <f t="shared" si="0"/>
        <v>44662</v>
      </c>
      <c r="AA17" s="95">
        <f t="shared" si="0"/>
        <v>44669</v>
      </c>
      <c r="AB17" s="95">
        <f t="shared" si="0"/>
        <v>44676</v>
      </c>
      <c r="AC17" s="95">
        <f t="shared" si="0"/>
        <v>44683</v>
      </c>
      <c r="AD17" s="95">
        <f t="shared" si="0"/>
        <v>44690</v>
      </c>
      <c r="AE17" s="95">
        <f t="shared" si="0"/>
        <v>44697</v>
      </c>
      <c r="AF17" s="95">
        <f t="shared" si="0"/>
        <v>44704</v>
      </c>
      <c r="AG17" s="95">
        <f t="shared" si="0"/>
        <v>44711</v>
      </c>
      <c r="AH17" s="95">
        <f t="shared" si="0"/>
        <v>44718</v>
      </c>
      <c r="AI17" s="95">
        <f t="shared" si="0"/>
        <v>44725</v>
      </c>
      <c r="AJ17" s="95">
        <f t="shared" si="0"/>
        <v>44732</v>
      </c>
      <c r="AK17" s="95">
        <f t="shared" si="0"/>
        <v>44739</v>
      </c>
      <c r="AL17" s="95">
        <f t="shared" si="0"/>
        <v>44746</v>
      </c>
      <c r="AM17" s="95">
        <f t="shared" si="0"/>
        <v>44753</v>
      </c>
      <c r="AN17" s="95">
        <f t="shared" si="0"/>
        <v>44760</v>
      </c>
      <c r="AO17" s="95">
        <f t="shared" si="0"/>
        <v>44767</v>
      </c>
      <c r="AP17" s="95">
        <f t="shared" si="0"/>
        <v>44774</v>
      </c>
      <c r="AQ17" s="95">
        <f t="shared" ref="AQ17:BK17" si="1">IF(WEEKDAY(DATE(YEAR($T$6),1,1))&gt;2,DATE(YEAR($T$6),1,1)-(WEEKDAY(DATE(YEAR($T$6),1,1))-2),DATE(YEAR($T$6),1,1))+($K$12-1)*7+(COLUMN()-11)*7+7</f>
        <v>44781</v>
      </c>
      <c r="AR17" s="95">
        <f t="shared" si="1"/>
        <v>44788</v>
      </c>
      <c r="AS17" s="95">
        <f t="shared" si="1"/>
        <v>44795</v>
      </c>
      <c r="AT17" s="95">
        <f t="shared" si="1"/>
        <v>44802</v>
      </c>
      <c r="AU17" s="95">
        <f t="shared" si="1"/>
        <v>44809</v>
      </c>
      <c r="AV17" s="95">
        <f t="shared" si="1"/>
        <v>44816</v>
      </c>
      <c r="AW17" s="95">
        <f t="shared" si="1"/>
        <v>44823</v>
      </c>
      <c r="AX17" s="95">
        <f t="shared" si="1"/>
        <v>44830</v>
      </c>
      <c r="AY17" s="95">
        <f t="shared" si="1"/>
        <v>44837</v>
      </c>
      <c r="AZ17" s="95">
        <f t="shared" si="1"/>
        <v>44844</v>
      </c>
      <c r="BA17" s="95">
        <f t="shared" si="1"/>
        <v>44851</v>
      </c>
      <c r="BB17" s="95">
        <f t="shared" si="1"/>
        <v>44858</v>
      </c>
      <c r="BC17" s="95">
        <f t="shared" si="1"/>
        <v>44865</v>
      </c>
      <c r="BD17" s="95">
        <f t="shared" si="1"/>
        <v>44872</v>
      </c>
      <c r="BE17" s="95">
        <f t="shared" si="1"/>
        <v>44879</v>
      </c>
      <c r="BF17" s="95">
        <f t="shared" si="1"/>
        <v>44886</v>
      </c>
      <c r="BG17" s="95">
        <f t="shared" si="1"/>
        <v>44893</v>
      </c>
      <c r="BH17" s="95">
        <f t="shared" si="1"/>
        <v>44900</v>
      </c>
      <c r="BI17" s="95">
        <f t="shared" si="1"/>
        <v>44907</v>
      </c>
      <c r="BJ17" s="95">
        <f t="shared" si="1"/>
        <v>44914</v>
      </c>
      <c r="BK17" s="96">
        <f t="shared" si="1"/>
        <v>44921</v>
      </c>
    </row>
    <row r="18" spans="1:64" s="5" customFormat="1" ht="15" thickBot="1" x14ac:dyDescent="0.35">
      <c r="A18" s="35"/>
      <c r="B18" s="36" t="s">
        <v>18</v>
      </c>
      <c r="C18" s="37"/>
      <c r="D18" s="37"/>
      <c r="E18" s="37"/>
      <c r="F18" s="38">
        <f>MIN(F19:F58)</f>
        <v>44649</v>
      </c>
      <c r="G18" s="37">
        <f>H18-F18</f>
        <v>504</v>
      </c>
      <c r="H18" s="38">
        <f>MAX(H19:H58)</f>
        <v>45153</v>
      </c>
      <c r="I18" s="39">
        <f>AVERAGE(I19,I25,I31,I38,I54)</f>
        <v>0.16799999999999998</v>
      </c>
      <c r="J18" s="83"/>
      <c r="K18" s="97">
        <f t="shared" ref="K18:AP18" si="2">K17+6</f>
        <v>44563</v>
      </c>
      <c r="L18" s="98">
        <f t="shared" si="2"/>
        <v>44570</v>
      </c>
      <c r="M18" s="98">
        <f t="shared" si="2"/>
        <v>44577</v>
      </c>
      <c r="N18" s="98">
        <f t="shared" si="2"/>
        <v>44584</v>
      </c>
      <c r="O18" s="98">
        <f t="shared" si="2"/>
        <v>44591</v>
      </c>
      <c r="P18" s="98">
        <f t="shared" si="2"/>
        <v>44598</v>
      </c>
      <c r="Q18" s="98">
        <f t="shared" si="2"/>
        <v>44605</v>
      </c>
      <c r="R18" s="98">
        <f t="shared" si="2"/>
        <v>44612</v>
      </c>
      <c r="S18" s="98">
        <f t="shared" si="2"/>
        <v>44619</v>
      </c>
      <c r="T18" s="98">
        <f t="shared" si="2"/>
        <v>44626</v>
      </c>
      <c r="U18" s="98">
        <f t="shared" si="2"/>
        <v>44633</v>
      </c>
      <c r="V18" s="98">
        <f t="shared" si="2"/>
        <v>44640</v>
      </c>
      <c r="W18" s="98">
        <f t="shared" si="2"/>
        <v>44647</v>
      </c>
      <c r="X18" s="98">
        <f t="shared" si="2"/>
        <v>44654</v>
      </c>
      <c r="Y18" s="98">
        <f t="shared" si="2"/>
        <v>44661</v>
      </c>
      <c r="Z18" s="98">
        <f t="shared" si="2"/>
        <v>44668</v>
      </c>
      <c r="AA18" s="98">
        <f t="shared" si="2"/>
        <v>44675</v>
      </c>
      <c r="AB18" s="98">
        <f t="shared" si="2"/>
        <v>44682</v>
      </c>
      <c r="AC18" s="98">
        <f t="shared" si="2"/>
        <v>44689</v>
      </c>
      <c r="AD18" s="98">
        <f t="shared" si="2"/>
        <v>44696</v>
      </c>
      <c r="AE18" s="98">
        <f t="shared" si="2"/>
        <v>44703</v>
      </c>
      <c r="AF18" s="98">
        <f t="shared" si="2"/>
        <v>44710</v>
      </c>
      <c r="AG18" s="98">
        <f t="shared" si="2"/>
        <v>44717</v>
      </c>
      <c r="AH18" s="98">
        <f t="shared" si="2"/>
        <v>44724</v>
      </c>
      <c r="AI18" s="98">
        <f t="shared" si="2"/>
        <v>44731</v>
      </c>
      <c r="AJ18" s="98">
        <f t="shared" si="2"/>
        <v>44738</v>
      </c>
      <c r="AK18" s="98">
        <f t="shared" si="2"/>
        <v>44745</v>
      </c>
      <c r="AL18" s="98">
        <f t="shared" si="2"/>
        <v>44752</v>
      </c>
      <c r="AM18" s="98">
        <f t="shared" si="2"/>
        <v>44759</v>
      </c>
      <c r="AN18" s="98">
        <f t="shared" si="2"/>
        <v>44766</v>
      </c>
      <c r="AO18" s="98">
        <f t="shared" si="2"/>
        <v>44773</v>
      </c>
      <c r="AP18" s="98">
        <f t="shared" si="2"/>
        <v>44780</v>
      </c>
      <c r="AQ18" s="98">
        <f t="shared" ref="AQ18:BV18" si="3">AQ17+6</f>
        <v>44787</v>
      </c>
      <c r="AR18" s="98">
        <f t="shared" si="3"/>
        <v>44794</v>
      </c>
      <c r="AS18" s="98">
        <f t="shared" si="3"/>
        <v>44801</v>
      </c>
      <c r="AT18" s="98">
        <f t="shared" si="3"/>
        <v>44808</v>
      </c>
      <c r="AU18" s="98">
        <f t="shared" si="3"/>
        <v>44815</v>
      </c>
      <c r="AV18" s="98">
        <f t="shared" si="3"/>
        <v>44822</v>
      </c>
      <c r="AW18" s="98">
        <f t="shared" si="3"/>
        <v>44829</v>
      </c>
      <c r="AX18" s="98">
        <f t="shared" si="3"/>
        <v>44836</v>
      </c>
      <c r="AY18" s="98">
        <f t="shared" si="3"/>
        <v>44843</v>
      </c>
      <c r="AZ18" s="98">
        <f t="shared" si="3"/>
        <v>44850</v>
      </c>
      <c r="BA18" s="98">
        <f t="shared" si="3"/>
        <v>44857</v>
      </c>
      <c r="BB18" s="98">
        <f t="shared" si="3"/>
        <v>44864</v>
      </c>
      <c r="BC18" s="98">
        <f t="shared" si="3"/>
        <v>44871</v>
      </c>
      <c r="BD18" s="98">
        <f t="shared" si="3"/>
        <v>44878</v>
      </c>
      <c r="BE18" s="98">
        <f t="shared" si="3"/>
        <v>44885</v>
      </c>
      <c r="BF18" s="98">
        <f t="shared" si="3"/>
        <v>44892</v>
      </c>
      <c r="BG18" s="98">
        <f t="shared" si="3"/>
        <v>44899</v>
      </c>
      <c r="BH18" s="98">
        <f t="shared" si="3"/>
        <v>44906</v>
      </c>
      <c r="BI18" s="98">
        <f t="shared" si="3"/>
        <v>44913</v>
      </c>
      <c r="BJ18" s="98">
        <f t="shared" si="3"/>
        <v>44920</v>
      </c>
      <c r="BK18" s="99">
        <f t="shared" si="3"/>
        <v>44927</v>
      </c>
    </row>
    <row r="19" spans="1:64" s="92" customFormat="1" ht="15.6" x14ac:dyDescent="0.3">
      <c r="A19" s="40"/>
      <c r="B19" s="41">
        <v>1</v>
      </c>
      <c r="C19" s="42" t="s">
        <v>6</v>
      </c>
      <c r="D19" s="43"/>
      <c r="E19" s="44"/>
      <c r="F19" s="45">
        <f>MIN(F20:F24)</f>
        <v>44649</v>
      </c>
      <c r="G19" s="46">
        <f>H19-F19</f>
        <v>71</v>
      </c>
      <c r="H19" s="45">
        <f>MAX(H20:H24)</f>
        <v>44720</v>
      </c>
      <c r="I19" s="47">
        <f>AVERAGE(I20:I24)</f>
        <v>0.76</v>
      </c>
      <c r="J19" s="83"/>
      <c r="K19" s="48"/>
      <c r="L19" s="49"/>
      <c r="M19" s="49"/>
      <c r="N19" s="49"/>
      <c r="O19" s="49"/>
      <c r="P19" s="49"/>
      <c r="Q19" s="49"/>
      <c r="R19" s="49"/>
      <c r="S19" s="49"/>
      <c r="T19" s="49"/>
      <c r="U19" s="49"/>
      <c r="V19" s="49"/>
      <c r="W19" s="49"/>
      <c r="X19" s="49"/>
      <c r="Y19" s="49"/>
      <c r="Z19" s="49"/>
      <c r="AA19" s="49"/>
      <c r="AB19" s="50"/>
      <c r="AC19" s="50"/>
      <c r="AD19" s="50"/>
      <c r="AE19" s="50"/>
      <c r="AF19" s="50"/>
      <c r="AG19" s="50"/>
      <c r="AH19" s="50"/>
      <c r="AI19" s="50"/>
      <c r="AJ19" s="50"/>
      <c r="AK19" s="50"/>
      <c r="AL19" s="50"/>
      <c r="AM19" s="50"/>
      <c r="AN19" s="50"/>
      <c r="AO19" s="50"/>
      <c r="AP19" s="50"/>
      <c r="AQ19" s="50"/>
      <c r="AR19" s="50"/>
      <c r="AS19" s="50"/>
      <c r="AT19" s="50"/>
      <c r="AU19" s="50"/>
      <c r="AV19" s="50"/>
      <c r="AW19" s="50"/>
      <c r="AX19" s="50"/>
      <c r="AY19" s="50"/>
      <c r="AZ19" s="50"/>
      <c r="BA19" s="50"/>
      <c r="BB19" s="50"/>
      <c r="BC19" s="50"/>
      <c r="BD19" s="50"/>
      <c r="BE19" s="50"/>
      <c r="BF19" s="50"/>
      <c r="BG19" s="50"/>
      <c r="BH19" s="50"/>
      <c r="BI19" s="50"/>
      <c r="BJ19" s="50"/>
      <c r="BK19" s="51"/>
      <c r="BL19" s="5"/>
    </row>
    <row r="20" spans="1:64" s="5" customFormat="1" ht="15.6" x14ac:dyDescent="0.3">
      <c r="A20" s="52"/>
      <c r="B20" s="53" t="s">
        <v>7</v>
      </c>
      <c r="C20" s="54" t="s">
        <v>8</v>
      </c>
      <c r="D20" s="55"/>
      <c r="E20" s="77" t="s">
        <v>125</v>
      </c>
      <c r="F20" s="56">
        <v>44649</v>
      </c>
      <c r="G20" s="57">
        <v>1</v>
      </c>
      <c r="H20" s="56">
        <f t="shared" ref="H20:H21" si="4">IF(F20="","",WORKDAY(IF(WEEKDAY(F20,1)=7,F20+2,IF(WEEKDAY(F20,1)=1,F20+1,F20)),G20-1,))</f>
        <v>44649</v>
      </c>
      <c r="I20" s="58">
        <v>1</v>
      </c>
      <c r="J20" s="83"/>
      <c r="K20" s="59"/>
      <c r="L20" s="60"/>
      <c r="M20" s="60"/>
      <c r="N20" s="60"/>
      <c r="O20" s="60"/>
      <c r="P20" s="60"/>
      <c r="Q20" s="60"/>
      <c r="R20" s="60"/>
      <c r="S20" s="60"/>
      <c r="T20" s="60"/>
      <c r="U20" s="60"/>
      <c r="V20" s="60"/>
      <c r="W20" s="60"/>
      <c r="X20" s="60"/>
      <c r="Y20" s="60"/>
      <c r="Z20" s="60"/>
      <c r="AA20" s="60"/>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61"/>
    </row>
    <row r="21" spans="1:64" ht="15.6" x14ac:dyDescent="0.3">
      <c r="B21" s="53" t="s">
        <v>48</v>
      </c>
      <c r="C21" s="54" t="s">
        <v>49</v>
      </c>
      <c r="D21" s="55" t="s">
        <v>7</v>
      </c>
      <c r="E21" s="77" t="s">
        <v>177</v>
      </c>
      <c r="F21" s="56">
        <v>44655</v>
      </c>
      <c r="G21" s="57">
        <v>1</v>
      </c>
      <c r="H21" s="56">
        <f t="shared" si="4"/>
        <v>44655</v>
      </c>
      <c r="I21" s="58">
        <v>1</v>
      </c>
      <c r="K21" s="59"/>
      <c r="L21" s="60"/>
      <c r="M21" s="60"/>
      <c r="N21" s="60"/>
      <c r="O21" s="60"/>
      <c r="P21" s="60"/>
      <c r="Q21" s="60"/>
      <c r="R21" s="60"/>
      <c r="S21" s="60"/>
      <c r="T21" s="60"/>
      <c r="U21" s="60"/>
      <c r="V21" s="60"/>
      <c r="W21" s="60"/>
      <c r="X21" s="60"/>
      <c r="Y21" s="60"/>
      <c r="Z21" s="60"/>
      <c r="AA21" s="60"/>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61"/>
    </row>
    <row r="22" spans="1:64" ht="15.6" x14ac:dyDescent="0.3">
      <c r="B22" s="53" t="s">
        <v>50</v>
      </c>
      <c r="C22" s="54" t="s">
        <v>111</v>
      </c>
      <c r="D22" s="55" t="s">
        <v>7</v>
      </c>
      <c r="E22" s="77" t="s">
        <v>125</v>
      </c>
      <c r="F22" s="56">
        <v>44663</v>
      </c>
      <c r="G22" s="57">
        <v>5</v>
      </c>
      <c r="H22" s="56">
        <f>IF(F22="","",WORKDAY(IF(WEEKDAY(F22,1)=7,F22+2,IF(WEEKDAY(F22,1)=1,F22+1,F22)),G22-1,))</f>
        <v>44669</v>
      </c>
      <c r="I22" s="58">
        <v>1</v>
      </c>
      <c r="K22" s="59"/>
      <c r="L22" s="60"/>
      <c r="M22" s="60"/>
      <c r="N22" s="60"/>
      <c r="O22" s="60"/>
      <c r="P22" s="60"/>
      <c r="Q22" s="60"/>
      <c r="R22" s="60"/>
      <c r="S22" s="60"/>
      <c r="T22" s="60"/>
      <c r="U22" s="60"/>
      <c r="V22" s="60"/>
      <c r="W22" s="60"/>
      <c r="X22" s="60"/>
      <c r="Y22" s="60"/>
      <c r="Z22" s="60"/>
      <c r="AA22" s="60"/>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61"/>
    </row>
    <row r="23" spans="1:64" ht="15.6" x14ac:dyDescent="0.3">
      <c r="B23" s="53" t="s">
        <v>52</v>
      </c>
      <c r="C23" s="54" t="s">
        <v>56</v>
      </c>
      <c r="D23" s="55" t="s">
        <v>7</v>
      </c>
      <c r="E23" s="77" t="s">
        <v>137</v>
      </c>
      <c r="F23" s="56">
        <v>44663</v>
      </c>
      <c r="G23" s="57">
        <v>9</v>
      </c>
      <c r="H23" s="56">
        <f t="shared" ref="H23:H24" si="5">IF(F23="","",WORKDAY(IF(WEEKDAY(F23,1)=7,F23+2,IF(WEEKDAY(F23,1)=1,F23+1,F23)),G23-1,))</f>
        <v>44673</v>
      </c>
      <c r="I23" s="58">
        <v>0.8</v>
      </c>
      <c r="K23" s="59"/>
      <c r="L23" s="60"/>
      <c r="M23" s="60"/>
      <c r="N23" s="60"/>
      <c r="O23" s="60"/>
      <c r="P23" s="60"/>
      <c r="Q23" s="60"/>
      <c r="R23" s="60"/>
      <c r="S23" s="60"/>
      <c r="T23" s="60"/>
      <c r="U23" s="60"/>
      <c r="V23" s="60"/>
      <c r="W23" s="60"/>
      <c r="X23" s="60"/>
      <c r="Y23" s="60"/>
      <c r="Z23" s="60"/>
      <c r="AA23" s="60"/>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61"/>
    </row>
    <row r="24" spans="1:64" ht="15.6" x14ac:dyDescent="0.3">
      <c r="B24" s="53" t="s">
        <v>54</v>
      </c>
      <c r="C24" s="54" t="s">
        <v>57</v>
      </c>
      <c r="D24" s="55" t="s">
        <v>7</v>
      </c>
      <c r="E24" s="77" t="s">
        <v>53</v>
      </c>
      <c r="F24" s="56">
        <v>44676</v>
      </c>
      <c r="G24" s="57">
        <v>33</v>
      </c>
      <c r="H24" s="56">
        <f t="shared" si="5"/>
        <v>44720</v>
      </c>
      <c r="I24" s="58">
        <v>0</v>
      </c>
      <c r="K24" s="59"/>
      <c r="L24" s="60"/>
      <c r="M24" s="60"/>
      <c r="N24" s="60"/>
      <c r="O24" s="60"/>
      <c r="P24" s="60"/>
      <c r="Q24" s="60"/>
      <c r="R24" s="60"/>
      <c r="S24" s="60"/>
      <c r="T24" s="60"/>
      <c r="U24" s="60"/>
      <c r="V24" s="60"/>
      <c r="W24" s="60"/>
      <c r="X24" s="60"/>
      <c r="Y24" s="60"/>
      <c r="Z24" s="60"/>
      <c r="AA24" s="60"/>
      <c r="AB24" s="2"/>
      <c r="AC24" s="2"/>
      <c r="AD24" s="2"/>
      <c r="AE24" s="2"/>
      <c r="AF24" s="2"/>
      <c r="AG24" s="2"/>
      <c r="AH24" s="2"/>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61"/>
    </row>
    <row r="25" spans="1:64" ht="15.6" x14ac:dyDescent="0.3">
      <c r="B25" s="41">
        <v>2</v>
      </c>
      <c r="C25" s="42" t="s">
        <v>9</v>
      </c>
      <c r="D25" s="43"/>
      <c r="E25" s="44"/>
      <c r="F25" s="45">
        <f>MIN(F26:F30)</f>
        <v>44673</v>
      </c>
      <c r="G25" s="63">
        <f>H25-F25</f>
        <v>115</v>
      </c>
      <c r="H25" s="45">
        <f>MAX(H26:H30)</f>
        <v>44788</v>
      </c>
      <c r="I25" s="47">
        <f>AVERAGE(I26:I30)</f>
        <v>7.9999999999999988E-2</v>
      </c>
      <c r="K25" s="59"/>
      <c r="L25" s="60"/>
      <c r="M25" s="60"/>
      <c r="N25" s="60"/>
      <c r="O25" s="60"/>
      <c r="P25" s="60"/>
      <c r="Q25" s="60"/>
      <c r="R25" s="60"/>
      <c r="S25" s="60"/>
      <c r="T25" s="60"/>
      <c r="U25" s="60"/>
      <c r="V25" s="60"/>
      <c r="W25" s="60"/>
      <c r="X25" s="60"/>
      <c r="Y25" s="60"/>
      <c r="Z25" s="60"/>
      <c r="AA25" s="60"/>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61"/>
    </row>
    <row r="26" spans="1:64" ht="15.6" x14ac:dyDescent="0.3">
      <c r="A26" s="62"/>
      <c r="B26" s="53" t="s">
        <v>10</v>
      </c>
      <c r="C26" s="54" t="s">
        <v>17</v>
      </c>
      <c r="D26" s="55">
        <v>1</v>
      </c>
      <c r="E26" s="77" t="s">
        <v>151</v>
      </c>
      <c r="F26" s="56">
        <v>44673</v>
      </c>
      <c r="G26" s="57">
        <v>20</v>
      </c>
      <c r="H26" s="56">
        <f>IF(F26="","",WORKDAY(IF(WEEKDAY(F26,1)=7,F26+2,IF(WEEKDAY(F26,1)=1,F26+1,F26)),G26-1,))</f>
        <v>44700</v>
      </c>
      <c r="I26" s="58">
        <v>0.1</v>
      </c>
      <c r="K26" s="59"/>
      <c r="L26" s="60"/>
      <c r="M26" s="60"/>
      <c r="N26" s="60"/>
      <c r="O26" s="60"/>
      <c r="P26" s="60"/>
      <c r="Q26" s="60"/>
      <c r="R26" s="60"/>
      <c r="S26" s="60"/>
      <c r="T26" s="60"/>
      <c r="U26" s="60"/>
      <c r="V26" s="60"/>
      <c r="W26" s="60"/>
      <c r="X26" s="60"/>
      <c r="Y26" s="60"/>
      <c r="Z26" s="60"/>
      <c r="AA26" s="60"/>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61"/>
    </row>
    <row r="27" spans="1:64" ht="15.6" x14ac:dyDescent="0.3">
      <c r="B27" s="53" t="s">
        <v>58</v>
      </c>
      <c r="C27" s="54" t="s">
        <v>62</v>
      </c>
      <c r="D27" s="55" t="s">
        <v>10</v>
      </c>
      <c r="E27" s="77" t="s">
        <v>140</v>
      </c>
      <c r="F27" s="56">
        <v>44700</v>
      </c>
      <c r="G27" s="57">
        <v>22</v>
      </c>
      <c r="H27" s="56">
        <f t="shared" ref="H27:H30" si="6">IF(F27="","",WORKDAY(IF(WEEKDAY(F27,1)=7,F27+2,IF(WEEKDAY(F27,1)=1,F27+1,F27)),G27-1,))</f>
        <v>44729</v>
      </c>
      <c r="I27" s="58">
        <v>0.1</v>
      </c>
      <c r="K27" s="59"/>
      <c r="L27" s="60"/>
      <c r="M27" s="60"/>
      <c r="N27" s="60"/>
      <c r="O27" s="60"/>
      <c r="P27" s="60"/>
      <c r="Q27" s="60"/>
      <c r="R27" s="60"/>
      <c r="S27" s="60"/>
      <c r="T27" s="60"/>
      <c r="U27" s="60"/>
      <c r="V27" s="60"/>
      <c r="W27" s="60"/>
      <c r="X27" s="60"/>
      <c r="Y27" s="60"/>
      <c r="Z27" s="60"/>
      <c r="AA27" s="60"/>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61"/>
    </row>
    <row r="28" spans="1:64" ht="15.6" x14ac:dyDescent="0.3">
      <c r="B28" s="53" t="s">
        <v>59</v>
      </c>
      <c r="C28" s="54" t="s">
        <v>63</v>
      </c>
      <c r="D28" s="55" t="s">
        <v>10</v>
      </c>
      <c r="E28" s="77" t="s">
        <v>53</v>
      </c>
      <c r="F28" s="56">
        <v>44700</v>
      </c>
      <c r="G28" s="57">
        <v>22</v>
      </c>
      <c r="H28" s="56">
        <f t="shared" si="6"/>
        <v>44729</v>
      </c>
      <c r="I28" s="58">
        <v>0.15</v>
      </c>
      <c r="K28" s="59"/>
      <c r="L28" s="60"/>
      <c r="M28" s="60"/>
      <c r="N28" s="60"/>
      <c r="O28" s="60"/>
      <c r="P28" s="60"/>
      <c r="Q28" s="60"/>
      <c r="R28" s="60"/>
      <c r="S28" s="60"/>
      <c r="T28" s="60"/>
      <c r="U28" s="60"/>
      <c r="V28" s="60"/>
      <c r="W28" s="60"/>
      <c r="X28" s="60"/>
      <c r="Y28" s="60"/>
      <c r="Z28" s="60"/>
      <c r="AA28" s="60"/>
      <c r="AB28" s="2"/>
      <c r="AC28" s="2"/>
      <c r="AD28" s="2"/>
      <c r="AE28" s="2"/>
      <c r="AF28" s="2"/>
      <c r="AG28" s="2"/>
      <c r="AH28" s="2"/>
      <c r="AI28" s="2"/>
      <c r="AJ28" s="2"/>
      <c r="AK28" s="2"/>
      <c r="AL28" s="2"/>
      <c r="AM28" s="2"/>
      <c r="AN28" s="2"/>
      <c r="AO28" s="2"/>
      <c r="AP28" s="2"/>
      <c r="AQ28" s="2"/>
      <c r="AR28" s="2"/>
      <c r="AS28" s="2"/>
      <c r="AT28" s="2"/>
      <c r="AU28" s="2"/>
      <c r="AV28" s="2"/>
      <c r="AW28" s="2"/>
      <c r="AX28" s="2"/>
      <c r="AY28" s="2"/>
      <c r="AZ28" s="2"/>
      <c r="BA28" s="2"/>
      <c r="BB28" s="2"/>
      <c r="BC28" s="2"/>
      <c r="BD28" s="2"/>
      <c r="BE28" s="2"/>
      <c r="BF28" s="2"/>
      <c r="BG28" s="2"/>
      <c r="BH28" s="2"/>
      <c r="BI28" s="2"/>
      <c r="BJ28" s="2"/>
      <c r="BK28" s="61"/>
    </row>
    <row r="29" spans="1:64" ht="15.6" x14ac:dyDescent="0.3">
      <c r="B29" s="53" t="s">
        <v>60</v>
      </c>
      <c r="C29" s="54" t="s">
        <v>64</v>
      </c>
      <c r="D29" s="55" t="s">
        <v>10</v>
      </c>
      <c r="E29" s="77" t="s">
        <v>151</v>
      </c>
      <c r="F29" s="56">
        <v>44700</v>
      </c>
      <c r="G29" s="57">
        <v>22</v>
      </c>
      <c r="H29" s="56">
        <f t="shared" si="6"/>
        <v>44729</v>
      </c>
      <c r="I29" s="58">
        <v>0.05</v>
      </c>
      <c r="K29" s="59"/>
      <c r="L29" s="60"/>
      <c r="M29" s="60"/>
      <c r="N29" s="60"/>
      <c r="O29" s="60"/>
      <c r="P29" s="60"/>
      <c r="Q29" s="60"/>
      <c r="R29" s="60"/>
      <c r="S29" s="60"/>
      <c r="T29" s="60"/>
      <c r="U29" s="60"/>
      <c r="V29" s="60"/>
      <c r="W29" s="60"/>
      <c r="X29" s="60"/>
      <c r="Y29" s="60"/>
      <c r="Z29" s="60"/>
      <c r="AA29" s="60"/>
      <c r="AB29" s="2"/>
      <c r="AC29" s="2"/>
      <c r="AD29" s="2"/>
      <c r="AE29" s="2"/>
      <c r="AF29" s="2"/>
      <c r="AG29" s="2"/>
      <c r="AH29" s="2"/>
      <c r="AI29" s="2"/>
      <c r="AJ29" s="2"/>
      <c r="AK29" s="2"/>
      <c r="AL29" s="2"/>
      <c r="AM29" s="2"/>
      <c r="AN29" s="2"/>
      <c r="AO29" s="2"/>
      <c r="AP29" s="2"/>
      <c r="AQ29" s="2"/>
      <c r="AR29" s="2"/>
      <c r="AS29" s="2"/>
      <c r="AT29" s="2"/>
      <c r="AU29" s="2"/>
      <c r="AV29" s="2"/>
      <c r="AW29" s="2"/>
      <c r="AX29" s="2"/>
      <c r="AY29" s="2"/>
      <c r="AZ29" s="2"/>
      <c r="BA29" s="2"/>
      <c r="BB29" s="2"/>
      <c r="BC29" s="2"/>
      <c r="BD29" s="2"/>
      <c r="BE29" s="2"/>
      <c r="BF29" s="2"/>
      <c r="BG29" s="2"/>
      <c r="BH29" s="2"/>
      <c r="BI29" s="2"/>
      <c r="BJ29" s="2"/>
      <c r="BK29" s="61"/>
    </row>
    <row r="30" spans="1:64" ht="28.8" x14ac:dyDescent="0.3">
      <c r="B30" s="53" t="s">
        <v>61</v>
      </c>
      <c r="C30" s="54" t="s">
        <v>65</v>
      </c>
      <c r="D30" s="55" t="s">
        <v>112</v>
      </c>
      <c r="E30" s="77" t="s">
        <v>172</v>
      </c>
      <c r="F30" s="56">
        <v>44786</v>
      </c>
      <c r="G30" s="57">
        <v>1</v>
      </c>
      <c r="H30" s="56">
        <f t="shared" si="6"/>
        <v>44788</v>
      </c>
      <c r="I30" s="58">
        <v>0</v>
      </c>
      <c r="K30" s="59"/>
      <c r="L30" s="60"/>
      <c r="M30" s="60"/>
      <c r="N30" s="60"/>
      <c r="O30" s="60"/>
      <c r="P30" s="60"/>
      <c r="Q30" s="60"/>
      <c r="R30" s="60"/>
      <c r="S30" s="60"/>
      <c r="T30" s="60"/>
      <c r="U30" s="60"/>
      <c r="V30" s="60"/>
      <c r="W30" s="60"/>
      <c r="X30" s="60"/>
      <c r="Y30" s="60"/>
      <c r="Z30" s="60"/>
      <c r="AA30" s="60"/>
      <c r="AB30" s="2"/>
      <c r="AC30" s="2"/>
      <c r="AD30" s="2"/>
      <c r="AE30" s="2"/>
      <c r="AF30" s="2"/>
      <c r="AG30" s="2"/>
      <c r="AH30" s="2"/>
      <c r="AI30" s="2"/>
      <c r="AJ30" s="2"/>
      <c r="AK30" s="2"/>
      <c r="AL30" s="2"/>
      <c r="AM30" s="2"/>
      <c r="AN30" s="2"/>
      <c r="AO30" s="2"/>
      <c r="AP30" s="2"/>
      <c r="AQ30" s="2"/>
      <c r="AR30" s="2"/>
      <c r="AS30" s="2"/>
      <c r="AT30" s="2"/>
      <c r="AU30" s="2"/>
      <c r="AV30" s="2"/>
      <c r="AW30" s="2"/>
      <c r="AX30" s="2"/>
      <c r="AY30" s="2"/>
      <c r="AZ30" s="2"/>
      <c r="BA30" s="2"/>
      <c r="BB30" s="2"/>
      <c r="BC30" s="2"/>
      <c r="BD30" s="2"/>
      <c r="BE30" s="2"/>
      <c r="BF30" s="2"/>
      <c r="BG30" s="2"/>
      <c r="BH30" s="2"/>
      <c r="BI30" s="2"/>
      <c r="BJ30" s="2"/>
      <c r="BK30" s="61"/>
    </row>
    <row r="31" spans="1:64" ht="15.6" x14ac:dyDescent="0.3">
      <c r="A31" s="62"/>
      <c r="B31" s="41">
        <v>3</v>
      </c>
      <c r="C31" s="42" t="s">
        <v>11</v>
      </c>
      <c r="D31" s="43"/>
      <c r="E31" s="44"/>
      <c r="F31" s="45">
        <f>MIN(F32:F37)</f>
        <v>44786</v>
      </c>
      <c r="G31" s="46">
        <f>H31-F31</f>
        <v>117</v>
      </c>
      <c r="H31" s="45">
        <f>MAX(H32:H37)</f>
        <v>44903</v>
      </c>
      <c r="I31" s="47">
        <f>SUMIF(B32:B58,B31&amp;"*",I32:I59)/(COUNTIF(B31:B58,B31&amp;".*"))</f>
        <v>0</v>
      </c>
      <c r="K31" s="59"/>
      <c r="L31" s="60"/>
      <c r="M31" s="60"/>
      <c r="N31" s="60"/>
      <c r="O31" s="60"/>
      <c r="P31" s="60"/>
      <c r="Q31" s="60"/>
      <c r="R31" s="60"/>
      <c r="S31" s="60"/>
      <c r="T31" s="60"/>
      <c r="U31" s="60"/>
      <c r="V31" s="60"/>
      <c r="W31" s="60"/>
      <c r="X31" s="60"/>
      <c r="Y31" s="60"/>
      <c r="Z31" s="60"/>
      <c r="AA31" s="60"/>
      <c r="AB31" s="2"/>
      <c r="AC31" s="2"/>
      <c r="AD31" s="2"/>
      <c r="AE31" s="2"/>
      <c r="AF31" s="2"/>
      <c r="AG31" s="2"/>
      <c r="AH31" s="2"/>
      <c r="AI31" s="2"/>
      <c r="AJ31" s="2"/>
      <c r="AK31" s="2"/>
      <c r="AL31" s="2"/>
      <c r="AM31" s="2"/>
      <c r="AN31" s="2"/>
      <c r="AO31" s="2"/>
      <c r="AP31" s="2"/>
      <c r="AQ31" s="2"/>
      <c r="AR31" s="2"/>
      <c r="AS31" s="2"/>
      <c r="AT31" s="2"/>
      <c r="AU31" s="2"/>
      <c r="AV31" s="2"/>
      <c r="AW31" s="2"/>
      <c r="AX31" s="2"/>
      <c r="AY31" s="2"/>
      <c r="AZ31" s="2"/>
      <c r="BA31" s="2"/>
      <c r="BB31" s="2"/>
      <c r="BC31" s="2"/>
      <c r="BD31" s="2"/>
      <c r="BE31" s="2"/>
      <c r="BF31" s="2"/>
      <c r="BG31" s="2"/>
      <c r="BH31" s="2"/>
      <c r="BI31" s="2"/>
      <c r="BJ31" s="2"/>
      <c r="BK31" s="61"/>
    </row>
    <row r="32" spans="1:64" ht="15.6" x14ac:dyDescent="0.3">
      <c r="B32" s="53" t="s">
        <v>12</v>
      </c>
      <c r="C32" s="54" t="s">
        <v>19</v>
      </c>
      <c r="D32" s="55">
        <v>2</v>
      </c>
      <c r="E32" s="77" t="s">
        <v>172</v>
      </c>
      <c r="F32" s="56">
        <v>44786</v>
      </c>
      <c r="G32" s="57">
        <v>65</v>
      </c>
      <c r="H32" s="56">
        <f>IF(F32="","",WORKDAY(IF(WEEKDAY(F32,1)=7,F32+2,IF(WEEKDAY(F32,1)=1,F32+1,F32)),G32-1,))</f>
        <v>44876</v>
      </c>
      <c r="I32" s="58">
        <v>0</v>
      </c>
      <c r="K32" s="59"/>
      <c r="L32" s="60"/>
      <c r="M32" s="60"/>
      <c r="N32" s="60"/>
      <c r="O32" s="60"/>
      <c r="P32" s="60"/>
      <c r="Q32" s="60"/>
      <c r="R32" s="60"/>
      <c r="S32" s="60"/>
      <c r="T32" s="60"/>
      <c r="U32" s="60"/>
      <c r="V32" s="60"/>
      <c r="W32" s="60"/>
      <c r="X32" s="60"/>
      <c r="Y32" s="60"/>
      <c r="Z32" s="60"/>
      <c r="AA32" s="60"/>
      <c r="AB32" s="2"/>
      <c r="AC32" s="2"/>
      <c r="AD32" s="2"/>
      <c r="AE32" s="2"/>
      <c r="AF32" s="2"/>
      <c r="AG32" s="2"/>
      <c r="AH32" s="2"/>
      <c r="AI32" s="2"/>
      <c r="AJ32" s="2"/>
      <c r="AK32" s="2"/>
      <c r="AL32" s="2"/>
      <c r="AM32" s="2"/>
      <c r="AN32" s="2"/>
      <c r="AO32" s="2"/>
      <c r="AP32" s="2"/>
      <c r="AQ32" s="2"/>
      <c r="AR32" s="2"/>
      <c r="AS32" s="2"/>
      <c r="AT32" s="2"/>
      <c r="AU32" s="2"/>
      <c r="AV32" s="2"/>
      <c r="AW32" s="2"/>
      <c r="AX32" s="2"/>
      <c r="AY32" s="2"/>
      <c r="AZ32" s="2"/>
      <c r="BA32" s="2"/>
      <c r="BB32" s="2"/>
      <c r="BC32" s="2"/>
      <c r="BD32" s="2"/>
      <c r="BE32" s="2"/>
      <c r="BF32" s="2"/>
      <c r="BG32" s="2"/>
      <c r="BH32" s="2"/>
      <c r="BI32" s="2"/>
      <c r="BJ32" s="2"/>
      <c r="BK32" s="61"/>
    </row>
    <row r="33" spans="1:63" ht="15.6" x14ac:dyDescent="0.3">
      <c r="B33" s="53" t="s">
        <v>66</v>
      </c>
      <c r="C33" s="54" t="s">
        <v>71</v>
      </c>
      <c r="D33" s="55">
        <v>2</v>
      </c>
      <c r="E33" s="77" t="s">
        <v>177</v>
      </c>
      <c r="F33" s="56">
        <v>44786</v>
      </c>
      <c r="G33" s="57">
        <v>65</v>
      </c>
      <c r="H33" s="56">
        <f t="shared" ref="H33:H37" si="7">IF(F33="","",WORKDAY(IF(WEEKDAY(F33,1)=7,F33+2,IF(WEEKDAY(F33,1)=1,F33+1,F33)),G33-1,))</f>
        <v>44876</v>
      </c>
      <c r="I33" s="58">
        <v>0</v>
      </c>
      <c r="K33" s="59"/>
      <c r="L33" s="60"/>
      <c r="M33" s="60"/>
      <c r="N33" s="60"/>
      <c r="O33" s="60"/>
      <c r="P33" s="60"/>
      <c r="Q33" s="60"/>
      <c r="R33" s="60"/>
      <c r="S33" s="60"/>
      <c r="T33" s="60"/>
      <c r="U33" s="60"/>
      <c r="V33" s="60"/>
      <c r="W33" s="60"/>
      <c r="X33" s="60"/>
      <c r="Y33" s="60"/>
      <c r="Z33" s="60"/>
      <c r="AA33" s="60"/>
      <c r="AB33" s="2"/>
      <c r="AC33" s="2"/>
      <c r="AD33" s="2"/>
      <c r="AE33" s="2"/>
      <c r="AF33" s="2"/>
      <c r="AG33" s="2"/>
      <c r="AH33" s="2"/>
      <c r="AI33" s="2"/>
      <c r="AJ33" s="2"/>
      <c r="AK33" s="2"/>
      <c r="AL33" s="2"/>
      <c r="AM33" s="2"/>
      <c r="AN33" s="2"/>
      <c r="AO33" s="2"/>
      <c r="AP33" s="2"/>
      <c r="AQ33" s="2"/>
      <c r="AR33" s="2"/>
      <c r="AS33" s="2"/>
      <c r="AT33" s="2"/>
      <c r="AU33" s="2"/>
      <c r="AV33" s="2"/>
      <c r="AW33" s="2"/>
      <c r="AX33" s="2"/>
      <c r="AY33" s="2"/>
      <c r="AZ33" s="2"/>
      <c r="BA33" s="2"/>
      <c r="BB33" s="2"/>
      <c r="BC33" s="2"/>
      <c r="BD33" s="2"/>
      <c r="BE33" s="2"/>
      <c r="BF33" s="2"/>
      <c r="BG33" s="2"/>
      <c r="BH33" s="2"/>
      <c r="BI33" s="2"/>
      <c r="BJ33" s="2"/>
      <c r="BK33" s="61"/>
    </row>
    <row r="34" spans="1:63" ht="15.6" x14ac:dyDescent="0.3">
      <c r="B34" s="53" t="s">
        <v>67</v>
      </c>
      <c r="C34" s="54" t="s">
        <v>72</v>
      </c>
      <c r="D34" s="55">
        <v>2</v>
      </c>
      <c r="E34" s="77" t="s">
        <v>164</v>
      </c>
      <c r="F34" s="56">
        <v>44786</v>
      </c>
      <c r="G34" s="57">
        <v>65</v>
      </c>
      <c r="H34" s="56">
        <f t="shared" si="7"/>
        <v>44876</v>
      </c>
      <c r="I34" s="58">
        <v>0</v>
      </c>
      <c r="K34" s="59"/>
      <c r="L34" s="60"/>
      <c r="M34" s="60"/>
      <c r="N34" s="60"/>
      <c r="O34" s="60"/>
      <c r="P34" s="60"/>
      <c r="Q34" s="60"/>
      <c r="R34" s="60"/>
      <c r="S34" s="60"/>
      <c r="T34" s="60"/>
      <c r="U34" s="60"/>
      <c r="V34" s="60"/>
      <c r="W34" s="60"/>
      <c r="X34" s="60"/>
      <c r="Y34" s="60"/>
      <c r="Z34" s="60"/>
      <c r="AA34" s="60"/>
      <c r="AB34" s="2"/>
      <c r="AC34" s="2"/>
      <c r="AD34" s="2"/>
      <c r="AE34" s="2"/>
      <c r="AF34" s="2"/>
      <c r="AG34" s="2"/>
      <c r="AH34" s="2"/>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61"/>
    </row>
    <row r="35" spans="1:63" ht="15.6" x14ac:dyDescent="0.3">
      <c r="B35" s="53" t="s">
        <v>68</v>
      </c>
      <c r="C35" s="54" t="s">
        <v>73</v>
      </c>
      <c r="D35" s="55" t="s">
        <v>113</v>
      </c>
      <c r="E35" s="77" t="s">
        <v>169</v>
      </c>
      <c r="F35" s="56">
        <v>44876</v>
      </c>
      <c r="G35" s="57">
        <v>20</v>
      </c>
      <c r="H35" s="56">
        <f t="shared" si="7"/>
        <v>44903</v>
      </c>
      <c r="I35" s="58">
        <v>0</v>
      </c>
      <c r="K35" s="59"/>
      <c r="L35" s="60"/>
      <c r="M35" s="60"/>
      <c r="N35" s="60"/>
      <c r="O35" s="60"/>
      <c r="P35" s="60"/>
      <c r="Q35" s="60"/>
      <c r="R35" s="60"/>
      <c r="S35" s="60"/>
      <c r="T35" s="60"/>
      <c r="U35" s="60"/>
      <c r="V35" s="60"/>
      <c r="W35" s="60"/>
      <c r="X35" s="60"/>
      <c r="Y35" s="60"/>
      <c r="Z35" s="60"/>
      <c r="AA35" s="60"/>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61"/>
    </row>
    <row r="36" spans="1:63" ht="15.6" x14ac:dyDescent="0.3">
      <c r="B36" s="53" t="s">
        <v>69</v>
      </c>
      <c r="C36" s="54" t="s">
        <v>74</v>
      </c>
      <c r="D36" s="55" t="s">
        <v>68</v>
      </c>
      <c r="E36" s="77" t="s">
        <v>161</v>
      </c>
      <c r="F36" s="56">
        <v>44833</v>
      </c>
      <c r="G36" s="57">
        <v>1</v>
      </c>
      <c r="H36" s="56">
        <f>IF(F36="","",WORKDAY(IF(WEEKDAY(F36,1)=7,F36+2,IF(WEEKDAY(F36,1)=1,F36+1,F36)),G36-1,))</f>
        <v>44833</v>
      </c>
      <c r="I36" s="58">
        <v>0</v>
      </c>
      <c r="K36" s="59"/>
      <c r="L36" s="60"/>
      <c r="M36" s="60"/>
      <c r="N36" s="60"/>
      <c r="O36" s="60"/>
      <c r="P36" s="60"/>
      <c r="Q36" s="60"/>
      <c r="R36" s="60"/>
      <c r="S36" s="60"/>
      <c r="T36" s="60"/>
      <c r="U36" s="60"/>
      <c r="V36" s="60"/>
      <c r="W36" s="60"/>
      <c r="X36" s="60"/>
      <c r="Y36" s="60"/>
      <c r="Z36" s="60"/>
      <c r="AA36" s="60"/>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61"/>
    </row>
    <row r="37" spans="1:63" ht="15.6" x14ac:dyDescent="0.3">
      <c r="B37" s="53" t="s">
        <v>70</v>
      </c>
      <c r="C37" s="54" t="s">
        <v>75</v>
      </c>
      <c r="D37" s="55" t="s">
        <v>69</v>
      </c>
      <c r="E37" s="77" t="s">
        <v>156</v>
      </c>
      <c r="F37" s="56">
        <v>44834</v>
      </c>
      <c r="G37" s="57">
        <v>1</v>
      </c>
      <c r="H37" s="56">
        <f t="shared" si="7"/>
        <v>44834</v>
      </c>
      <c r="I37" s="58">
        <v>0</v>
      </c>
      <c r="K37" s="59"/>
      <c r="L37" s="60"/>
      <c r="M37" s="60"/>
      <c r="N37" s="60"/>
      <c r="O37" s="60"/>
      <c r="P37" s="60"/>
      <c r="Q37" s="60"/>
      <c r="R37" s="60"/>
      <c r="S37" s="60"/>
      <c r="T37" s="60"/>
      <c r="U37" s="60"/>
      <c r="V37" s="60"/>
      <c r="W37" s="60"/>
      <c r="X37" s="60"/>
      <c r="Y37" s="60"/>
      <c r="Z37" s="60"/>
      <c r="AA37" s="60"/>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61"/>
    </row>
    <row r="38" spans="1:63" ht="15.6" x14ac:dyDescent="0.3">
      <c r="B38" s="41">
        <v>4</v>
      </c>
      <c r="C38" s="42" t="s">
        <v>13</v>
      </c>
      <c r="D38" s="43" t="s">
        <v>76</v>
      </c>
      <c r="E38" s="44"/>
      <c r="F38" s="45">
        <f>MIN(F39:F53)</f>
        <v>44903</v>
      </c>
      <c r="G38" s="46">
        <f>H38-F38</f>
        <v>237</v>
      </c>
      <c r="H38" s="45">
        <f>MAX(H39:H53)</f>
        <v>45140</v>
      </c>
      <c r="I38" s="47">
        <f>SUMIF(B39:B55,B38&amp;"*",I39:I55)/(COUNTIF(B38:B55,B38&amp;".*"))</f>
        <v>0</v>
      </c>
      <c r="K38" s="59"/>
      <c r="L38" s="60"/>
      <c r="M38" s="60"/>
      <c r="N38" s="60"/>
      <c r="O38" s="60"/>
      <c r="P38" s="60"/>
      <c r="Q38" s="60"/>
      <c r="R38" s="60"/>
      <c r="S38" s="60"/>
      <c r="T38" s="60"/>
      <c r="U38" s="60"/>
      <c r="V38" s="60"/>
      <c r="W38" s="60"/>
      <c r="X38" s="60"/>
      <c r="Y38" s="60"/>
      <c r="Z38" s="60"/>
      <c r="AA38" s="60"/>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61"/>
    </row>
    <row r="39" spans="1:63" ht="15.6" x14ac:dyDescent="0.3">
      <c r="A39" s="62"/>
      <c r="B39" s="53" t="s">
        <v>14</v>
      </c>
      <c r="C39" s="54" t="s">
        <v>20</v>
      </c>
      <c r="D39" s="55">
        <v>3</v>
      </c>
      <c r="E39" s="77" t="s">
        <v>177</v>
      </c>
      <c r="F39" s="56">
        <v>44903</v>
      </c>
      <c r="G39" s="57">
        <v>21</v>
      </c>
      <c r="H39" s="64">
        <f>IF(F39="","",WORKDAY(IF(WEEKDAY(F39,1)=7,F39+2,IF(WEEKDAY(F39,1)=1,F39+1,F39)),G39-1,))</f>
        <v>44931</v>
      </c>
      <c r="I39" s="58">
        <v>0</v>
      </c>
      <c r="K39" s="59"/>
      <c r="L39" s="60"/>
      <c r="M39" s="60"/>
      <c r="N39" s="60"/>
      <c r="O39" s="60"/>
      <c r="P39" s="60"/>
      <c r="Q39" s="60"/>
      <c r="R39" s="60"/>
      <c r="S39" s="60"/>
      <c r="T39" s="60"/>
      <c r="U39" s="60"/>
      <c r="V39" s="60"/>
      <c r="W39" s="60"/>
      <c r="X39" s="60"/>
      <c r="Y39" s="60"/>
      <c r="Z39" s="60"/>
      <c r="AA39" s="60"/>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61"/>
    </row>
    <row r="40" spans="1:63" ht="28.8" x14ac:dyDescent="0.3">
      <c r="A40" s="62"/>
      <c r="B40" s="53" t="s">
        <v>77</v>
      </c>
      <c r="C40" s="54" t="s">
        <v>91</v>
      </c>
      <c r="D40" s="55" t="s">
        <v>14</v>
      </c>
      <c r="E40" s="77" t="s">
        <v>53</v>
      </c>
      <c r="F40" s="56">
        <v>44931</v>
      </c>
      <c r="G40" s="57">
        <v>10</v>
      </c>
      <c r="H40" s="64">
        <f t="shared" ref="H40:H53" si="8">IF(F40="","",WORKDAY(IF(WEEKDAY(F40,1)=7,F40+2,IF(WEEKDAY(F40,1)=1,F40+1,F40)),G40-1,))</f>
        <v>44944</v>
      </c>
      <c r="I40" s="58">
        <v>0</v>
      </c>
      <c r="K40" s="59"/>
      <c r="L40" s="60"/>
      <c r="M40" s="60"/>
      <c r="N40" s="60"/>
      <c r="O40" s="60"/>
      <c r="P40" s="60"/>
      <c r="Q40" s="60"/>
      <c r="R40" s="60"/>
      <c r="S40" s="60"/>
      <c r="T40" s="60"/>
      <c r="U40" s="60"/>
      <c r="V40" s="60"/>
      <c r="W40" s="60"/>
      <c r="X40" s="60"/>
      <c r="Y40" s="60"/>
      <c r="Z40" s="60"/>
      <c r="AA40" s="60"/>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61"/>
    </row>
    <row r="41" spans="1:63" ht="15.6" x14ac:dyDescent="0.3">
      <c r="A41" s="62"/>
      <c r="B41" s="53" t="s">
        <v>78</v>
      </c>
      <c r="C41" s="54" t="s">
        <v>189</v>
      </c>
      <c r="D41" s="55" t="s">
        <v>77</v>
      </c>
      <c r="E41" s="77" t="s">
        <v>148</v>
      </c>
      <c r="F41" s="56">
        <v>44944</v>
      </c>
      <c r="G41" s="57">
        <v>11</v>
      </c>
      <c r="H41" s="64">
        <f t="shared" si="8"/>
        <v>44958</v>
      </c>
      <c r="I41" s="58">
        <v>0</v>
      </c>
      <c r="K41" s="59"/>
      <c r="L41" s="60"/>
      <c r="M41" s="60"/>
      <c r="N41" s="60"/>
      <c r="O41" s="60"/>
      <c r="P41" s="60"/>
      <c r="Q41" s="60"/>
      <c r="R41" s="60"/>
      <c r="S41" s="60"/>
      <c r="T41" s="60"/>
      <c r="U41" s="60"/>
      <c r="V41" s="60"/>
      <c r="W41" s="60"/>
      <c r="X41" s="60"/>
      <c r="Y41" s="60"/>
      <c r="Z41" s="60"/>
      <c r="AA41" s="60"/>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61"/>
    </row>
    <row r="42" spans="1:63" ht="15.6" x14ac:dyDescent="0.3">
      <c r="A42" s="62"/>
      <c r="B42" s="53" t="s">
        <v>79</v>
      </c>
      <c r="C42" s="54" t="s">
        <v>92</v>
      </c>
      <c r="D42" s="55" t="s">
        <v>78</v>
      </c>
      <c r="E42" s="77" t="s">
        <v>125</v>
      </c>
      <c r="F42" s="56">
        <v>44958</v>
      </c>
      <c r="G42" s="57">
        <v>20</v>
      </c>
      <c r="H42" s="64">
        <f t="shared" si="8"/>
        <v>44985</v>
      </c>
      <c r="I42" s="58">
        <v>0</v>
      </c>
      <c r="K42" s="59"/>
      <c r="L42" s="60"/>
      <c r="M42" s="60"/>
      <c r="N42" s="60"/>
      <c r="O42" s="60"/>
      <c r="P42" s="60"/>
      <c r="Q42" s="60"/>
      <c r="R42" s="60"/>
      <c r="S42" s="60"/>
      <c r="T42" s="60"/>
      <c r="U42" s="60"/>
      <c r="V42" s="60"/>
      <c r="W42" s="60"/>
      <c r="X42" s="60"/>
      <c r="Y42" s="60"/>
      <c r="Z42" s="60"/>
      <c r="AA42" s="60"/>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61"/>
    </row>
    <row r="43" spans="1:63" ht="15.6" x14ac:dyDescent="0.3">
      <c r="A43" s="62"/>
      <c r="B43" s="53" t="s">
        <v>80</v>
      </c>
      <c r="C43" s="54" t="s">
        <v>93</v>
      </c>
      <c r="D43" s="55" t="s">
        <v>79</v>
      </c>
      <c r="E43" s="77" t="s">
        <v>172</v>
      </c>
      <c r="F43" s="56">
        <v>44985</v>
      </c>
      <c r="G43" s="57">
        <v>0</v>
      </c>
      <c r="H43" s="64">
        <f t="shared" si="8"/>
        <v>44984</v>
      </c>
      <c r="I43" s="58">
        <v>0</v>
      </c>
      <c r="K43" s="59"/>
      <c r="L43" s="60"/>
      <c r="M43" s="60"/>
      <c r="N43" s="60"/>
      <c r="O43" s="60"/>
      <c r="P43" s="60"/>
      <c r="Q43" s="60"/>
      <c r="R43" s="60"/>
      <c r="S43" s="60"/>
      <c r="T43" s="60"/>
      <c r="U43" s="60"/>
      <c r="V43" s="60"/>
      <c r="W43" s="60"/>
      <c r="X43" s="60"/>
      <c r="Y43" s="60"/>
      <c r="Z43" s="60"/>
      <c r="AA43" s="60"/>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61"/>
    </row>
    <row r="44" spans="1:63" ht="15.6" x14ac:dyDescent="0.3">
      <c r="A44" s="62"/>
      <c r="B44" s="53" t="s">
        <v>81</v>
      </c>
      <c r="C44" s="54" t="s">
        <v>94</v>
      </c>
      <c r="D44" s="55" t="s">
        <v>80</v>
      </c>
      <c r="E44" s="77" t="s">
        <v>172</v>
      </c>
      <c r="F44" s="56">
        <v>44982</v>
      </c>
      <c r="G44" s="57">
        <v>0</v>
      </c>
      <c r="H44" s="64">
        <f t="shared" si="8"/>
        <v>44981</v>
      </c>
      <c r="I44" s="58">
        <v>0</v>
      </c>
      <c r="K44" s="59"/>
      <c r="L44" s="60"/>
      <c r="M44" s="60"/>
      <c r="N44" s="60"/>
      <c r="O44" s="60"/>
      <c r="P44" s="60"/>
      <c r="Q44" s="60"/>
      <c r="R44" s="60"/>
      <c r="S44" s="60"/>
      <c r="T44" s="60"/>
      <c r="U44" s="60"/>
      <c r="V44" s="60"/>
      <c r="W44" s="60"/>
      <c r="X44" s="60"/>
      <c r="Y44" s="60"/>
      <c r="Z44" s="60"/>
      <c r="AA44" s="60"/>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61"/>
    </row>
    <row r="45" spans="1:63" ht="15.6" x14ac:dyDescent="0.3">
      <c r="A45" s="62"/>
      <c r="B45" s="53" t="s">
        <v>82</v>
      </c>
      <c r="C45" s="54" t="s">
        <v>95</v>
      </c>
      <c r="D45" s="55" t="s">
        <v>81</v>
      </c>
      <c r="E45" s="77" t="s">
        <v>172</v>
      </c>
      <c r="F45" s="56">
        <v>44981</v>
      </c>
      <c r="G45" s="57">
        <v>0</v>
      </c>
      <c r="H45" s="64">
        <f t="shared" si="8"/>
        <v>44980</v>
      </c>
      <c r="I45" s="58">
        <v>0</v>
      </c>
      <c r="K45" s="59"/>
      <c r="L45" s="60"/>
      <c r="M45" s="60"/>
      <c r="N45" s="60"/>
      <c r="O45" s="60"/>
      <c r="P45" s="60"/>
      <c r="Q45" s="60"/>
      <c r="R45" s="60"/>
      <c r="S45" s="60"/>
      <c r="T45" s="60"/>
      <c r="U45" s="60"/>
      <c r="V45" s="60"/>
      <c r="W45" s="60"/>
      <c r="X45" s="60"/>
      <c r="Y45" s="60"/>
      <c r="Z45" s="60"/>
      <c r="AA45" s="60"/>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61"/>
    </row>
    <row r="46" spans="1:63" ht="15.6" x14ac:dyDescent="0.3">
      <c r="A46" s="62"/>
      <c r="B46" s="53" t="s">
        <v>83</v>
      </c>
      <c r="C46" s="54" t="s">
        <v>96</v>
      </c>
      <c r="D46" s="55" t="s">
        <v>82</v>
      </c>
      <c r="E46" s="77" t="s">
        <v>169</v>
      </c>
      <c r="F46" s="56">
        <v>44980</v>
      </c>
      <c r="G46" s="57">
        <v>0</v>
      </c>
      <c r="H46" s="64">
        <f t="shared" si="8"/>
        <v>44979</v>
      </c>
      <c r="I46" s="58">
        <v>0</v>
      </c>
      <c r="K46" s="59"/>
      <c r="L46" s="60"/>
      <c r="M46" s="60"/>
      <c r="N46" s="60"/>
      <c r="O46" s="60"/>
      <c r="P46" s="60"/>
      <c r="Q46" s="60"/>
      <c r="R46" s="60"/>
      <c r="S46" s="60"/>
      <c r="T46" s="60"/>
      <c r="U46" s="60"/>
      <c r="V46" s="60"/>
      <c r="W46" s="60"/>
      <c r="X46" s="60"/>
      <c r="Y46" s="60"/>
      <c r="Z46" s="60"/>
      <c r="AA46" s="60"/>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61"/>
    </row>
    <row r="47" spans="1:63" ht="15.6" x14ac:dyDescent="0.3">
      <c r="A47" s="62"/>
      <c r="B47" s="53" t="s">
        <v>84</v>
      </c>
      <c r="C47" s="54" t="s">
        <v>97</v>
      </c>
      <c r="D47" s="55" t="s">
        <v>83</v>
      </c>
      <c r="E47" s="77" t="s">
        <v>172</v>
      </c>
      <c r="F47" s="56">
        <v>44979</v>
      </c>
      <c r="G47" s="57">
        <v>0</v>
      </c>
      <c r="H47" s="64">
        <f t="shared" si="8"/>
        <v>44978</v>
      </c>
      <c r="I47" s="58">
        <v>0</v>
      </c>
      <c r="K47" s="59"/>
      <c r="L47" s="60"/>
      <c r="M47" s="60"/>
      <c r="N47" s="60"/>
      <c r="O47" s="60"/>
      <c r="P47" s="60"/>
      <c r="Q47" s="60"/>
      <c r="R47" s="60"/>
      <c r="S47" s="60"/>
      <c r="T47" s="60"/>
      <c r="U47" s="60"/>
      <c r="V47" s="60"/>
      <c r="W47" s="60"/>
      <c r="X47" s="60"/>
      <c r="Y47" s="60"/>
      <c r="Z47" s="60"/>
      <c r="AA47" s="60"/>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61"/>
    </row>
    <row r="48" spans="1:63" ht="15.6" x14ac:dyDescent="0.3">
      <c r="A48" s="62"/>
      <c r="B48" s="53" t="s">
        <v>85</v>
      </c>
      <c r="C48" s="54" t="s">
        <v>98</v>
      </c>
      <c r="D48" s="55" t="s">
        <v>84</v>
      </c>
      <c r="E48" s="77" t="s">
        <v>159</v>
      </c>
      <c r="F48" s="56">
        <v>44978</v>
      </c>
      <c r="G48" s="57">
        <v>0</v>
      </c>
      <c r="H48" s="64">
        <f t="shared" si="8"/>
        <v>44977</v>
      </c>
      <c r="I48" s="58">
        <v>0</v>
      </c>
      <c r="K48" s="59"/>
      <c r="L48" s="60"/>
      <c r="M48" s="60"/>
      <c r="N48" s="60"/>
      <c r="O48" s="60"/>
      <c r="P48" s="60"/>
      <c r="Q48" s="60"/>
      <c r="R48" s="60"/>
      <c r="S48" s="60"/>
      <c r="T48" s="60"/>
      <c r="U48" s="60"/>
      <c r="V48" s="60"/>
      <c r="W48" s="60"/>
      <c r="X48" s="60"/>
      <c r="Y48" s="60"/>
      <c r="Z48" s="60"/>
      <c r="AA48" s="60"/>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61"/>
    </row>
    <row r="49" spans="1:63" ht="15.6" x14ac:dyDescent="0.3">
      <c r="A49" s="62"/>
      <c r="B49" s="53" t="s">
        <v>86</v>
      </c>
      <c r="C49" s="54" t="s">
        <v>99</v>
      </c>
      <c r="D49" s="55" t="s">
        <v>85</v>
      </c>
      <c r="E49" s="77" t="s">
        <v>128</v>
      </c>
      <c r="F49" s="56">
        <v>44975</v>
      </c>
      <c r="G49" s="57">
        <v>38</v>
      </c>
      <c r="H49" s="64">
        <f t="shared" si="8"/>
        <v>45028</v>
      </c>
      <c r="I49" s="58">
        <v>0</v>
      </c>
      <c r="K49" s="59"/>
      <c r="L49" s="60"/>
      <c r="M49" s="60"/>
      <c r="N49" s="60"/>
      <c r="O49" s="60"/>
      <c r="P49" s="60"/>
      <c r="Q49" s="60"/>
      <c r="R49" s="60"/>
      <c r="S49" s="60"/>
      <c r="T49" s="60"/>
      <c r="U49" s="60"/>
      <c r="V49" s="60"/>
      <c r="W49" s="60"/>
      <c r="X49" s="60"/>
      <c r="Y49" s="60"/>
      <c r="Z49" s="60"/>
      <c r="AA49" s="60"/>
      <c r="AB49" s="2"/>
      <c r="AC49" s="2"/>
      <c r="AD49" s="2"/>
      <c r="AE49" s="2"/>
      <c r="AF49" s="2"/>
      <c r="AG49" s="2"/>
      <c r="AH49" s="2"/>
      <c r="AI49" s="2"/>
      <c r="AJ49" s="2"/>
      <c r="AK49" s="2"/>
      <c r="AL49" s="2"/>
      <c r="AM49" s="2"/>
      <c r="AN49" s="2"/>
      <c r="AO49" s="2"/>
      <c r="AP49" s="2"/>
      <c r="AQ49" s="2"/>
      <c r="AR49" s="2"/>
      <c r="AS49" s="2"/>
      <c r="AT49" s="2"/>
      <c r="AU49" s="2"/>
      <c r="AV49" s="2"/>
      <c r="AW49" s="2"/>
      <c r="AX49" s="2"/>
      <c r="AY49" s="2"/>
      <c r="AZ49" s="2"/>
      <c r="BA49" s="2"/>
      <c r="BB49" s="2"/>
      <c r="BC49" s="2"/>
      <c r="BD49" s="2"/>
      <c r="BE49" s="2"/>
      <c r="BF49" s="2"/>
      <c r="BG49" s="2"/>
      <c r="BH49" s="2"/>
      <c r="BI49" s="2"/>
      <c r="BJ49" s="2"/>
      <c r="BK49" s="61"/>
    </row>
    <row r="50" spans="1:63" ht="15.6" x14ac:dyDescent="0.3">
      <c r="A50" s="62"/>
      <c r="B50" s="53" t="s">
        <v>87</v>
      </c>
      <c r="C50" s="54" t="s">
        <v>100</v>
      </c>
      <c r="D50" s="55" t="s">
        <v>86</v>
      </c>
      <c r="E50" s="77" t="s">
        <v>55</v>
      </c>
      <c r="F50" s="56">
        <v>45028</v>
      </c>
      <c r="G50" s="57">
        <v>38</v>
      </c>
      <c r="H50" s="64">
        <f t="shared" si="8"/>
        <v>45079</v>
      </c>
      <c r="I50" s="58">
        <v>0</v>
      </c>
      <c r="K50" s="59"/>
      <c r="L50" s="60"/>
      <c r="M50" s="60"/>
      <c r="N50" s="60"/>
      <c r="O50" s="60"/>
      <c r="P50" s="60"/>
      <c r="Q50" s="60"/>
      <c r="R50" s="60"/>
      <c r="S50" s="60"/>
      <c r="T50" s="60"/>
      <c r="U50" s="60"/>
      <c r="V50" s="60"/>
      <c r="W50" s="60"/>
      <c r="X50" s="60"/>
      <c r="Y50" s="60"/>
      <c r="Z50" s="60"/>
      <c r="AA50" s="60"/>
      <c r="AB50" s="2"/>
      <c r="AC50" s="2"/>
      <c r="AD50" s="2"/>
      <c r="AE50" s="2"/>
      <c r="AF50" s="2"/>
      <c r="AG50" s="2"/>
      <c r="AH50" s="2"/>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61"/>
    </row>
    <row r="51" spans="1:63" ht="15.6" x14ac:dyDescent="0.3">
      <c r="A51" s="62"/>
      <c r="B51" s="53" t="s">
        <v>88</v>
      </c>
      <c r="C51" s="54" t="s">
        <v>101</v>
      </c>
      <c r="D51" s="55" t="s">
        <v>87</v>
      </c>
      <c r="E51" s="77" t="s">
        <v>125</v>
      </c>
      <c r="F51" s="56">
        <v>45079</v>
      </c>
      <c r="G51" s="57">
        <v>38</v>
      </c>
      <c r="H51" s="64">
        <f t="shared" si="8"/>
        <v>45132</v>
      </c>
      <c r="I51" s="58">
        <v>0</v>
      </c>
      <c r="K51" s="59"/>
      <c r="L51" s="60"/>
      <c r="M51" s="60"/>
      <c r="N51" s="60"/>
      <c r="O51" s="60"/>
      <c r="P51" s="60"/>
      <c r="Q51" s="60"/>
      <c r="R51" s="60"/>
      <c r="S51" s="60"/>
      <c r="T51" s="60"/>
      <c r="U51" s="60"/>
      <c r="V51" s="60"/>
      <c r="W51" s="60"/>
      <c r="X51" s="60"/>
      <c r="Y51" s="60"/>
      <c r="Z51" s="60"/>
      <c r="AA51" s="60"/>
      <c r="AB51" s="2"/>
      <c r="AC51" s="2"/>
      <c r="AD51" s="2"/>
      <c r="AE51" s="2"/>
      <c r="AF51" s="2"/>
      <c r="AG51" s="2"/>
      <c r="AH51" s="2"/>
      <c r="AI51" s="2"/>
      <c r="AJ51" s="2"/>
      <c r="AK51" s="2"/>
      <c r="AL51" s="2"/>
      <c r="AM51" s="2"/>
      <c r="AN51" s="2"/>
      <c r="AO51" s="2"/>
      <c r="AP51" s="2"/>
      <c r="AQ51" s="2"/>
      <c r="AR51" s="2"/>
      <c r="AS51" s="2"/>
      <c r="AT51" s="2"/>
      <c r="AU51" s="2"/>
      <c r="AV51" s="2"/>
      <c r="AW51" s="2"/>
      <c r="AX51" s="2"/>
      <c r="AY51" s="2"/>
      <c r="AZ51" s="2"/>
      <c r="BA51" s="2"/>
      <c r="BB51" s="2"/>
      <c r="BC51" s="2"/>
      <c r="BD51" s="2"/>
      <c r="BE51" s="2"/>
      <c r="BF51" s="2"/>
      <c r="BG51" s="2"/>
      <c r="BH51" s="2"/>
      <c r="BI51" s="2"/>
      <c r="BJ51" s="2"/>
      <c r="BK51" s="61"/>
    </row>
    <row r="52" spans="1:63" ht="15.6" x14ac:dyDescent="0.3">
      <c r="A52" s="62"/>
      <c r="B52" s="53" t="s">
        <v>89</v>
      </c>
      <c r="C52" s="54" t="s">
        <v>21</v>
      </c>
      <c r="D52" s="55" t="s">
        <v>88</v>
      </c>
      <c r="E52" s="77" t="s">
        <v>164</v>
      </c>
      <c r="F52" s="56">
        <v>45132</v>
      </c>
      <c r="G52" s="57">
        <v>4</v>
      </c>
      <c r="H52" s="64">
        <f t="shared" si="8"/>
        <v>45135</v>
      </c>
      <c r="I52" s="58">
        <v>0</v>
      </c>
      <c r="K52" s="59"/>
      <c r="L52" s="60"/>
      <c r="M52" s="60"/>
      <c r="N52" s="60"/>
      <c r="O52" s="60"/>
      <c r="P52" s="60"/>
      <c r="Q52" s="60"/>
      <c r="R52" s="60"/>
      <c r="S52" s="60"/>
      <c r="T52" s="60"/>
      <c r="U52" s="60"/>
      <c r="V52" s="60"/>
      <c r="W52" s="60"/>
      <c r="X52" s="60"/>
      <c r="Y52" s="60"/>
      <c r="Z52" s="60"/>
      <c r="AA52" s="60"/>
      <c r="AB52" s="2"/>
      <c r="AC52" s="2"/>
      <c r="AD52" s="2"/>
      <c r="AE52" s="2"/>
      <c r="AF52" s="2"/>
      <c r="AG52" s="2"/>
      <c r="AH52" s="2"/>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61"/>
    </row>
    <row r="53" spans="1:63" ht="15.6" x14ac:dyDescent="0.3">
      <c r="A53" s="62"/>
      <c r="B53" s="53" t="s">
        <v>90</v>
      </c>
      <c r="C53" s="54" t="s">
        <v>102</v>
      </c>
      <c r="D53" s="55" t="s">
        <v>89</v>
      </c>
      <c r="E53" s="77" t="s">
        <v>53</v>
      </c>
      <c r="F53" s="56">
        <v>45135</v>
      </c>
      <c r="G53" s="57">
        <v>4</v>
      </c>
      <c r="H53" s="64">
        <f t="shared" si="8"/>
        <v>45140</v>
      </c>
      <c r="I53" s="58">
        <v>0</v>
      </c>
      <c r="K53" s="59"/>
      <c r="L53" s="60"/>
      <c r="M53" s="60"/>
      <c r="N53" s="60"/>
      <c r="O53" s="60"/>
      <c r="P53" s="60"/>
      <c r="Q53" s="60"/>
      <c r="R53" s="60"/>
      <c r="S53" s="60"/>
      <c r="T53" s="60"/>
      <c r="U53" s="60"/>
      <c r="V53" s="60"/>
      <c r="W53" s="60"/>
      <c r="X53" s="60"/>
      <c r="Y53" s="60"/>
      <c r="Z53" s="60"/>
      <c r="AA53" s="60"/>
      <c r="AB53" s="2"/>
      <c r="AC53" s="2"/>
      <c r="AD53" s="2"/>
      <c r="AE53" s="2"/>
      <c r="AF53" s="2"/>
      <c r="AG53" s="2"/>
      <c r="AH53" s="2"/>
      <c r="AI53" s="2"/>
      <c r="AJ53" s="2"/>
      <c r="AK53" s="2"/>
      <c r="AL53" s="2"/>
      <c r="AM53" s="2"/>
      <c r="AN53" s="2"/>
      <c r="AO53" s="2"/>
      <c r="AP53" s="2"/>
      <c r="AQ53" s="2"/>
      <c r="AR53" s="2"/>
      <c r="AS53" s="2"/>
      <c r="AT53" s="2"/>
      <c r="AU53" s="2"/>
      <c r="AV53" s="2"/>
      <c r="AW53" s="2"/>
      <c r="AX53" s="2"/>
      <c r="AY53" s="2"/>
      <c r="AZ53" s="2"/>
      <c r="BA53" s="2"/>
      <c r="BB53" s="2"/>
      <c r="BC53" s="2"/>
      <c r="BD53" s="2"/>
      <c r="BE53" s="2"/>
      <c r="BF53" s="2"/>
      <c r="BG53" s="2"/>
      <c r="BH53" s="2"/>
      <c r="BI53" s="2"/>
      <c r="BJ53" s="2"/>
      <c r="BK53" s="61"/>
    </row>
    <row r="54" spans="1:63" ht="15.6" x14ac:dyDescent="0.3">
      <c r="B54" s="41">
        <v>5</v>
      </c>
      <c r="C54" s="42" t="s">
        <v>103</v>
      </c>
      <c r="D54" s="43" t="s">
        <v>104</v>
      </c>
      <c r="E54" s="44"/>
      <c r="F54" s="45">
        <f>MIN(F55:F58)</f>
        <v>45140</v>
      </c>
      <c r="G54" s="46">
        <f>H54-F54</f>
        <v>13</v>
      </c>
      <c r="H54" s="45">
        <f>MAX(H55:H58)</f>
        <v>45153</v>
      </c>
      <c r="I54" s="47">
        <f>SUMIF(B55:B58,B54&amp;"*",I55:I59)/(COUNTIF(B54:B58,B54&amp;".*"))</f>
        <v>0</v>
      </c>
      <c r="K54" s="59"/>
      <c r="L54" s="60"/>
      <c r="M54" s="60"/>
      <c r="N54" s="60"/>
      <c r="O54" s="60"/>
      <c r="P54" s="60"/>
      <c r="Q54" s="60"/>
      <c r="R54" s="60"/>
      <c r="S54" s="60"/>
      <c r="T54" s="60"/>
      <c r="U54" s="60"/>
      <c r="V54" s="60"/>
      <c r="W54" s="60"/>
      <c r="X54" s="60"/>
      <c r="Y54" s="60"/>
      <c r="Z54" s="60"/>
      <c r="AA54" s="60"/>
      <c r="AB54" s="2"/>
      <c r="AC54" s="2"/>
      <c r="AD54" s="2"/>
      <c r="AE54" s="2"/>
      <c r="AF54" s="2"/>
      <c r="AG54" s="2"/>
      <c r="AH54" s="2"/>
      <c r="AI54" s="2"/>
      <c r="AJ54" s="2"/>
      <c r="AK54" s="2"/>
      <c r="AL54" s="2"/>
      <c r="AM54" s="2"/>
      <c r="AN54" s="2"/>
      <c r="AO54" s="2"/>
      <c r="AP54" s="2"/>
      <c r="AQ54" s="2"/>
      <c r="AR54" s="2"/>
      <c r="AS54" s="2"/>
      <c r="AT54" s="2"/>
      <c r="AU54" s="2"/>
      <c r="AV54" s="2"/>
      <c r="AW54" s="2"/>
      <c r="AX54" s="2"/>
      <c r="AY54" s="2"/>
      <c r="AZ54" s="2"/>
      <c r="BA54" s="2"/>
      <c r="BB54" s="2"/>
      <c r="BC54" s="2"/>
      <c r="BD54" s="2"/>
      <c r="BE54" s="2"/>
      <c r="BF54" s="2"/>
      <c r="BG54" s="2"/>
      <c r="BH54" s="2"/>
      <c r="BI54" s="2"/>
      <c r="BJ54" s="2"/>
      <c r="BK54" s="61"/>
    </row>
    <row r="55" spans="1:63" ht="15.6" x14ac:dyDescent="0.3">
      <c r="A55" s="62"/>
      <c r="B55" s="53" t="s">
        <v>15</v>
      </c>
      <c r="C55" s="54" t="s">
        <v>22</v>
      </c>
      <c r="D55" s="55">
        <v>4</v>
      </c>
      <c r="E55" s="77" t="s">
        <v>140</v>
      </c>
      <c r="F55" s="64">
        <v>45140</v>
      </c>
      <c r="G55" s="57">
        <v>10</v>
      </c>
      <c r="H55" s="64">
        <f>IF(F55="","",WORKDAY(IF(WEEKDAY(F55,1)=7,F55+2,IF(WEEKDAY(F55,1)=1,F55+1,F55)),G55-1,))</f>
        <v>45153</v>
      </c>
      <c r="I55" s="58">
        <v>0</v>
      </c>
      <c r="K55" s="59"/>
      <c r="L55" s="60"/>
      <c r="M55" s="60"/>
      <c r="N55" s="60"/>
      <c r="O55" s="60"/>
      <c r="P55" s="60"/>
      <c r="Q55" s="60"/>
      <c r="R55" s="60"/>
      <c r="S55" s="60"/>
      <c r="T55" s="60"/>
      <c r="U55" s="60"/>
      <c r="V55" s="60"/>
      <c r="W55" s="60"/>
      <c r="X55" s="60"/>
      <c r="Y55" s="60"/>
      <c r="Z55" s="60"/>
      <c r="AA55" s="60"/>
      <c r="AB55" s="2"/>
      <c r="AC55" s="2"/>
      <c r="AD55" s="2"/>
      <c r="AE55" s="2"/>
      <c r="AF55" s="2"/>
      <c r="AG55" s="2"/>
      <c r="AH55" s="2"/>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61"/>
    </row>
    <row r="56" spans="1:63" ht="15.6" x14ac:dyDescent="0.3">
      <c r="A56" s="62"/>
      <c r="B56" s="53" t="s">
        <v>105</v>
      </c>
      <c r="C56" s="54" t="s">
        <v>108</v>
      </c>
      <c r="D56" s="55">
        <v>4</v>
      </c>
      <c r="E56" s="77" t="s">
        <v>145</v>
      </c>
      <c r="F56" s="64">
        <v>45140</v>
      </c>
      <c r="G56" s="57">
        <v>10</v>
      </c>
      <c r="H56" s="64">
        <f t="shared" ref="H56:H57" si="9">IF(F56="","",WORKDAY(IF(WEEKDAY(F56,1)=7,F56+2,IF(WEEKDAY(F56,1)=1,F56+1,F56)),G56-1,))</f>
        <v>45153</v>
      </c>
      <c r="I56" s="58">
        <v>0</v>
      </c>
      <c r="K56" s="59"/>
      <c r="L56" s="60"/>
      <c r="M56" s="60"/>
      <c r="N56" s="60"/>
      <c r="O56" s="60"/>
      <c r="P56" s="60"/>
      <c r="Q56" s="60"/>
      <c r="R56" s="60"/>
      <c r="S56" s="60"/>
      <c r="T56" s="60"/>
      <c r="U56" s="60"/>
      <c r="V56" s="60"/>
      <c r="W56" s="60"/>
      <c r="X56" s="60"/>
      <c r="Y56" s="60"/>
      <c r="Z56" s="60"/>
      <c r="AA56" s="60"/>
      <c r="AB56" s="2"/>
      <c r="AC56" s="2"/>
      <c r="AD56" s="2"/>
      <c r="AE56" s="2"/>
      <c r="AF56" s="2"/>
      <c r="AG56" s="2"/>
      <c r="AH56" s="2"/>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61"/>
    </row>
    <row r="57" spans="1:63" ht="15.6" x14ac:dyDescent="0.3">
      <c r="A57" s="62"/>
      <c r="B57" s="53" t="s">
        <v>106</v>
      </c>
      <c r="C57" s="54" t="s">
        <v>109</v>
      </c>
      <c r="D57" s="55">
        <v>4</v>
      </c>
      <c r="E57" s="77" t="s">
        <v>151</v>
      </c>
      <c r="F57" s="64">
        <v>45140</v>
      </c>
      <c r="G57" s="57">
        <v>10</v>
      </c>
      <c r="H57" s="64">
        <f t="shared" si="9"/>
        <v>45153</v>
      </c>
      <c r="I57" s="58">
        <v>0</v>
      </c>
      <c r="K57" s="59"/>
      <c r="L57" s="60"/>
      <c r="M57" s="60"/>
      <c r="N57" s="60"/>
      <c r="O57" s="60"/>
      <c r="P57" s="60"/>
      <c r="Q57" s="60"/>
      <c r="R57" s="60"/>
      <c r="S57" s="60"/>
      <c r="T57" s="60"/>
      <c r="U57" s="60"/>
      <c r="V57" s="60"/>
      <c r="W57" s="60"/>
      <c r="X57" s="60"/>
      <c r="Y57" s="60"/>
      <c r="Z57" s="60"/>
      <c r="AA57" s="60"/>
      <c r="AB57" s="2"/>
      <c r="AC57" s="2"/>
      <c r="AD57" s="2"/>
      <c r="AE57" s="2"/>
      <c r="AF57" s="2"/>
      <c r="AG57" s="2"/>
      <c r="AH57" s="2"/>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61"/>
    </row>
    <row r="58" spans="1:63" ht="15.6" x14ac:dyDescent="0.3">
      <c r="A58" s="62"/>
      <c r="B58" s="53" t="s">
        <v>107</v>
      </c>
      <c r="C58" s="54" t="s">
        <v>110</v>
      </c>
      <c r="D58" s="55" t="s">
        <v>114</v>
      </c>
      <c r="E58" s="77" t="s">
        <v>172</v>
      </c>
      <c r="F58" s="64">
        <v>45153</v>
      </c>
      <c r="G58" s="57">
        <v>0</v>
      </c>
      <c r="H58" s="64">
        <f>IF(F58="","",WORKDAY(IF(WEEKDAY(F58,1)=7,F58+2,IF(WEEKDAY(F58,1)=1,F58+1,F58)),G58-1,))</f>
        <v>45152</v>
      </c>
      <c r="I58" s="58">
        <v>0</v>
      </c>
      <c r="K58" s="59"/>
      <c r="L58" s="60"/>
      <c r="M58" s="60"/>
      <c r="N58" s="60"/>
      <c r="O58" s="60"/>
      <c r="P58" s="60"/>
      <c r="Q58" s="60"/>
      <c r="R58" s="60"/>
      <c r="S58" s="60"/>
      <c r="T58" s="60"/>
      <c r="U58" s="60"/>
      <c r="V58" s="60"/>
      <c r="W58" s="60"/>
      <c r="X58" s="60"/>
      <c r="Y58" s="60"/>
      <c r="Z58" s="60"/>
      <c r="AA58" s="60"/>
      <c r="AB58" s="2"/>
      <c r="AC58" s="2"/>
      <c r="AD58" s="2"/>
      <c r="AE58" s="2"/>
      <c r="AF58" s="2"/>
      <c r="AG58" s="2"/>
      <c r="AH58" s="2"/>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61"/>
    </row>
    <row r="59" spans="1:63" ht="15" thickBot="1" x14ac:dyDescent="0.35">
      <c r="G59" s="120" t="s">
        <v>16</v>
      </c>
      <c r="H59" s="121"/>
      <c r="I59" s="66">
        <f>AVERAGE(I19,I25,I31,I38,I54)</f>
        <v>0.16799999999999998</v>
      </c>
      <c r="K59" s="67"/>
      <c r="L59" s="68"/>
      <c r="M59" s="68"/>
      <c r="N59" s="68"/>
      <c r="O59" s="68"/>
      <c r="P59" s="68"/>
      <c r="Q59" s="68"/>
      <c r="R59" s="68"/>
      <c r="S59" s="68"/>
      <c r="T59" s="68"/>
      <c r="U59" s="68"/>
      <c r="V59" s="68"/>
      <c r="W59" s="68"/>
      <c r="X59" s="68"/>
      <c r="Y59" s="68"/>
      <c r="Z59" s="68"/>
      <c r="AA59" s="68"/>
      <c r="AB59" s="68"/>
      <c r="AC59" s="68"/>
      <c r="AD59" s="68"/>
      <c r="AE59" s="68"/>
      <c r="AF59" s="68"/>
      <c r="AG59" s="68"/>
      <c r="AH59" s="68"/>
      <c r="AI59" s="68"/>
      <c r="AJ59" s="68"/>
      <c r="AK59" s="68"/>
      <c r="AL59" s="68"/>
      <c r="AM59" s="68"/>
      <c r="AN59" s="68"/>
      <c r="AO59" s="68"/>
      <c r="AP59" s="68"/>
      <c r="AQ59" s="68"/>
      <c r="AR59" s="68"/>
      <c r="AS59" s="68"/>
      <c r="AT59" s="68"/>
      <c r="AU59" s="68"/>
      <c r="AV59" s="68"/>
      <c r="AW59" s="68"/>
      <c r="AX59" s="68"/>
      <c r="AY59" s="68"/>
      <c r="AZ59" s="68"/>
      <c r="BA59" s="68"/>
      <c r="BB59" s="68"/>
      <c r="BC59" s="68"/>
      <c r="BD59" s="68"/>
      <c r="BE59" s="68"/>
      <c r="BF59" s="68"/>
      <c r="BG59" s="68"/>
      <c r="BH59" s="68"/>
      <c r="BI59" s="68"/>
      <c r="BJ59" s="68"/>
      <c r="BK59" s="68"/>
    </row>
    <row r="60" spans="1:63" x14ac:dyDescent="0.3">
      <c r="H60" s="3"/>
      <c r="I60" s="84"/>
      <c r="K60" s="85"/>
      <c r="L60" s="85"/>
      <c r="M60" s="85"/>
      <c r="N60" s="85"/>
      <c r="O60" s="85"/>
      <c r="P60" s="85"/>
      <c r="Q60" s="85"/>
      <c r="R60" s="85"/>
      <c r="S60" s="85"/>
      <c r="T60" s="85"/>
      <c r="U60" s="85"/>
      <c r="V60" s="85"/>
      <c r="W60" s="85"/>
      <c r="X60" s="85"/>
      <c r="Y60" s="85"/>
      <c r="Z60" s="85"/>
      <c r="AA60" s="85"/>
      <c r="AB60" s="85"/>
      <c r="AC60" s="85"/>
      <c r="AD60" s="85"/>
      <c r="AE60" s="85"/>
      <c r="AF60" s="85"/>
      <c r="AG60" s="85"/>
      <c r="AH60" s="85"/>
      <c r="AI60" s="85"/>
      <c r="AJ60" s="85"/>
      <c r="AK60" s="85"/>
      <c r="AL60" s="85"/>
      <c r="AM60" s="85"/>
      <c r="AN60" s="85"/>
      <c r="AO60" s="85"/>
      <c r="AP60" s="85"/>
      <c r="AQ60" s="85"/>
      <c r="AR60" s="85"/>
      <c r="AS60" s="85"/>
      <c r="AT60" s="85"/>
      <c r="AU60" s="85"/>
      <c r="AV60" s="85"/>
      <c r="AW60" s="85"/>
      <c r="AX60" s="85"/>
      <c r="AY60" s="85"/>
      <c r="AZ60" s="85"/>
      <c r="BA60" s="85"/>
      <c r="BB60" s="85"/>
      <c r="BC60" s="85"/>
      <c r="BD60" s="85"/>
      <c r="BE60" s="85"/>
      <c r="BF60" s="85"/>
      <c r="BG60" s="85"/>
      <c r="BH60" s="85"/>
      <c r="BI60" s="85"/>
      <c r="BJ60" s="85"/>
      <c r="BK60" s="85"/>
    </row>
    <row r="61" spans="1:63" x14ac:dyDescent="0.3">
      <c r="H61" s="3"/>
      <c r="I61" s="85"/>
      <c r="K61" s="85"/>
      <c r="L61" s="85"/>
      <c r="M61" s="85"/>
      <c r="N61" s="85"/>
      <c r="O61" s="85"/>
      <c r="P61" s="85"/>
      <c r="Q61" s="85"/>
      <c r="R61" s="85"/>
      <c r="S61" s="85"/>
      <c r="T61" s="85"/>
      <c r="U61" s="85"/>
      <c r="V61" s="85"/>
      <c r="W61" s="85"/>
      <c r="X61" s="85"/>
      <c r="Y61" s="85"/>
      <c r="Z61" s="85"/>
      <c r="AA61" s="85"/>
      <c r="AB61" s="85"/>
      <c r="AC61" s="85"/>
      <c r="AD61" s="85"/>
      <c r="AE61" s="85"/>
      <c r="AF61" s="85"/>
      <c r="AG61" s="85"/>
      <c r="AH61" s="85"/>
      <c r="AI61" s="85"/>
      <c r="AJ61" s="85"/>
      <c r="AK61" s="85"/>
      <c r="AL61" s="85"/>
      <c r="AM61" s="85"/>
      <c r="AN61" s="85"/>
      <c r="AO61" s="85"/>
      <c r="AP61" s="85"/>
      <c r="AQ61" s="85"/>
      <c r="AR61" s="85"/>
      <c r="AS61" s="85"/>
      <c r="AT61" s="85"/>
      <c r="AU61" s="85"/>
      <c r="AV61" s="85"/>
      <c r="AW61" s="85"/>
      <c r="AX61" s="85"/>
      <c r="AY61" s="85"/>
      <c r="AZ61" s="85"/>
      <c r="BA61" s="85"/>
      <c r="BB61" s="85"/>
      <c r="BC61" s="85"/>
      <c r="BD61" s="85"/>
      <c r="BE61" s="85"/>
      <c r="BF61" s="85"/>
      <c r="BG61" s="85"/>
      <c r="BH61" s="85"/>
      <c r="BI61" s="85"/>
      <c r="BJ61" s="85"/>
      <c r="BK61" s="85"/>
    </row>
    <row r="62" spans="1:63" x14ac:dyDescent="0.3">
      <c r="H62" s="3"/>
      <c r="I62" s="85"/>
      <c r="K62" s="85"/>
      <c r="L62" s="85"/>
      <c r="M62" s="85"/>
      <c r="N62" s="85"/>
      <c r="O62" s="85"/>
      <c r="P62" s="85"/>
      <c r="Q62" s="85"/>
      <c r="R62" s="85"/>
      <c r="S62" s="85"/>
      <c r="T62" s="85"/>
      <c r="U62" s="85"/>
      <c r="V62" s="85"/>
      <c r="W62" s="85"/>
      <c r="X62" s="85"/>
      <c r="Y62" s="85"/>
      <c r="Z62" s="85"/>
      <c r="AA62" s="85"/>
      <c r="AB62" s="85"/>
      <c r="AC62" s="85"/>
      <c r="AD62" s="85"/>
      <c r="AE62" s="85"/>
      <c r="AF62" s="85"/>
      <c r="AG62" s="85"/>
      <c r="AH62" s="85"/>
      <c r="AI62" s="85"/>
      <c r="AJ62" s="85"/>
      <c r="AK62" s="85"/>
      <c r="AL62" s="85"/>
      <c r="AM62" s="85"/>
      <c r="AN62" s="85"/>
      <c r="AO62" s="85"/>
      <c r="AP62" s="85"/>
      <c r="AQ62" s="85"/>
      <c r="AR62" s="85"/>
      <c r="AS62" s="85"/>
      <c r="AT62" s="85"/>
      <c r="AU62" s="85"/>
      <c r="AV62" s="85"/>
      <c r="AW62" s="85"/>
      <c r="AX62" s="85"/>
      <c r="AY62" s="85"/>
      <c r="AZ62" s="85"/>
      <c r="BA62" s="85"/>
      <c r="BB62" s="85"/>
      <c r="BC62" s="85"/>
      <c r="BD62" s="85"/>
      <c r="BE62" s="85"/>
      <c r="BF62" s="85"/>
      <c r="BG62" s="85"/>
      <c r="BH62" s="85"/>
      <c r="BI62" s="85"/>
      <c r="BJ62" s="85"/>
      <c r="BK62" s="85"/>
    </row>
    <row r="63" spans="1:63" x14ac:dyDescent="0.3">
      <c r="H63" s="3"/>
      <c r="I63" s="85"/>
      <c r="K63" s="85"/>
      <c r="L63" s="85"/>
      <c r="M63" s="85"/>
      <c r="N63" s="85"/>
      <c r="O63" s="85"/>
      <c r="P63" s="85"/>
      <c r="Q63" s="85"/>
      <c r="R63" s="85"/>
      <c r="S63" s="85"/>
      <c r="T63" s="85"/>
      <c r="U63" s="85"/>
      <c r="V63" s="85"/>
      <c r="W63" s="85"/>
      <c r="X63" s="85"/>
      <c r="Y63" s="85"/>
      <c r="Z63" s="85"/>
      <c r="AA63" s="85"/>
      <c r="AB63" s="85"/>
      <c r="AC63" s="85"/>
      <c r="AD63" s="85"/>
      <c r="AE63" s="85"/>
      <c r="AF63" s="85"/>
      <c r="AG63" s="85"/>
      <c r="AH63" s="85"/>
      <c r="AI63" s="85"/>
      <c r="AJ63" s="85"/>
      <c r="AK63" s="85"/>
      <c r="AL63" s="85"/>
      <c r="AM63" s="85"/>
      <c r="AN63" s="85"/>
      <c r="AO63" s="85"/>
      <c r="AP63" s="85"/>
      <c r="AQ63" s="85"/>
      <c r="AR63" s="85"/>
      <c r="AS63" s="85"/>
      <c r="AT63" s="85"/>
      <c r="AU63" s="85"/>
      <c r="AV63" s="85"/>
      <c r="AW63" s="85"/>
      <c r="AX63" s="85"/>
      <c r="AY63" s="85"/>
      <c r="AZ63" s="85"/>
      <c r="BA63" s="85"/>
      <c r="BB63" s="85"/>
      <c r="BC63" s="85"/>
      <c r="BD63" s="85"/>
      <c r="BE63" s="85"/>
      <c r="BF63" s="85"/>
      <c r="BG63" s="85"/>
      <c r="BH63" s="85"/>
      <c r="BI63" s="85"/>
      <c r="BJ63" s="85"/>
      <c r="BK63" s="85"/>
    </row>
    <row r="64" spans="1:63" x14ac:dyDescent="0.3">
      <c r="H64" s="3"/>
      <c r="I64" s="85"/>
      <c r="K64" s="85"/>
      <c r="L64" s="85"/>
      <c r="M64" s="85"/>
      <c r="N64" s="85"/>
      <c r="O64" s="85"/>
      <c r="P64" s="85"/>
      <c r="Q64" s="85"/>
      <c r="R64" s="85"/>
      <c r="S64" s="85"/>
      <c r="T64" s="85"/>
      <c r="U64" s="85"/>
      <c r="V64" s="85"/>
      <c r="W64" s="85"/>
      <c r="X64" s="85"/>
      <c r="Y64" s="85"/>
      <c r="Z64" s="85"/>
      <c r="AA64" s="85"/>
      <c r="AB64" s="85"/>
      <c r="AC64" s="85"/>
      <c r="AD64" s="85"/>
      <c r="AE64" s="85"/>
      <c r="AF64" s="85"/>
      <c r="AG64" s="85"/>
      <c r="AH64" s="85"/>
      <c r="AI64" s="85"/>
      <c r="AJ64" s="85"/>
      <c r="AK64" s="85"/>
      <c r="AL64" s="85"/>
      <c r="AM64" s="85"/>
      <c r="AN64" s="85"/>
      <c r="AO64" s="85"/>
      <c r="AP64" s="85"/>
      <c r="AQ64" s="85"/>
      <c r="AR64" s="85"/>
      <c r="AS64" s="85"/>
      <c r="AT64" s="85"/>
      <c r="AU64" s="85"/>
      <c r="AV64" s="85"/>
      <c r="AW64" s="85"/>
      <c r="AX64" s="85"/>
      <c r="AY64" s="85"/>
      <c r="AZ64" s="85"/>
      <c r="BA64" s="85"/>
      <c r="BB64" s="85"/>
      <c r="BC64" s="85"/>
      <c r="BD64" s="85"/>
      <c r="BE64" s="85"/>
      <c r="BF64" s="85"/>
      <c r="BG64" s="85"/>
      <c r="BH64" s="85"/>
      <c r="BI64" s="85"/>
      <c r="BJ64" s="85"/>
      <c r="BK64" s="85"/>
    </row>
    <row r="65" spans="8:63" x14ac:dyDescent="0.3">
      <c r="H65" s="3"/>
      <c r="I65" s="85"/>
      <c r="K65" s="85"/>
      <c r="L65" s="85"/>
      <c r="M65" s="85"/>
      <c r="N65" s="85"/>
      <c r="O65" s="85"/>
      <c r="P65" s="85"/>
      <c r="Q65" s="85"/>
      <c r="R65" s="85"/>
      <c r="S65" s="85"/>
      <c r="T65" s="85"/>
      <c r="U65" s="85"/>
      <c r="V65" s="85"/>
      <c r="W65" s="85"/>
      <c r="X65" s="85"/>
      <c r="Y65" s="85"/>
      <c r="Z65" s="85"/>
      <c r="AA65" s="85"/>
      <c r="AB65" s="85"/>
      <c r="AC65" s="85"/>
      <c r="AD65" s="85"/>
      <c r="AE65" s="85"/>
      <c r="AF65" s="85"/>
      <c r="AG65" s="85"/>
      <c r="AH65" s="85"/>
      <c r="AI65" s="85"/>
      <c r="AJ65" s="85"/>
      <c r="AK65" s="85"/>
      <c r="AL65" s="85"/>
      <c r="AM65" s="85"/>
      <c r="AN65" s="85"/>
      <c r="AO65" s="85"/>
      <c r="AP65" s="85"/>
      <c r="AQ65" s="85"/>
      <c r="AR65" s="85"/>
      <c r="AS65" s="85"/>
      <c r="AT65" s="85"/>
      <c r="AU65" s="85"/>
      <c r="AV65" s="85"/>
      <c r="AW65" s="85"/>
      <c r="AX65" s="85"/>
      <c r="AY65" s="85"/>
      <c r="AZ65" s="85"/>
      <c r="BA65" s="85"/>
      <c r="BB65" s="85"/>
      <c r="BC65" s="85"/>
      <c r="BD65" s="85"/>
      <c r="BE65" s="85"/>
      <c r="BF65" s="85"/>
      <c r="BG65" s="85"/>
      <c r="BH65" s="85"/>
      <c r="BI65" s="85"/>
      <c r="BJ65" s="85"/>
      <c r="BK65" s="85"/>
    </row>
    <row r="66" spans="8:63" x14ac:dyDescent="0.3">
      <c r="H66" s="3"/>
      <c r="I66" s="85"/>
      <c r="K66" s="85"/>
      <c r="L66" s="85"/>
      <c r="M66" s="85"/>
      <c r="N66" s="85"/>
      <c r="O66" s="85"/>
      <c r="P66" s="85"/>
      <c r="Q66" s="85"/>
      <c r="R66" s="85"/>
      <c r="S66" s="85"/>
      <c r="T66" s="85"/>
      <c r="U66" s="85"/>
      <c r="V66" s="85"/>
      <c r="W66" s="85"/>
      <c r="X66" s="85"/>
      <c r="Y66" s="85"/>
      <c r="Z66" s="85"/>
      <c r="AA66" s="85"/>
      <c r="AB66" s="85"/>
      <c r="AC66" s="85"/>
      <c r="AD66" s="85"/>
      <c r="AE66" s="85"/>
      <c r="AF66" s="85"/>
      <c r="AG66" s="85"/>
      <c r="AH66" s="85"/>
      <c r="AI66" s="85"/>
      <c r="AJ66" s="85"/>
      <c r="AK66" s="85"/>
      <c r="AL66" s="85"/>
      <c r="AM66" s="85"/>
      <c r="AN66" s="85"/>
      <c r="AO66" s="85"/>
      <c r="AP66" s="85"/>
      <c r="AQ66" s="85"/>
      <c r="AR66" s="85"/>
      <c r="AS66" s="85"/>
      <c r="AT66" s="85"/>
      <c r="AU66" s="85"/>
      <c r="AV66" s="85"/>
      <c r="AW66" s="85"/>
      <c r="AX66" s="85"/>
      <c r="AY66" s="85"/>
      <c r="AZ66" s="85"/>
      <c r="BA66" s="85"/>
      <c r="BB66" s="85"/>
      <c r="BC66" s="85"/>
      <c r="BD66" s="85"/>
      <c r="BE66" s="85"/>
      <c r="BF66" s="85"/>
      <c r="BG66" s="85"/>
      <c r="BH66" s="85"/>
      <c r="BI66" s="85"/>
      <c r="BJ66" s="85"/>
      <c r="BK66" s="85"/>
    </row>
    <row r="67" spans="8:63" x14ac:dyDescent="0.3">
      <c r="H67" s="3"/>
      <c r="I67" s="85"/>
      <c r="K67" s="85"/>
      <c r="L67" s="85"/>
      <c r="M67" s="85"/>
      <c r="N67" s="85"/>
      <c r="O67" s="85"/>
      <c r="P67" s="85"/>
      <c r="Q67" s="85"/>
      <c r="R67" s="85"/>
      <c r="S67" s="85"/>
      <c r="T67" s="85"/>
      <c r="U67" s="85"/>
      <c r="V67" s="85"/>
      <c r="W67" s="85"/>
      <c r="X67" s="85"/>
      <c r="Y67" s="85"/>
      <c r="Z67" s="85"/>
      <c r="AA67" s="85"/>
      <c r="AB67" s="85"/>
      <c r="AC67" s="85"/>
      <c r="AD67" s="85"/>
      <c r="AE67" s="85"/>
      <c r="AF67" s="85"/>
      <c r="AG67" s="85"/>
      <c r="AH67" s="85"/>
      <c r="AI67" s="85"/>
      <c r="AJ67" s="85"/>
      <c r="AK67" s="85"/>
      <c r="AL67" s="85"/>
      <c r="AM67" s="85"/>
      <c r="AN67" s="85"/>
      <c r="AO67" s="85"/>
      <c r="AP67" s="85"/>
      <c r="AQ67" s="85"/>
      <c r="AR67" s="85"/>
      <c r="AS67" s="85"/>
      <c r="AT67" s="85"/>
      <c r="AU67" s="85"/>
      <c r="AV67" s="85"/>
      <c r="AW67" s="85"/>
      <c r="AX67" s="85"/>
      <c r="AY67" s="85"/>
      <c r="AZ67" s="85"/>
      <c r="BA67" s="85"/>
      <c r="BB67" s="85"/>
      <c r="BC67" s="85"/>
      <c r="BD67" s="85"/>
      <c r="BE67" s="85"/>
      <c r="BF67" s="85"/>
      <c r="BG67" s="85"/>
      <c r="BH67" s="85"/>
      <c r="BI67" s="85"/>
      <c r="BJ67" s="85"/>
      <c r="BK67" s="85"/>
    </row>
    <row r="68" spans="8:63" x14ac:dyDescent="0.3">
      <c r="H68" s="3"/>
      <c r="I68" s="85"/>
      <c r="K68" s="85"/>
      <c r="L68" s="85"/>
      <c r="M68" s="85"/>
      <c r="N68" s="85"/>
      <c r="O68" s="85"/>
      <c r="P68" s="85"/>
      <c r="Q68" s="85"/>
      <c r="R68" s="85"/>
      <c r="S68" s="85"/>
      <c r="T68" s="85"/>
      <c r="U68" s="85"/>
      <c r="V68" s="85"/>
      <c r="W68" s="85"/>
      <c r="X68" s="85"/>
      <c r="Y68" s="85"/>
      <c r="Z68" s="85"/>
      <c r="AA68" s="85"/>
      <c r="AB68" s="85"/>
      <c r="AC68" s="85"/>
      <c r="AD68" s="85"/>
      <c r="AE68" s="85"/>
      <c r="AF68" s="85"/>
      <c r="AG68" s="85"/>
      <c r="AH68" s="85"/>
      <c r="AI68" s="85"/>
      <c r="AJ68" s="85"/>
      <c r="AK68" s="85"/>
      <c r="AL68" s="85"/>
      <c r="AM68" s="85"/>
      <c r="AN68" s="85"/>
      <c r="AO68" s="85"/>
      <c r="AP68" s="85"/>
      <c r="AQ68" s="85"/>
      <c r="AR68" s="85"/>
      <c r="AS68" s="85"/>
      <c r="AT68" s="85"/>
      <c r="AU68" s="85"/>
      <c r="AV68" s="85"/>
      <c r="AW68" s="85"/>
      <c r="AX68" s="85"/>
      <c r="AY68" s="85"/>
      <c r="AZ68" s="85"/>
      <c r="BA68" s="85"/>
      <c r="BB68" s="85"/>
      <c r="BC68" s="85"/>
      <c r="BD68" s="85"/>
      <c r="BE68" s="85"/>
      <c r="BF68" s="85"/>
      <c r="BG68" s="85"/>
      <c r="BH68" s="85"/>
      <c r="BI68" s="85"/>
      <c r="BJ68" s="85"/>
      <c r="BK68" s="85"/>
    </row>
    <row r="69" spans="8:63" x14ac:dyDescent="0.3">
      <c r="H69" s="3"/>
      <c r="I69" s="85"/>
      <c r="K69" s="85"/>
      <c r="L69" s="85"/>
      <c r="M69" s="85"/>
      <c r="N69" s="85"/>
      <c r="O69" s="85"/>
      <c r="P69" s="85"/>
      <c r="Q69" s="85"/>
      <c r="R69" s="85"/>
      <c r="S69" s="85"/>
      <c r="T69" s="85"/>
      <c r="U69" s="85"/>
      <c r="V69" s="85"/>
      <c r="W69" s="85"/>
      <c r="X69" s="85"/>
      <c r="Y69" s="85"/>
      <c r="Z69" s="85"/>
      <c r="AA69" s="85"/>
      <c r="AB69" s="85"/>
      <c r="AC69" s="85"/>
      <c r="AD69" s="85"/>
      <c r="AE69" s="85"/>
      <c r="AF69" s="85"/>
      <c r="AG69" s="85"/>
      <c r="AH69" s="85"/>
      <c r="AI69" s="85"/>
      <c r="AJ69" s="85"/>
      <c r="AK69" s="85"/>
      <c r="AL69" s="85"/>
      <c r="AM69" s="85"/>
      <c r="AN69" s="85"/>
      <c r="AO69" s="85"/>
      <c r="AP69" s="85"/>
      <c r="AQ69" s="85"/>
      <c r="AR69" s="85"/>
      <c r="AS69" s="85"/>
      <c r="AT69" s="85"/>
      <c r="AU69" s="85"/>
      <c r="AV69" s="85"/>
      <c r="AW69" s="85"/>
      <c r="AX69" s="85"/>
      <c r="AY69" s="85"/>
      <c r="AZ69" s="85"/>
      <c r="BA69" s="85"/>
      <c r="BB69" s="85"/>
      <c r="BC69" s="85"/>
      <c r="BD69" s="85"/>
      <c r="BE69" s="85"/>
      <c r="BF69" s="85"/>
      <c r="BG69" s="85"/>
      <c r="BH69" s="85"/>
      <c r="BI69" s="85"/>
      <c r="BJ69" s="85"/>
      <c r="BK69" s="85"/>
    </row>
    <row r="70" spans="8:63" x14ac:dyDescent="0.3">
      <c r="H70" s="3"/>
      <c r="I70" s="85"/>
      <c r="K70" s="85"/>
      <c r="L70" s="85"/>
      <c r="M70" s="85"/>
      <c r="N70" s="85"/>
      <c r="O70" s="85"/>
      <c r="P70" s="85"/>
      <c r="Q70" s="85"/>
      <c r="R70" s="85"/>
      <c r="S70" s="85"/>
      <c r="T70" s="85"/>
      <c r="U70" s="85"/>
      <c r="V70" s="85"/>
      <c r="W70" s="85"/>
      <c r="X70" s="85"/>
      <c r="Y70" s="85"/>
      <c r="Z70" s="85"/>
      <c r="AA70" s="85"/>
      <c r="AB70" s="85"/>
      <c r="AC70" s="85"/>
      <c r="AD70" s="85"/>
      <c r="AE70" s="85"/>
      <c r="AF70" s="85"/>
      <c r="AG70" s="85"/>
      <c r="AH70" s="85"/>
      <c r="AI70" s="85"/>
      <c r="AJ70" s="85"/>
      <c r="AK70" s="85"/>
      <c r="AL70" s="85"/>
      <c r="AM70" s="85"/>
      <c r="AN70" s="85"/>
      <c r="AO70" s="85"/>
      <c r="AP70" s="85"/>
      <c r="AQ70" s="85"/>
      <c r="AR70" s="85"/>
      <c r="AS70" s="85"/>
      <c r="AT70" s="85"/>
      <c r="AU70" s="85"/>
      <c r="AV70" s="85"/>
      <c r="AW70" s="85"/>
      <c r="AX70" s="85"/>
      <c r="AY70" s="85"/>
      <c r="AZ70" s="85"/>
      <c r="BA70" s="85"/>
      <c r="BB70" s="85"/>
      <c r="BC70" s="85"/>
      <c r="BD70" s="85"/>
      <c r="BE70" s="85"/>
      <c r="BF70" s="85"/>
      <c r="BG70" s="85"/>
      <c r="BH70" s="85"/>
      <c r="BI70" s="85"/>
      <c r="BJ70" s="85"/>
      <c r="BK70" s="85"/>
    </row>
    <row r="71" spans="8:63" x14ac:dyDescent="0.3">
      <c r="H71" s="3"/>
      <c r="I71" s="85"/>
      <c r="K71" s="85"/>
      <c r="L71" s="85"/>
      <c r="M71" s="85"/>
      <c r="N71" s="85"/>
      <c r="O71" s="85"/>
      <c r="P71" s="85"/>
      <c r="Q71" s="85"/>
      <c r="R71" s="85"/>
      <c r="S71" s="85"/>
      <c r="T71" s="85"/>
      <c r="U71" s="85"/>
      <c r="V71" s="85"/>
      <c r="W71" s="85"/>
      <c r="X71" s="85"/>
      <c r="Y71" s="85"/>
      <c r="Z71" s="85"/>
      <c r="AA71" s="85"/>
      <c r="AB71" s="85"/>
      <c r="AC71" s="85"/>
      <c r="AD71" s="85"/>
      <c r="AE71" s="85"/>
      <c r="AF71" s="85"/>
      <c r="AG71" s="85"/>
      <c r="AH71" s="85"/>
      <c r="AI71" s="85"/>
      <c r="AJ71" s="85"/>
      <c r="AK71" s="85"/>
      <c r="AL71" s="85"/>
      <c r="AM71" s="85"/>
      <c r="AN71" s="85"/>
      <c r="AO71" s="85"/>
      <c r="AP71" s="85"/>
      <c r="AQ71" s="85"/>
      <c r="AR71" s="85"/>
      <c r="AS71" s="85"/>
      <c r="AT71" s="85"/>
      <c r="AU71" s="85"/>
      <c r="AV71" s="85"/>
      <c r="AW71" s="85"/>
      <c r="AX71" s="85"/>
      <c r="AY71" s="85"/>
      <c r="AZ71" s="85"/>
      <c r="BA71" s="85"/>
      <c r="BB71" s="85"/>
      <c r="BC71" s="85"/>
      <c r="BD71" s="85"/>
      <c r="BE71" s="85"/>
      <c r="BF71" s="85"/>
      <c r="BG71" s="85"/>
      <c r="BH71" s="85"/>
      <c r="BI71" s="85"/>
      <c r="BJ71" s="85"/>
      <c r="BK71" s="85"/>
    </row>
    <row r="72" spans="8:63" x14ac:dyDescent="0.3">
      <c r="H72" s="3"/>
      <c r="I72" s="85"/>
      <c r="K72" s="85"/>
      <c r="L72" s="85"/>
      <c r="M72" s="85"/>
      <c r="N72" s="85"/>
      <c r="O72" s="85"/>
      <c r="P72" s="85"/>
      <c r="Q72" s="85"/>
      <c r="R72" s="85"/>
      <c r="S72" s="85"/>
      <c r="T72" s="85"/>
      <c r="U72" s="85"/>
      <c r="V72" s="85"/>
      <c r="W72" s="85"/>
      <c r="X72" s="85"/>
      <c r="Y72" s="85"/>
      <c r="Z72" s="85"/>
      <c r="AA72" s="85"/>
      <c r="AB72" s="85"/>
      <c r="AC72" s="85"/>
      <c r="AD72" s="85"/>
      <c r="AE72" s="85"/>
      <c r="AF72" s="85"/>
      <c r="AG72" s="85"/>
      <c r="AH72" s="85"/>
      <c r="AI72" s="85"/>
      <c r="AJ72" s="85"/>
      <c r="AK72" s="85"/>
      <c r="AL72" s="85"/>
      <c r="AM72" s="85"/>
      <c r="AN72" s="85"/>
      <c r="AO72" s="85"/>
      <c r="AP72" s="85"/>
      <c r="AQ72" s="85"/>
      <c r="AR72" s="85"/>
      <c r="AS72" s="85"/>
      <c r="AT72" s="85"/>
      <c r="AU72" s="85"/>
      <c r="AV72" s="85"/>
      <c r="AW72" s="85"/>
      <c r="AX72" s="85"/>
      <c r="AY72" s="85"/>
      <c r="AZ72" s="85"/>
      <c r="BA72" s="85"/>
      <c r="BB72" s="85"/>
      <c r="BC72" s="85"/>
      <c r="BD72" s="85"/>
      <c r="BE72" s="85"/>
      <c r="BF72" s="85"/>
      <c r="BG72" s="85"/>
      <c r="BH72" s="85"/>
      <c r="BI72" s="85"/>
      <c r="BJ72" s="85"/>
      <c r="BK72" s="85"/>
    </row>
    <row r="73" spans="8:63" x14ac:dyDescent="0.3">
      <c r="H73" s="3"/>
      <c r="I73" s="85"/>
      <c r="K73" s="85"/>
      <c r="L73" s="85"/>
      <c r="M73" s="85"/>
      <c r="N73" s="85"/>
      <c r="O73" s="85"/>
      <c r="P73" s="85"/>
      <c r="Q73" s="85"/>
      <c r="R73" s="85"/>
      <c r="S73" s="85"/>
      <c r="T73" s="85"/>
      <c r="U73" s="85"/>
      <c r="V73" s="85"/>
      <c r="W73" s="85"/>
      <c r="X73" s="85"/>
      <c r="Y73" s="85"/>
      <c r="Z73" s="85"/>
      <c r="AA73" s="85"/>
      <c r="AB73" s="85"/>
      <c r="AC73" s="85"/>
      <c r="AD73" s="85"/>
      <c r="AE73" s="85"/>
      <c r="AF73" s="85"/>
      <c r="AG73" s="85"/>
      <c r="AH73" s="85"/>
      <c r="AI73" s="85"/>
      <c r="AJ73" s="85"/>
      <c r="AK73" s="85"/>
      <c r="AL73" s="85"/>
      <c r="AM73" s="85"/>
      <c r="AN73" s="85"/>
      <c r="AO73" s="85"/>
      <c r="AP73" s="85"/>
      <c r="AQ73" s="85"/>
      <c r="AR73" s="85"/>
      <c r="AS73" s="85"/>
      <c r="AT73" s="85"/>
      <c r="AU73" s="85"/>
      <c r="AV73" s="85"/>
      <c r="AW73" s="85"/>
      <c r="AX73" s="85"/>
      <c r="AY73" s="85"/>
      <c r="AZ73" s="85"/>
      <c r="BA73" s="85"/>
      <c r="BB73" s="85"/>
      <c r="BC73" s="85"/>
      <c r="BD73" s="85"/>
      <c r="BE73" s="85"/>
      <c r="BF73" s="85"/>
      <c r="BG73" s="85"/>
      <c r="BH73" s="85"/>
      <c r="BI73" s="85"/>
      <c r="BJ73" s="85"/>
      <c r="BK73" s="85"/>
    </row>
    <row r="74" spans="8:63" x14ac:dyDescent="0.3">
      <c r="H74" s="3"/>
      <c r="I74" s="85"/>
      <c r="K74" s="85"/>
      <c r="L74" s="85"/>
      <c r="M74" s="85"/>
      <c r="N74" s="85"/>
      <c r="O74" s="85"/>
      <c r="P74" s="85"/>
      <c r="Q74" s="85"/>
      <c r="R74" s="85"/>
      <c r="S74" s="85"/>
      <c r="T74" s="85"/>
      <c r="U74" s="85"/>
      <c r="V74" s="85"/>
      <c r="W74" s="85"/>
      <c r="X74" s="85"/>
      <c r="Y74" s="85"/>
      <c r="Z74" s="85"/>
      <c r="AA74" s="85"/>
      <c r="AB74" s="85"/>
      <c r="AC74" s="85"/>
      <c r="AD74" s="85"/>
      <c r="AE74" s="85"/>
      <c r="AF74" s="85"/>
      <c r="AG74" s="85"/>
      <c r="AH74" s="85"/>
      <c r="AI74" s="85"/>
      <c r="AJ74" s="85"/>
      <c r="AK74" s="85"/>
      <c r="AL74" s="85"/>
      <c r="AM74" s="85"/>
      <c r="AN74" s="85"/>
      <c r="AO74" s="85"/>
      <c r="AP74" s="85"/>
      <c r="AQ74" s="85"/>
      <c r="AR74" s="85"/>
      <c r="AS74" s="85"/>
      <c r="AT74" s="85"/>
      <c r="AU74" s="85"/>
      <c r="AV74" s="85"/>
      <c r="AW74" s="85"/>
      <c r="AX74" s="85"/>
      <c r="AY74" s="85"/>
      <c r="AZ74" s="85"/>
      <c r="BA74" s="85"/>
      <c r="BB74" s="85"/>
      <c r="BC74" s="85"/>
      <c r="BD74" s="85"/>
      <c r="BE74" s="85"/>
      <c r="BF74" s="85"/>
      <c r="BG74" s="85"/>
      <c r="BH74" s="85"/>
      <c r="BI74" s="85"/>
      <c r="BJ74" s="85"/>
      <c r="BK74" s="85"/>
    </row>
    <row r="75" spans="8:63" x14ac:dyDescent="0.3">
      <c r="H75" s="3"/>
      <c r="I75" s="85"/>
      <c r="K75" s="85"/>
      <c r="L75" s="85"/>
      <c r="M75" s="85"/>
      <c r="N75" s="85"/>
      <c r="O75" s="85"/>
      <c r="P75" s="85"/>
      <c r="Q75" s="85"/>
      <c r="R75" s="85"/>
      <c r="S75" s="85"/>
      <c r="T75" s="85"/>
      <c r="U75" s="85"/>
      <c r="V75" s="85"/>
      <c r="W75" s="85"/>
      <c r="X75" s="85"/>
      <c r="Y75" s="85"/>
      <c r="Z75" s="85"/>
      <c r="AA75" s="85"/>
      <c r="AB75" s="85"/>
      <c r="AC75" s="85"/>
      <c r="AD75" s="85"/>
      <c r="AE75" s="85"/>
      <c r="AF75" s="85"/>
      <c r="AG75" s="85"/>
      <c r="AH75" s="85"/>
      <c r="AI75" s="85"/>
      <c r="AJ75" s="85"/>
      <c r="AK75" s="85"/>
      <c r="AL75" s="85"/>
      <c r="AM75" s="85"/>
      <c r="AN75" s="85"/>
      <c r="AO75" s="85"/>
      <c r="AP75" s="85"/>
      <c r="AQ75" s="85"/>
      <c r="AR75" s="85"/>
      <c r="AS75" s="85"/>
      <c r="AT75" s="85"/>
      <c r="AU75" s="85"/>
      <c r="AV75" s="85"/>
      <c r="AW75" s="85"/>
      <c r="AX75" s="85"/>
      <c r="AY75" s="85"/>
      <c r="AZ75" s="85"/>
      <c r="BA75" s="85"/>
      <c r="BB75" s="85"/>
      <c r="BC75" s="85"/>
      <c r="BD75" s="85"/>
      <c r="BE75" s="85"/>
      <c r="BF75" s="85"/>
      <c r="BG75" s="85"/>
      <c r="BH75" s="85"/>
      <c r="BI75" s="85"/>
      <c r="BJ75" s="85"/>
      <c r="BK75" s="85"/>
    </row>
    <row r="76" spans="8:63" x14ac:dyDescent="0.3">
      <c r="H76" s="3"/>
      <c r="I76" s="85"/>
      <c r="K76" s="85"/>
      <c r="L76" s="85"/>
      <c r="M76" s="85"/>
      <c r="N76" s="85"/>
      <c r="O76" s="85"/>
      <c r="P76" s="85"/>
      <c r="Q76" s="85"/>
      <c r="R76" s="85"/>
      <c r="S76" s="85"/>
      <c r="T76" s="85"/>
      <c r="U76" s="85"/>
      <c r="V76" s="85"/>
      <c r="W76" s="85"/>
      <c r="X76" s="85"/>
      <c r="Y76" s="85"/>
      <c r="Z76" s="85"/>
      <c r="AA76" s="85"/>
      <c r="AB76" s="85"/>
      <c r="AC76" s="85"/>
      <c r="AD76" s="85"/>
      <c r="AE76" s="85"/>
      <c r="AF76" s="85"/>
      <c r="AG76" s="85"/>
      <c r="AH76" s="85"/>
      <c r="AI76" s="85"/>
      <c r="AJ76" s="85"/>
      <c r="AK76" s="85"/>
      <c r="AL76" s="85"/>
      <c r="AM76" s="85"/>
      <c r="AN76" s="85"/>
      <c r="AO76" s="85"/>
      <c r="AP76" s="85"/>
      <c r="AQ76" s="85"/>
      <c r="AR76" s="85"/>
      <c r="AS76" s="85"/>
      <c r="AT76" s="85"/>
      <c r="AU76" s="85"/>
      <c r="AV76" s="85"/>
      <c r="AW76" s="85"/>
      <c r="AX76" s="85"/>
      <c r="AY76" s="85"/>
      <c r="AZ76" s="85"/>
      <c r="BA76" s="85"/>
      <c r="BB76" s="85"/>
      <c r="BC76" s="85"/>
      <c r="BD76" s="85"/>
      <c r="BE76" s="85"/>
      <c r="BF76" s="85"/>
      <c r="BG76" s="85"/>
      <c r="BH76" s="85"/>
      <c r="BI76" s="85"/>
      <c r="BJ76" s="85"/>
      <c r="BK76" s="85"/>
    </row>
    <row r="77" spans="8:63" x14ac:dyDescent="0.3">
      <c r="H77" s="3"/>
      <c r="I77" s="85"/>
      <c r="K77" s="85"/>
      <c r="L77" s="85"/>
      <c r="M77" s="85"/>
      <c r="N77" s="85"/>
      <c r="O77" s="85"/>
      <c r="P77" s="85"/>
      <c r="Q77" s="85"/>
      <c r="R77" s="85"/>
      <c r="S77" s="85"/>
      <c r="T77" s="85"/>
      <c r="U77" s="85"/>
      <c r="V77" s="85"/>
      <c r="W77" s="85"/>
      <c r="X77" s="85"/>
      <c r="Y77" s="85"/>
      <c r="Z77" s="85"/>
      <c r="AA77" s="85"/>
      <c r="AB77" s="85"/>
      <c r="AC77" s="85"/>
      <c r="AD77" s="85"/>
      <c r="AE77" s="85"/>
      <c r="AF77" s="85"/>
      <c r="AG77" s="85"/>
      <c r="AH77" s="85"/>
      <c r="AI77" s="85"/>
      <c r="AJ77" s="85"/>
      <c r="AK77" s="85"/>
      <c r="AL77" s="85"/>
      <c r="AM77" s="85"/>
      <c r="AN77" s="85"/>
      <c r="AO77" s="85"/>
      <c r="AP77" s="85"/>
      <c r="AQ77" s="85"/>
      <c r="AR77" s="85"/>
      <c r="AS77" s="85"/>
      <c r="AT77" s="85"/>
      <c r="AU77" s="85"/>
      <c r="AV77" s="85"/>
      <c r="AW77" s="85"/>
      <c r="AX77" s="85"/>
      <c r="AY77" s="85"/>
      <c r="AZ77" s="85"/>
      <c r="BA77" s="85"/>
      <c r="BB77" s="85"/>
      <c r="BC77" s="85"/>
      <c r="BD77" s="85"/>
      <c r="BE77" s="85"/>
      <c r="BF77" s="85"/>
      <c r="BG77" s="85"/>
      <c r="BH77" s="85"/>
      <c r="BI77" s="85"/>
      <c r="BJ77" s="85"/>
      <c r="BK77" s="85"/>
    </row>
    <row r="78" spans="8:63" x14ac:dyDescent="0.3">
      <c r="H78" s="3"/>
      <c r="I78" s="85"/>
      <c r="K78" s="85"/>
      <c r="L78" s="85"/>
      <c r="M78" s="85"/>
      <c r="N78" s="85"/>
      <c r="O78" s="85"/>
      <c r="P78" s="85"/>
      <c r="Q78" s="85"/>
      <c r="R78" s="85"/>
      <c r="S78" s="85"/>
      <c r="T78" s="85"/>
      <c r="U78" s="85"/>
      <c r="V78" s="85"/>
      <c r="W78" s="85"/>
      <c r="X78" s="85"/>
      <c r="Y78" s="85"/>
      <c r="Z78" s="85"/>
      <c r="AA78" s="85"/>
      <c r="AB78" s="85"/>
      <c r="AC78" s="85"/>
      <c r="AD78" s="85"/>
      <c r="AE78" s="85"/>
      <c r="AF78" s="85"/>
      <c r="AG78" s="85"/>
      <c r="AH78" s="85"/>
      <c r="AI78" s="85"/>
      <c r="AJ78" s="85"/>
      <c r="AK78" s="85"/>
      <c r="AL78" s="85"/>
      <c r="AM78" s="85"/>
      <c r="AN78" s="85"/>
      <c r="AO78" s="85"/>
      <c r="AP78" s="85"/>
      <c r="AQ78" s="85"/>
      <c r="AR78" s="85"/>
      <c r="AS78" s="85"/>
      <c r="AT78" s="85"/>
      <c r="AU78" s="85"/>
      <c r="AV78" s="85"/>
      <c r="AW78" s="85"/>
      <c r="AX78" s="85"/>
      <c r="AY78" s="85"/>
      <c r="AZ78" s="85"/>
      <c r="BA78" s="85"/>
      <c r="BB78" s="85"/>
      <c r="BC78" s="85"/>
      <c r="BD78" s="85"/>
      <c r="BE78" s="85"/>
      <c r="BF78" s="85"/>
      <c r="BG78" s="85"/>
      <c r="BH78" s="85"/>
      <c r="BI78" s="85"/>
      <c r="BJ78" s="85"/>
      <c r="BK78" s="85"/>
    </row>
    <row r="79" spans="8:63" x14ac:dyDescent="0.3">
      <c r="H79" s="3"/>
      <c r="I79" s="85"/>
      <c r="K79" s="85"/>
      <c r="L79" s="85"/>
      <c r="M79" s="85"/>
      <c r="N79" s="85"/>
      <c r="O79" s="85"/>
      <c r="P79" s="85"/>
      <c r="Q79" s="85"/>
      <c r="R79" s="85"/>
      <c r="S79" s="85"/>
      <c r="T79" s="85"/>
      <c r="U79" s="85"/>
      <c r="V79" s="85"/>
      <c r="W79" s="85"/>
      <c r="X79" s="85"/>
      <c r="Y79" s="85"/>
      <c r="Z79" s="85"/>
      <c r="AA79" s="85"/>
      <c r="AB79" s="85"/>
      <c r="AC79" s="85"/>
      <c r="AD79" s="85"/>
      <c r="AE79" s="85"/>
      <c r="AF79" s="85"/>
      <c r="AG79" s="85"/>
      <c r="AH79" s="85"/>
      <c r="AI79" s="85"/>
      <c r="AJ79" s="85"/>
      <c r="AK79" s="85"/>
      <c r="AL79" s="85"/>
      <c r="AM79" s="85"/>
      <c r="AN79" s="85"/>
      <c r="AO79" s="85"/>
      <c r="AP79" s="85"/>
      <c r="AQ79" s="85"/>
      <c r="AR79" s="85"/>
      <c r="AS79" s="85"/>
      <c r="AT79" s="85"/>
      <c r="AU79" s="85"/>
      <c r="AV79" s="85"/>
      <c r="AW79" s="85"/>
      <c r="AX79" s="85"/>
      <c r="AY79" s="85"/>
      <c r="AZ79" s="85"/>
      <c r="BA79" s="85"/>
      <c r="BB79" s="85"/>
      <c r="BC79" s="85"/>
      <c r="BD79" s="85"/>
      <c r="BE79" s="85"/>
      <c r="BF79" s="85"/>
      <c r="BG79" s="85"/>
      <c r="BH79" s="85"/>
      <c r="BI79" s="85"/>
      <c r="BJ79" s="85"/>
      <c r="BK79" s="85"/>
    </row>
    <row r="80" spans="8:63" x14ac:dyDescent="0.3">
      <c r="H80" s="3"/>
      <c r="I80" s="85"/>
      <c r="K80" s="85"/>
      <c r="L80" s="85"/>
      <c r="M80" s="85"/>
      <c r="N80" s="85"/>
      <c r="O80" s="85"/>
      <c r="P80" s="85"/>
      <c r="Q80" s="85"/>
      <c r="R80" s="85"/>
      <c r="S80" s="85"/>
      <c r="T80" s="85"/>
      <c r="U80" s="85"/>
      <c r="V80" s="85"/>
      <c r="W80" s="85"/>
      <c r="X80" s="85"/>
      <c r="Y80" s="85"/>
      <c r="Z80" s="85"/>
      <c r="AA80" s="85"/>
      <c r="AB80" s="85"/>
      <c r="AC80" s="85"/>
      <c r="AD80" s="85"/>
      <c r="AE80" s="85"/>
      <c r="AF80" s="85"/>
      <c r="AG80" s="85"/>
      <c r="AH80" s="85"/>
      <c r="AI80" s="85"/>
      <c r="AJ80" s="85"/>
      <c r="AK80" s="85"/>
      <c r="AL80" s="85"/>
      <c r="AM80" s="85"/>
      <c r="AN80" s="85"/>
      <c r="AO80" s="85"/>
      <c r="AP80" s="85"/>
      <c r="AQ80" s="85"/>
      <c r="AR80" s="85"/>
      <c r="AS80" s="85"/>
      <c r="AT80" s="85"/>
      <c r="AU80" s="85"/>
      <c r="AV80" s="85"/>
      <c r="AW80" s="85"/>
      <c r="AX80" s="85"/>
      <c r="AY80" s="85"/>
      <c r="AZ80" s="85"/>
      <c r="BA80" s="85"/>
      <c r="BB80" s="85"/>
      <c r="BC80" s="85"/>
      <c r="BD80" s="85"/>
      <c r="BE80" s="85"/>
      <c r="BF80" s="85"/>
      <c r="BG80" s="85"/>
      <c r="BH80" s="85"/>
      <c r="BI80" s="85"/>
      <c r="BJ80" s="85"/>
      <c r="BK80" s="85"/>
    </row>
    <row r="81" spans="8:63" x14ac:dyDescent="0.3">
      <c r="H81" s="3"/>
      <c r="I81" s="85"/>
      <c r="K81" s="85"/>
      <c r="L81" s="85"/>
      <c r="M81" s="85"/>
      <c r="N81" s="85"/>
      <c r="O81" s="85"/>
      <c r="P81" s="85"/>
      <c r="Q81" s="85"/>
      <c r="R81" s="85"/>
      <c r="S81" s="85"/>
      <c r="T81" s="85"/>
      <c r="U81" s="85"/>
      <c r="V81" s="85"/>
      <c r="W81" s="85"/>
      <c r="X81" s="85"/>
      <c r="Y81" s="85"/>
      <c r="Z81" s="85"/>
      <c r="AA81" s="85"/>
      <c r="AB81" s="85"/>
      <c r="AC81" s="85"/>
      <c r="AD81" s="85"/>
      <c r="AE81" s="85"/>
      <c r="AF81" s="85"/>
      <c r="AG81" s="85"/>
      <c r="AH81" s="85"/>
      <c r="AI81" s="85"/>
      <c r="AJ81" s="85"/>
      <c r="AK81" s="85"/>
      <c r="AL81" s="85"/>
      <c r="AM81" s="85"/>
      <c r="AN81" s="85"/>
      <c r="AO81" s="85"/>
      <c r="AP81" s="85"/>
      <c r="AQ81" s="85"/>
      <c r="AR81" s="85"/>
      <c r="AS81" s="85"/>
      <c r="AT81" s="85"/>
      <c r="AU81" s="85"/>
      <c r="AV81" s="85"/>
      <c r="AW81" s="85"/>
      <c r="AX81" s="85"/>
      <c r="AY81" s="85"/>
      <c r="AZ81" s="85"/>
      <c r="BA81" s="85"/>
      <c r="BB81" s="85"/>
      <c r="BC81" s="85"/>
      <c r="BD81" s="85"/>
      <c r="BE81" s="85"/>
      <c r="BF81" s="85"/>
      <c r="BG81" s="85"/>
      <c r="BH81" s="85"/>
      <c r="BI81" s="85"/>
      <c r="BJ81" s="85"/>
      <c r="BK81" s="85"/>
    </row>
    <row r="82" spans="8:63" x14ac:dyDescent="0.3">
      <c r="H82" s="3"/>
      <c r="I82" s="85"/>
      <c r="K82" s="85"/>
      <c r="L82" s="85"/>
      <c r="M82" s="85"/>
      <c r="N82" s="85"/>
      <c r="O82" s="85"/>
      <c r="P82" s="85"/>
      <c r="Q82" s="85"/>
      <c r="R82" s="85"/>
      <c r="S82" s="85"/>
      <c r="T82" s="85"/>
      <c r="U82" s="85"/>
      <c r="V82" s="85"/>
      <c r="W82" s="85"/>
      <c r="X82" s="85"/>
      <c r="Y82" s="85"/>
      <c r="Z82" s="85"/>
      <c r="AA82" s="85"/>
      <c r="AB82" s="85"/>
      <c r="AC82" s="85"/>
      <c r="AD82" s="85"/>
      <c r="AE82" s="85"/>
      <c r="AF82" s="85"/>
      <c r="AG82" s="85"/>
      <c r="AH82" s="85"/>
      <c r="AI82" s="85"/>
      <c r="AJ82" s="85"/>
      <c r="AK82" s="85"/>
      <c r="AL82" s="85"/>
      <c r="AM82" s="85"/>
      <c r="AN82" s="85"/>
      <c r="AO82" s="85"/>
      <c r="AP82" s="85"/>
      <c r="AQ82" s="85"/>
      <c r="AR82" s="85"/>
      <c r="AS82" s="85"/>
      <c r="AT82" s="85"/>
      <c r="AU82" s="85"/>
      <c r="AV82" s="85"/>
      <c r="AW82" s="85"/>
      <c r="AX82" s="85"/>
      <c r="AY82" s="85"/>
      <c r="AZ82" s="85"/>
      <c r="BA82" s="85"/>
      <c r="BB82" s="85"/>
      <c r="BC82" s="85"/>
      <c r="BD82" s="85"/>
      <c r="BE82" s="85"/>
      <c r="BF82" s="85"/>
      <c r="BG82" s="85"/>
      <c r="BH82" s="85"/>
      <c r="BI82" s="85"/>
      <c r="BJ82" s="85"/>
      <c r="BK82" s="85"/>
    </row>
    <row r="83" spans="8:63" x14ac:dyDescent="0.3">
      <c r="H83" s="3"/>
      <c r="I83" s="85"/>
      <c r="K83" s="85"/>
      <c r="L83" s="85"/>
      <c r="M83" s="85"/>
      <c r="N83" s="85"/>
      <c r="O83" s="85"/>
      <c r="P83" s="85"/>
      <c r="Q83" s="85"/>
      <c r="R83" s="85"/>
      <c r="S83" s="85"/>
      <c r="T83" s="85"/>
      <c r="U83" s="85"/>
      <c r="V83" s="85"/>
      <c r="W83" s="85"/>
      <c r="X83" s="85"/>
      <c r="Y83" s="85"/>
      <c r="Z83" s="85"/>
      <c r="AA83" s="85"/>
      <c r="AB83" s="85"/>
      <c r="AC83" s="85"/>
      <c r="AD83" s="85"/>
      <c r="AE83" s="85"/>
      <c r="AF83" s="85"/>
      <c r="AG83" s="85"/>
      <c r="AH83" s="85"/>
      <c r="AI83" s="85"/>
      <c r="AJ83" s="85"/>
      <c r="AK83" s="85"/>
      <c r="AL83" s="85"/>
      <c r="AM83" s="85"/>
      <c r="AN83" s="85"/>
      <c r="AO83" s="85"/>
      <c r="AP83" s="85"/>
      <c r="AQ83" s="85"/>
      <c r="AR83" s="85"/>
      <c r="AS83" s="85"/>
      <c r="AT83" s="85"/>
      <c r="AU83" s="85"/>
      <c r="AV83" s="85"/>
      <c r="AW83" s="85"/>
      <c r="AX83" s="85"/>
      <c r="AY83" s="85"/>
      <c r="AZ83" s="85"/>
      <c r="BA83" s="85"/>
      <c r="BB83" s="85"/>
      <c r="BC83" s="85"/>
      <c r="BD83" s="85"/>
      <c r="BE83" s="85"/>
      <c r="BF83" s="85"/>
      <c r="BG83" s="85"/>
      <c r="BH83" s="85"/>
      <c r="BI83" s="85"/>
      <c r="BJ83" s="85"/>
      <c r="BK83" s="85"/>
    </row>
    <row r="84" spans="8:63" x14ac:dyDescent="0.3">
      <c r="H84" s="3"/>
      <c r="I84" s="85"/>
      <c r="K84" s="85"/>
      <c r="L84" s="85"/>
      <c r="M84" s="85"/>
      <c r="N84" s="85"/>
      <c r="O84" s="85"/>
      <c r="P84" s="85"/>
      <c r="Q84" s="85"/>
      <c r="R84" s="85"/>
      <c r="S84" s="85"/>
      <c r="T84" s="85"/>
      <c r="U84" s="85"/>
      <c r="V84" s="85"/>
      <c r="W84" s="85"/>
      <c r="X84" s="85"/>
      <c r="Y84" s="85"/>
      <c r="Z84" s="85"/>
      <c r="AA84" s="85"/>
      <c r="AB84" s="85"/>
      <c r="AC84" s="85"/>
      <c r="AD84" s="85"/>
      <c r="AE84" s="85"/>
      <c r="AF84" s="85"/>
      <c r="AG84" s="85"/>
      <c r="AH84" s="85"/>
      <c r="AI84" s="85"/>
      <c r="AJ84" s="85"/>
      <c r="AK84" s="85"/>
      <c r="AL84" s="85"/>
      <c r="AM84" s="85"/>
      <c r="AN84" s="85"/>
      <c r="AO84" s="85"/>
      <c r="AP84" s="85"/>
      <c r="AQ84" s="85"/>
      <c r="AR84" s="85"/>
      <c r="AS84" s="85"/>
      <c r="AT84" s="85"/>
      <c r="AU84" s="85"/>
      <c r="AV84" s="85"/>
      <c r="AW84" s="85"/>
      <c r="AX84" s="85"/>
      <c r="AY84" s="85"/>
      <c r="AZ84" s="85"/>
      <c r="BA84" s="85"/>
      <c r="BB84" s="85"/>
      <c r="BC84" s="85"/>
      <c r="BD84" s="85"/>
      <c r="BE84" s="85"/>
      <c r="BF84" s="85"/>
      <c r="BG84" s="85"/>
      <c r="BH84" s="85"/>
      <c r="BI84" s="85"/>
      <c r="BJ84" s="85"/>
      <c r="BK84" s="85"/>
    </row>
    <row r="85" spans="8:63" x14ac:dyDescent="0.3">
      <c r="H85" s="3"/>
      <c r="I85" s="85"/>
      <c r="K85" s="85"/>
      <c r="L85" s="85"/>
      <c r="M85" s="85"/>
      <c r="N85" s="85"/>
      <c r="O85" s="85"/>
      <c r="P85" s="85"/>
      <c r="Q85" s="85"/>
      <c r="R85" s="85"/>
      <c r="S85" s="85"/>
      <c r="T85" s="85"/>
      <c r="U85" s="85"/>
      <c r="V85" s="85"/>
      <c r="W85" s="85"/>
      <c r="X85" s="85"/>
      <c r="Y85" s="85"/>
      <c r="Z85" s="85"/>
      <c r="AA85" s="85"/>
      <c r="AB85" s="85"/>
      <c r="AC85" s="85"/>
      <c r="AD85" s="85"/>
      <c r="AE85" s="85"/>
      <c r="AF85" s="85"/>
      <c r="AG85" s="85"/>
      <c r="AH85" s="85"/>
      <c r="AI85" s="85"/>
      <c r="AJ85" s="85"/>
      <c r="AK85" s="85"/>
      <c r="AL85" s="85"/>
      <c r="AM85" s="85"/>
      <c r="AN85" s="85"/>
      <c r="AO85" s="85"/>
      <c r="AP85" s="85"/>
      <c r="AQ85" s="85"/>
      <c r="AR85" s="85"/>
      <c r="AS85" s="85"/>
      <c r="AT85" s="85"/>
      <c r="AU85" s="85"/>
      <c r="AV85" s="85"/>
      <c r="AW85" s="85"/>
      <c r="AX85" s="85"/>
      <c r="AY85" s="85"/>
      <c r="AZ85" s="85"/>
      <c r="BA85" s="85"/>
      <c r="BB85" s="85"/>
      <c r="BC85" s="85"/>
      <c r="BD85" s="85"/>
      <c r="BE85" s="85"/>
      <c r="BF85" s="85"/>
      <c r="BG85" s="85"/>
      <c r="BH85" s="85"/>
      <c r="BI85" s="85"/>
      <c r="BJ85" s="85"/>
      <c r="BK85" s="85"/>
    </row>
    <row r="86" spans="8:63" x14ac:dyDescent="0.3">
      <c r="H86" s="3"/>
      <c r="I86" s="85"/>
      <c r="K86" s="85"/>
      <c r="L86" s="85"/>
      <c r="M86" s="85"/>
      <c r="N86" s="85"/>
      <c r="O86" s="85"/>
      <c r="P86" s="85"/>
      <c r="Q86" s="85"/>
      <c r="R86" s="85"/>
      <c r="S86" s="85"/>
      <c r="T86" s="85"/>
      <c r="U86" s="85"/>
      <c r="V86" s="85"/>
      <c r="W86" s="85"/>
      <c r="X86" s="85"/>
      <c r="Y86" s="85"/>
      <c r="Z86" s="85"/>
      <c r="AA86" s="85"/>
      <c r="AB86" s="85"/>
      <c r="AC86" s="85"/>
      <c r="AD86" s="85"/>
      <c r="AE86" s="85"/>
      <c r="AF86" s="85"/>
      <c r="AG86" s="85"/>
      <c r="AH86" s="85"/>
      <c r="AI86" s="85"/>
      <c r="AJ86" s="85"/>
      <c r="AK86" s="85"/>
      <c r="AL86" s="85"/>
      <c r="AM86" s="85"/>
      <c r="AN86" s="85"/>
      <c r="AO86" s="85"/>
      <c r="AP86" s="85"/>
      <c r="AQ86" s="85"/>
      <c r="AR86" s="85"/>
      <c r="AS86" s="85"/>
      <c r="AT86" s="85"/>
      <c r="AU86" s="85"/>
      <c r="AV86" s="85"/>
      <c r="AW86" s="85"/>
      <c r="AX86" s="85"/>
      <c r="AY86" s="85"/>
      <c r="AZ86" s="85"/>
      <c r="BA86" s="85"/>
      <c r="BB86" s="85"/>
      <c r="BC86" s="85"/>
      <c r="BD86" s="85"/>
      <c r="BE86" s="85"/>
      <c r="BF86" s="85"/>
      <c r="BG86" s="85"/>
      <c r="BH86" s="85"/>
      <c r="BI86" s="85"/>
      <c r="BJ86" s="85"/>
      <c r="BK86" s="85"/>
    </row>
    <row r="87" spans="8:63" x14ac:dyDescent="0.3">
      <c r="H87" s="3"/>
      <c r="I87" s="85"/>
      <c r="K87" s="85"/>
      <c r="L87" s="85"/>
      <c r="M87" s="85"/>
      <c r="N87" s="85"/>
      <c r="O87" s="85"/>
      <c r="P87" s="85"/>
      <c r="Q87" s="85"/>
      <c r="R87" s="85"/>
      <c r="S87" s="85"/>
      <c r="T87" s="85"/>
      <c r="U87" s="85"/>
      <c r="V87" s="85"/>
      <c r="W87" s="85"/>
      <c r="X87" s="85"/>
      <c r="Y87" s="85"/>
      <c r="Z87" s="85"/>
      <c r="AA87" s="85"/>
      <c r="AB87" s="85"/>
      <c r="AC87" s="85"/>
      <c r="AD87" s="85"/>
      <c r="AE87" s="85"/>
      <c r="AF87" s="85"/>
      <c r="AG87" s="85"/>
      <c r="AH87" s="85"/>
      <c r="AI87" s="85"/>
      <c r="AJ87" s="85"/>
      <c r="AK87" s="85"/>
      <c r="AL87" s="85"/>
      <c r="AM87" s="85"/>
      <c r="AN87" s="85"/>
      <c r="AO87" s="85"/>
      <c r="AP87" s="85"/>
      <c r="AQ87" s="85"/>
      <c r="AR87" s="85"/>
      <c r="AS87" s="85"/>
      <c r="AT87" s="85"/>
      <c r="AU87" s="85"/>
      <c r="AV87" s="85"/>
      <c r="AW87" s="85"/>
      <c r="AX87" s="85"/>
      <c r="AY87" s="85"/>
      <c r="AZ87" s="85"/>
      <c r="BA87" s="85"/>
      <c r="BB87" s="85"/>
      <c r="BC87" s="85"/>
      <c r="BD87" s="85"/>
      <c r="BE87" s="85"/>
      <c r="BF87" s="85"/>
      <c r="BG87" s="85"/>
      <c r="BH87" s="85"/>
      <c r="BI87" s="85"/>
      <c r="BJ87" s="85"/>
      <c r="BK87" s="85"/>
    </row>
    <row r="88" spans="8:63" x14ac:dyDescent="0.3">
      <c r="H88" s="3"/>
      <c r="I88" s="85"/>
      <c r="K88" s="85"/>
      <c r="L88" s="85"/>
      <c r="M88" s="85"/>
      <c r="N88" s="85"/>
      <c r="O88" s="85"/>
      <c r="P88" s="85"/>
      <c r="Q88" s="85"/>
      <c r="R88" s="85"/>
      <c r="S88" s="85"/>
      <c r="T88" s="85"/>
      <c r="U88" s="85"/>
      <c r="V88" s="85"/>
      <c r="W88" s="85"/>
      <c r="X88" s="85"/>
      <c r="Y88" s="85"/>
      <c r="Z88" s="85"/>
      <c r="AA88" s="85"/>
      <c r="AB88" s="85"/>
      <c r="AC88" s="85"/>
      <c r="AD88" s="85"/>
      <c r="AE88" s="85"/>
      <c r="AF88" s="85"/>
      <c r="AG88" s="85"/>
      <c r="AH88" s="85"/>
      <c r="AI88" s="85"/>
      <c r="AJ88" s="85"/>
      <c r="AK88" s="85"/>
      <c r="AL88" s="85"/>
      <c r="AM88" s="85"/>
      <c r="AN88" s="85"/>
      <c r="AO88" s="85"/>
      <c r="AP88" s="85"/>
      <c r="AQ88" s="85"/>
      <c r="AR88" s="85"/>
      <c r="AS88" s="85"/>
      <c r="AT88" s="85"/>
      <c r="AU88" s="85"/>
      <c r="AV88" s="85"/>
      <c r="AW88" s="85"/>
      <c r="AX88" s="85"/>
      <c r="AY88" s="85"/>
      <c r="AZ88" s="85"/>
      <c r="BA88" s="85"/>
      <c r="BB88" s="85"/>
      <c r="BC88" s="85"/>
      <c r="BD88" s="85"/>
      <c r="BE88" s="85"/>
      <c r="BF88" s="85"/>
      <c r="BG88" s="85"/>
      <c r="BH88" s="85"/>
      <c r="BI88" s="85"/>
      <c r="BJ88" s="85"/>
      <c r="BK88" s="85"/>
    </row>
    <row r="89" spans="8:63" x14ac:dyDescent="0.3">
      <c r="H89" s="86"/>
      <c r="I89" s="87"/>
      <c r="K89" s="87"/>
      <c r="L89" s="87"/>
      <c r="M89" s="87"/>
      <c r="N89" s="87"/>
      <c r="O89" s="87"/>
      <c r="P89" s="87"/>
      <c r="Q89" s="87"/>
      <c r="R89" s="87"/>
      <c r="S89" s="87"/>
      <c r="T89" s="87"/>
      <c r="U89" s="87"/>
      <c r="V89" s="87"/>
      <c r="W89" s="87"/>
      <c r="X89" s="87"/>
      <c r="Y89" s="87"/>
      <c r="Z89" s="87"/>
      <c r="AA89" s="87"/>
      <c r="AB89" s="87"/>
      <c r="AC89" s="87"/>
      <c r="AD89" s="87"/>
      <c r="AE89" s="87"/>
      <c r="AF89" s="87"/>
      <c r="AG89" s="87"/>
      <c r="AH89" s="87"/>
      <c r="AI89" s="87"/>
      <c r="AJ89" s="87"/>
      <c r="AK89" s="87"/>
      <c r="AL89" s="87"/>
      <c r="AM89" s="87"/>
      <c r="AN89" s="87"/>
      <c r="AO89" s="87"/>
      <c r="AP89" s="87"/>
      <c r="AQ89" s="87"/>
      <c r="AR89" s="87"/>
      <c r="AS89" s="87"/>
      <c r="AT89" s="87"/>
      <c r="AU89" s="87"/>
      <c r="AV89" s="87"/>
      <c r="AW89" s="87"/>
      <c r="AX89" s="87"/>
      <c r="AY89" s="87"/>
      <c r="AZ89" s="87"/>
      <c r="BA89" s="87"/>
      <c r="BB89" s="87"/>
      <c r="BC89" s="87"/>
      <c r="BD89" s="87"/>
      <c r="BE89" s="87"/>
      <c r="BF89" s="87"/>
      <c r="BG89" s="87"/>
      <c r="BH89" s="87"/>
      <c r="BI89" s="87"/>
      <c r="BJ89" s="87"/>
      <c r="BK89" s="87"/>
    </row>
  </sheetData>
  <mergeCells count="84">
    <mergeCell ref="BJ15:BJ16"/>
    <mergeCell ref="BK15:BK16"/>
    <mergeCell ref="K13:L14"/>
    <mergeCell ref="M13:P14"/>
    <mergeCell ref="Q13:T14"/>
    <mergeCell ref="U13:X14"/>
    <mergeCell ref="Y13:AB14"/>
    <mergeCell ref="AC13:AG14"/>
    <mergeCell ref="AH13:AK14"/>
    <mergeCell ref="AL13:AO14"/>
    <mergeCell ref="AP13:AT14"/>
    <mergeCell ref="AU13:AX14"/>
    <mergeCell ref="AY13:BC14"/>
    <mergeCell ref="BD13:BG14"/>
    <mergeCell ref="BE15:BE16"/>
    <mergeCell ref="BF15:BF16"/>
    <mergeCell ref="BG15:BG16"/>
    <mergeCell ref="BH15:BH16"/>
    <mergeCell ref="BI15:BI16"/>
    <mergeCell ref="AZ15:AZ16"/>
    <mergeCell ref="BA15:BA16"/>
    <mergeCell ref="BB15:BB16"/>
    <mergeCell ref="BC15:BC16"/>
    <mergeCell ref="BD15:BD16"/>
    <mergeCell ref="AU15:AU16"/>
    <mergeCell ref="AV15:AV16"/>
    <mergeCell ref="AW15:AW16"/>
    <mergeCell ref="AX15:AX16"/>
    <mergeCell ref="AY15:AY16"/>
    <mergeCell ref="AP15:AP16"/>
    <mergeCell ref="AQ15:AQ16"/>
    <mergeCell ref="AR15:AR16"/>
    <mergeCell ref="AS15:AS16"/>
    <mergeCell ref="AT15:AT16"/>
    <mergeCell ref="AK15:AK16"/>
    <mergeCell ref="AL15:AL16"/>
    <mergeCell ref="AM15:AM16"/>
    <mergeCell ref="AN15:AN16"/>
    <mergeCell ref="AO15:AO16"/>
    <mergeCell ref="AF15:AF16"/>
    <mergeCell ref="AG15:AG16"/>
    <mergeCell ref="AH15:AH16"/>
    <mergeCell ref="AI15:AI16"/>
    <mergeCell ref="AJ15:AJ16"/>
    <mergeCell ref="AA15:AA16"/>
    <mergeCell ref="AB15:AB16"/>
    <mergeCell ref="AC15:AC16"/>
    <mergeCell ref="AD15:AD16"/>
    <mergeCell ref="AE15:AE16"/>
    <mergeCell ref="V15:V16"/>
    <mergeCell ref="W15:W16"/>
    <mergeCell ref="X15:X16"/>
    <mergeCell ref="Y15:Y16"/>
    <mergeCell ref="Z15:Z16"/>
    <mergeCell ref="H2:I2"/>
    <mergeCell ref="K10:S10"/>
    <mergeCell ref="T10:W10"/>
    <mergeCell ref="T5:W5"/>
    <mergeCell ref="K6:S6"/>
    <mergeCell ref="D12:E12"/>
    <mergeCell ref="T6:W6"/>
    <mergeCell ref="T8:W8"/>
    <mergeCell ref="G59:H59"/>
    <mergeCell ref="H8:I8"/>
    <mergeCell ref="K8:S8"/>
    <mergeCell ref="D10:E10"/>
    <mergeCell ref="F10:G10"/>
    <mergeCell ref="H10:I10"/>
    <mergeCell ref="D6:E6"/>
    <mergeCell ref="F6:G6"/>
    <mergeCell ref="H6:I6"/>
    <mergeCell ref="D8:E8"/>
    <mergeCell ref="F8:G8"/>
    <mergeCell ref="K15:K16"/>
    <mergeCell ref="L15:L16"/>
    <mergeCell ref="M15:M16"/>
    <mergeCell ref="N15:N16"/>
    <mergeCell ref="O15:O16"/>
    <mergeCell ref="P15:P16"/>
    <mergeCell ref="Q15:Q16"/>
    <mergeCell ref="R15:R16"/>
    <mergeCell ref="S15:S16"/>
    <mergeCell ref="T15:T16"/>
    <mergeCell ref="U15:U16"/>
  </mergeCells>
  <conditionalFormatting sqref="T10">
    <cfRule type="cellIs" dxfId="10" priority="108" operator="greaterThan">
      <formula>$T$8</formula>
    </cfRule>
  </conditionalFormatting>
  <conditionalFormatting sqref="I19:I59">
    <cfRule type="cellIs" dxfId="9" priority="109" operator="equal">
      <formula>1</formula>
    </cfRule>
    <cfRule type="cellIs" dxfId="8" priority="110" operator="between">
      <formula>0.5</formula>
      <formula>0.99</formula>
    </cfRule>
    <cfRule type="cellIs" dxfId="7" priority="111" operator="lessThan">
      <formula>50</formula>
    </cfRule>
    <cfRule type="dataBar" priority="112">
      <dataBar>
        <cfvo type="min"/>
        <cfvo type="max"/>
        <color theme="8" tint="0.39997558519241921"/>
      </dataBar>
      <extLst>
        <ext xmlns:x14="http://schemas.microsoft.com/office/spreadsheetml/2009/9/main" uri="{B025F937-C7B1-47D3-B67F-A62EFF666E3E}">
          <x14:id>{3C15F075-24B4-4137-9DE0-1EFF48AB96F0}</x14:id>
        </ext>
      </extLst>
    </cfRule>
  </conditionalFormatting>
  <conditionalFormatting sqref="K17:BK58">
    <cfRule type="expression" dxfId="6" priority="1">
      <formula>OR(AND(K$17=TODAY(),$L$12=1),AND(OR($L$12=2,$L$12=3),K$17&lt;=TODAY(),K$18&gt;=TODAY()))</formula>
    </cfRule>
  </conditionalFormatting>
  <conditionalFormatting sqref="K19:BK19 K25:BK25 K31:BK31 K38:BK38 K54:BK54">
    <cfRule type="expression" dxfId="5" priority="132">
      <formula>AND(IF($L$12&gt;1,IF($I19&gt;0,TRUE,FALSE),TRUE),$F19&lt;=K$18,ROUNDDOWN(($H19-$F19+1)*$I19,0)+$F19-1&gt;=K$17)</formula>
    </cfRule>
    <cfRule type="expression" dxfId="4" priority="133">
      <formula>AND(NOT(ISBLANK($F19)),$F19&lt;=K$18,$H19&gt;=K$17)</formula>
    </cfRule>
  </conditionalFormatting>
  <conditionalFormatting sqref="K20:BK24 K26:BK30 K32:BK37 K39:BK53 K55:BK58">
    <cfRule type="expression" dxfId="3" priority="152">
      <formula>AND(IF($L$12&gt;1,IF($I20&gt;0,TRUE,FALSE),TRUE),$F20&lt;=K$18-IF($L$12=3,IF(AND($F20-K$18&gt;=1,K$18&gt;=27),constYac,0),0),ROUNDDOWN(($H20-$F20+1)*$I20,0)+$F20-1&gt;=K$17)</formula>
    </cfRule>
    <cfRule type="expression" dxfId="2" priority="153">
      <formula>AND(NOT(ISBLANK($F20)),$F20&lt;=K$18-IF($L$12=3,IF(AND($F20-K$18&gt;=1,K$18&gt;=27),constYac,0),0),$H20&gt;=K$17)</formula>
    </cfRule>
  </conditionalFormatting>
  <conditionalFormatting sqref="K18:BK18">
    <cfRule type="expression" dxfId="1" priority="2">
      <formula>AND(IF($L$12&gt;1,IF($I18&gt;0,TRUE,FALSE),TRUE),$F18&lt;=K$18,ROUNDDOWN(($H18-$F18+1)*$I18,0)+$F18-1&gt;=K$17)</formula>
    </cfRule>
    <cfRule type="expression" dxfId="0" priority="23">
      <formula>AND(NOT(ISBLANK($F18)),$F18&lt;=K$18,$H18&gt;=K$17)</formula>
    </cfRule>
  </conditionalFormatting>
  <dataValidations disablePrompts="1" count="1">
    <dataValidation type="list" allowBlank="1" showInputMessage="1" showErrorMessage="1" sqref="F15" xr:uid="{00000000-0002-0000-0100-000000000000}">
      <formula1>"Modéré"</formula1>
    </dataValidation>
  </dataValidations>
  <pageMargins left="0.7" right="0.7" top="0.75" bottom="0.75" header="0.3" footer="0.3"/>
  <pageSetup paperSize="9" orientation="portrait" r:id="rId1"/>
  <ignoredErrors>
    <ignoredError sqref="H25"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3075" r:id="rId4" name="Group Box 3">
              <controlPr defaultSize="0" autoFill="0" autoPict="0">
                <anchor moveWithCells="1">
                  <from>
                    <xdr:col>34</xdr:col>
                    <xdr:colOff>144780</xdr:colOff>
                    <xdr:row>4</xdr:row>
                    <xdr:rowOff>213360</xdr:rowOff>
                  </from>
                  <to>
                    <xdr:col>48</xdr:col>
                    <xdr:colOff>0</xdr:colOff>
                    <xdr:row>10</xdr:row>
                    <xdr:rowOff>68580</xdr:rowOff>
                  </to>
                </anchor>
              </controlPr>
            </control>
          </mc:Choice>
        </mc:AlternateContent>
        <mc:AlternateContent xmlns:mc="http://schemas.openxmlformats.org/markup-compatibility/2006">
          <mc:Choice Requires="x14">
            <control shapeId="3076" r:id="rId5" name="Option Button 4">
              <controlPr defaultSize="0" autoFill="0" autoLine="0" autoPict="0" macro="[0]!jourrrrr">
                <anchor moveWithCells="1">
                  <from>
                    <xdr:col>35</xdr:col>
                    <xdr:colOff>190500</xdr:colOff>
                    <xdr:row>6</xdr:row>
                    <xdr:rowOff>22860</xdr:rowOff>
                  </from>
                  <to>
                    <xdr:col>39</xdr:col>
                    <xdr:colOff>182880</xdr:colOff>
                    <xdr:row>7</xdr:row>
                    <xdr:rowOff>38100</xdr:rowOff>
                  </to>
                </anchor>
              </controlPr>
            </control>
          </mc:Choice>
        </mc:AlternateContent>
        <mc:AlternateContent xmlns:mc="http://schemas.openxmlformats.org/markup-compatibility/2006">
          <mc:Choice Requires="x14">
            <control shapeId="3077" r:id="rId6" name="Option Button 5">
              <controlPr defaultSize="0" autoFill="0" autoLine="0" autoPict="0">
                <anchor moveWithCells="1">
                  <from>
                    <xdr:col>35</xdr:col>
                    <xdr:colOff>190500</xdr:colOff>
                    <xdr:row>7</xdr:row>
                    <xdr:rowOff>60960</xdr:rowOff>
                  </from>
                  <to>
                    <xdr:col>39</xdr:col>
                    <xdr:colOff>182880</xdr:colOff>
                    <xdr:row>8</xdr:row>
                    <xdr:rowOff>76200</xdr:rowOff>
                  </to>
                </anchor>
              </controlPr>
            </control>
          </mc:Choice>
        </mc:AlternateContent>
        <mc:AlternateContent xmlns:mc="http://schemas.openxmlformats.org/markup-compatibility/2006">
          <mc:Choice Requires="x14">
            <control shapeId="3078" r:id="rId7" name="Option Button 6">
              <controlPr defaultSize="0" autoFill="0" autoLine="0" autoPict="0">
                <anchor moveWithCells="1">
                  <from>
                    <xdr:col>35</xdr:col>
                    <xdr:colOff>190500</xdr:colOff>
                    <xdr:row>8</xdr:row>
                    <xdr:rowOff>83820</xdr:rowOff>
                  </from>
                  <to>
                    <xdr:col>39</xdr:col>
                    <xdr:colOff>182880</xdr:colOff>
                    <xdr:row>9</xdr:row>
                    <xdr:rowOff>106680</xdr:rowOff>
                  </to>
                </anchor>
              </controlPr>
            </control>
          </mc:Choice>
        </mc:AlternateContent>
        <mc:AlternateContent xmlns:mc="http://schemas.openxmlformats.org/markup-compatibility/2006">
          <mc:Choice Requires="x14">
            <control shapeId="3079" r:id="rId8" name="scrollBAR">
              <controlPr defaultSize="0" autoPict="0" macro="[0]!macroScroll">
                <anchor moveWithCells="1">
                  <from>
                    <xdr:col>9</xdr:col>
                    <xdr:colOff>38100</xdr:colOff>
                    <xdr:row>10</xdr:row>
                    <xdr:rowOff>144780</xdr:rowOff>
                  </from>
                  <to>
                    <xdr:col>63</xdr:col>
                    <xdr:colOff>0</xdr:colOff>
                    <xdr:row>12</xdr:row>
                    <xdr:rowOff>7620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3C15F075-24B4-4137-9DE0-1EFF48AB96F0}">
            <x14:dataBar minLength="0" maxLength="100" border="1">
              <x14:cfvo type="autoMin"/>
              <x14:cfvo type="autoMax"/>
              <x14:borderColor rgb="FF000000"/>
              <x14:negativeFillColor rgb="FFFF0000"/>
              <x14:axisColor rgb="FF000000"/>
            </x14:dataBar>
          </x14:cfRule>
          <xm:sqref>I19:I59</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100-000001000000}">
          <x14:formula1>
            <xm:f>Ressources!$C$16:$C$199</xm:f>
          </x14:formula1>
          <xm:sqref>E55:E58 E39:E53 E32:E37 E26:E30 E20:E24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dimension ref="B1:K36"/>
  <sheetViews>
    <sheetView workbookViewId="0"/>
  </sheetViews>
  <sheetFormatPr baseColWidth="10" defaultColWidth="11.5546875" defaultRowHeight="14.4" x14ac:dyDescent="0.3"/>
  <cols>
    <col min="1" max="1" width="2.5546875" style="69" customWidth="1"/>
    <col min="2" max="2" width="7.33203125" style="69" customWidth="1"/>
    <col min="3" max="3" width="25" style="69" customWidth="1"/>
    <col min="4" max="4" width="24.5546875" style="69" customWidth="1"/>
    <col min="5" max="5" width="35.88671875" style="69" customWidth="1"/>
    <col min="6" max="6" width="18.33203125" style="69" customWidth="1"/>
    <col min="7" max="16384" width="11.5546875" style="69"/>
  </cols>
  <sheetData>
    <row r="1" spans="2:11" ht="11.1" customHeight="1" x14ac:dyDescent="0.3"/>
    <row r="3" spans="2:11" x14ac:dyDescent="0.3">
      <c r="B3" s="4"/>
      <c r="C3" s="4"/>
      <c r="D3" s="4"/>
      <c r="E3" s="4"/>
      <c r="F3" s="4"/>
      <c r="G3" s="4"/>
      <c r="H3" s="4"/>
      <c r="I3" s="4"/>
      <c r="J3" s="4"/>
      <c r="K3" s="4"/>
    </row>
    <row r="4" spans="2:11" ht="21" customHeight="1" x14ac:dyDescent="0.3">
      <c r="B4" s="16"/>
      <c r="C4" s="16"/>
      <c r="D4" s="16"/>
      <c r="E4" s="16"/>
      <c r="F4" s="16"/>
      <c r="G4" s="4"/>
      <c r="H4" s="4"/>
      <c r="I4" s="4"/>
      <c r="J4" s="4"/>
      <c r="K4" s="18"/>
    </row>
    <row r="5" spans="2:11" ht="20.25" customHeight="1" x14ac:dyDescent="0.3">
      <c r="B5" s="16"/>
      <c r="C5" s="16"/>
      <c r="D5" s="16"/>
      <c r="E5" s="16"/>
      <c r="F5" s="16"/>
      <c r="G5" s="4"/>
      <c r="H5" s="4"/>
      <c r="I5" s="4"/>
      <c r="J5" s="4"/>
      <c r="K5" s="4"/>
    </row>
    <row r="6" spans="2:11" x14ac:dyDescent="0.3">
      <c r="B6" s="4"/>
      <c r="C6" s="70" t="s">
        <v>32</v>
      </c>
      <c r="D6" s="71"/>
      <c r="E6" s="132" t="s">
        <v>33</v>
      </c>
      <c r="F6" s="116"/>
      <c r="G6" s="29"/>
      <c r="H6" s="129" t="s">
        <v>34</v>
      </c>
      <c r="I6" s="129"/>
      <c r="J6" s="122">
        <v>44197</v>
      </c>
      <c r="K6" s="123"/>
    </row>
    <row r="7" spans="2:11" ht="3.75" customHeight="1" x14ac:dyDescent="0.3">
      <c r="B7" s="4"/>
      <c r="C7" s="22"/>
      <c r="D7" s="4"/>
      <c r="E7" s="23"/>
      <c r="F7" s="72"/>
      <c r="G7" s="29"/>
      <c r="H7" s="24"/>
      <c r="I7" s="25"/>
      <c r="J7" s="23"/>
      <c r="K7" s="4"/>
    </row>
    <row r="8" spans="2:11" x14ac:dyDescent="0.3">
      <c r="B8" s="4"/>
      <c r="C8" s="70" t="s">
        <v>35</v>
      </c>
      <c r="D8" s="70"/>
      <c r="E8" s="133" t="s">
        <v>36</v>
      </c>
      <c r="F8" s="116"/>
      <c r="G8" s="29"/>
      <c r="H8" s="126" t="s">
        <v>37</v>
      </c>
      <c r="I8" s="126"/>
      <c r="J8" s="122">
        <v>44197</v>
      </c>
      <c r="K8" s="123"/>
    </row>
    <row r="9" spans="2:11" ht="4.6500000000000004" customHeight="1" x14ac:dyDescent="0.3">
      <c r="B9" s="4"/>
      <c r="C9" s="26"/>
      <c r="D9" s="4"/>
      <c r="E9" s="23"/>
      <c r="F9" s="23"/>
      <c r="G9" s="29"/>
      <c r="H9" s="27"/>
      <c r="I9" s="28"/>
      <c r="J9" s="23"/>
      <c r="K9" s="4"/>
    </row>
    <row r="10" spans="2:11" x14ac:dyDescent="0.3">
      <c r="B10" s="4"/>
      <c r="C10" s="70" t="s">
        <v>38</v>
      </c>
      <c r="D10" s="71"/>
      <c r="E10" s="132" t="s">
        <v>39</v>
      </c>
      <c r="F10" s="116"/>
      <c r="G10" s="29"/>
      <c r="H10" s="126" t="s">
        <v>40</v>
      </c>
      <c r="I10" s="126"/>
      <c r="J10" s="127" t="s">
        <v>41</v>
      </c>
      <c r="K10" s="128"/>
    </row>
    <row r="11" spans="2:11" ht="3.75" customHeight="1" x14ac:dyDescent="0.3">
      <c r="B11" s="4"/>
      <c r="C11" s="22"/>
      <c r="D11" s="4"/>
      <c r="E11" s="23"/>
      <c r="F11" s="23"/>
      <c r="G11" s="29"/>
      <c r="H11" s="30"/>
      <c r="I11" s="30"/>
      <c r="J11" s="4"/>
      <c r="K11" s="4"/>
    </row>
    <row r="12" spans="2:11" x14ac:dyDescent="0.3">
      <c r="B12" s="4"/>
      <c r="C12" s="70" t="s">
        <v>42</v>
      </c>
      <c r="D12" s="70"/>
      <c r="E12" s="133" t="s">
        <v>43</v>
      </c>
      <c r="F12" s="116"/>
      <c r="G12" s="29"/>
      <c r="H12" s="29"/>
      <c r="I12" s="29"/>
      <c r="J12" s="29"/>
      <c r="K12" s="29"/>
    </row>
    <row r="15" spans="2:11" x14ac:dyDescent="0.3">
      <c r="B15" s="73" t="s">
        <v>44</v>
      </c>
      <c r="C15" s="74" t="s">
        <v>119</v>
      </c>
      <c r="D15" s="74" t="s">
        <v>120</v>
      </c>
      <c r="E15" s="74" t="s">
        <v>121</v>
      </c>
      <c r="F15" s="74" t="s">
        <v>122</v>
      </c>
    </row>
    <row r="16" spans="2:11" x14ac:dyDescent="0.3">
      <c r="B16" s="54">
        <v>1</v>
      </c>
      <c r="C16" s="54" t="s">
        <v>47</v>
      </c>
      <c r="D16" s="54" t="s">
        <v>123</v>
      </c>
      <c r="E16" s="54" t="s">
        <v>124</v>
      </c>
      <c r="F16" s="75"/>
    </row>
    <row r="17" spans="2:6" x14ac:dyDescent="0.3">
      <c r="B17" s="54">
        <v>2</v>
      </c>
      <c r="C17" s="54" t="s">
        <v>125</v>
      </c>
      <c r="D17" s="54" t="s">
        <v>126</v>
      </c>
      <c r="E17" s="54" t="s">
        <v>127</v>
      </c>
      <c r="F17" s="75"/>
    </row>
    <row r="18" spans="2:6" x14ac:dyDescent="0.3">
      <c r="B18" s="54">
        <v>3</v>
      </c>
      <c r="C18" s="54" t="s">
        <v>128</v>
      </c>
      <c r="D18" s="54" t="s">
        <v>129</v>
      </c>
      <c r="E18" s="54" t="s">
        <v>130</v>
      </c>
      <c r="F18" s="75"/>
    </row>
    <row r="19" spans="2:6" x14ac:dyDescent="0.3">
      <c r="B19" s="54">
        <v>4</v>
      </c>
      <c r="C19" s="54" t="s">
        <v>51</v>
      </c>
      <c r="D19" s="54" t="s">
        <v>131</v>
      </c>
      <c r="E19" s="54" t="s">
        <v>132</v>
      </c>
      <c r="F19" s="75"/>
    </row>
    <row r="20" spans="2:6" x14ac:dyDescent="0.3">
      <c r="B20" s="54">
        <v>5</v>
      </c>
      <c r="C20" s="54" t="s">
        <v>53</v>
      </c>
      <c r="D20" s="54" t="s">
        <v>133</v>
      </c>
      <c r="E20" s="54" t="s">
        <v>134</v>
      </c>
      <c r="F20" s="75"/>
    </row>
    <row r="21" spans="2:6" x14ac:dyDescent="0.3">
      <c r="B21" s="54">
        <v>6</v>
      </c>
      <c r="C21" s="54" t="s">
        <v>55</v>
      </c>
      <c r="D21" s="54" t="s">
        <v>135</v>
      </c>
      <c r="E21" s="54" t="s">
        <v>136</v>
      </c>
      <c r="F21" s="76"/>
    </row>
    <row r="22" spans="2:6" x14ac:dyDescent="0.3">
      <c r="B22" s="54">
        <v>7</v>
      </c>
      <c r="C22" s="54" t="s">
        <v>137</v>
      </c>
      <c r="D22" s="54" t="s">
        <v>138</v>
      </c>
      <c r="E22" s="54" t="s">
        <v>139</v>
      </c>
      <c r="F22" s="76"/>
    </row>
    <row r="23" spans="2:6" x14ac:dyDescent="0.3">
      <c r="B23" s="54">
        <v>8</v>
      </c>
      <c r="C23" s="54" t="s">
        <v>140</v>
      </c>
      <c r="D23" s="54" t="s">
        <v>141</v>
      </c>
      <c r="E23" s="54" t="s">
        <v>142</v>
      </c>
      <c r="F23" s="76"/>
    </row>
    <row r="24" spans="2:6" ht="28.8" x14ac:dyDescent="0.3">
      <c r="B24" s="54">
        <v>9</v>
      </c>
      <c r="C24" s="54" t="s">
        <v>177</v>
      </c>
      <c r="D24" s="54" t="s">
        <v>143</v>
      </c>
      <c r="E24" s="54" t="s">
        <v>144</v>
      </c>
      <c r="F24" s="76"/>
    </row>
    <row r="25" spans="2:6" x14ac:dyDescent="0.3">
      <c r="B25" s="54">
        <v>10</v>
      </c>
      <c r="C25" s="54" t="s">
        <v>145</v>
      </c>
      <c r="D25" s="54" t="s">
        <v>146</v>
      </c>
      <c r="E25" s="54" t="s">
        <v>147</v>
      </c>
      <c r="F25" s="76"/>
    </row>
    <row r="26" spans="2:6" ht="28.8" x14ac:dyDescent="0.3">
      <c r="B26" s="54">
        <v>11</v>
      </c>
      <c r="C26" s="54" t="s">
        <v>148</v>
      </c>
      <c r="D26" s="54" t="s">
        <v>149</v>
      </c>
      <c r="E26" s="54" t="s">
        <v>150</v>
      </c>
      <c r="F26" s="76"/>
    </row>
    <row r="27" spans="2:6" x14ac:dyDescent="0.3">
      <c r="B27" s="54">
        <v>12</v>
      </c>
      <c r="C27" s="54" t="s">
        <v>151</v>
      </c>
      <c r="D27" s="54" t="s">
        <v>152</v>
      </c>
      <c r="E27" s="54" t="s">
        <v>153</v>
      </c>
      <c r="F27" s="76"/>
    </row>
    <row r="28" spans="2:6" x14ac:dyDescent="0.3">
      <c r="B28" s="54">
        <v>13</v>
      </c>
      <c r="C28" s="54" t="s">
        <v>154</v>
      </c>
      <c r="D28" s="54" t="s">
        <v>152</v>
      </c>
      <c r="E28" s="54" t="s">
        <v>155</v>
      </c>
      <c r="F28" s="76"/>
    </row>
    <row r="29" spans="2:6" x14ac:dyDescent="0.3">
      <c r="B29" s="54">
        <v>14</v>
      </c>
      <c r="C29" s="54" t="s">
        <v>156</v>
      </c>
      <c r="D29" s="54" t="s">
        <v>157</v>
      </c>
      <c r="E29" s="54" t="s">
        <v>158</v>
      </c>
      <c r="F29" s="76"/>
    </row>
    <row r="30" spans="2:6" x14ac:dyDescent="0.3">
      <c r="B30" s="54">
        <v>15</v>
      </c>
      <c r="C30" s="54" t="s">
        <v>159</v>
      </c>
      <c r="D30" s="54" t="s">
        <v>157</v>
      </c>
      <c r="E30" s="54" t="s">
        <v>160</v>
      </c>
      <c r="F30" s="76"/>
    </row>
    <row r="31" spans="2:6" x14ac:dyDescent="0.3">
      <c r="B31" s="54">
        <v>16</v>
      </c>
      <c r="C31" s="54" t="s">
        <v>161</v>
      </c>
      <c r="D31" s="54" t="s">
        <v>162</v>
      </c>
      <c r="E31" s="54" t="s">
        <v>163</v>
      </c>
      <c r="F31" s="76"/>
    </row>
    <row r="32" spans="2:6" x14ac:dyDescent="0.3">
      <c r="B32" s="54">
        <v>17</v>
      </c>
      <c r="C32" s="54" t="s">
        <v>164</v>
      </c>
      <c r="D32" s="54" t="s">
        <v>162</v>
      </c>
      <c r="E32" s="54" t="s">
        <v>165</v>
      </c>
      <c r="F32" s="76"/>
    </row>
    <row r="33" spans="2:6" x14ac:dyDescent="0.3">
      <c r="B33" s="54">
        <v>18</v>
      </c>
      <c r="C33" s="54" t="s">
        <v>166</v>
      </c>
      <c r="D33" s="54" t="s">
        <v>167</v>
      </c>
      <c r="E33" s="54" t="s">
        <v>168</v>
      </c>
      <c r="F33" s="76"/>
    </row>
    <row r="34" spans="2:6" x14ac:dyDescent="0.3">
      <c r="B34" s="54">
        <v>19</v>
      </c>
      <c r="C34" s="54" t="s">
        <v>169</v>
      </c>
      <c r="D34" s="54" t="s">
        <v>170</v>
      </c>
      <c r="E34" s="54" t="s">
        <v>171</v>
      </c>
      <c r="F34" s="76"/>
    </row>
    <row r="35" spans="2:6" x14ac:dyDescent="0.3">
      <c r="B35" s="54">
        <v>20</v>
      </c>
      <c r="C35" s="54" t="s">
        <v>172</v>
      </c>
      <c r="D35" s="54" t="s">
        <v>173</v>
      </c>
      <c r="E35" s="54" t="s">
        <v>174</v>
      </c>
      <c r="F35" s="76"/>
    </row>
    <row r="36" spans="2:6" x14ac:dyDescent="0.3">
      <c r="B36" s="54">
        <v>21</v>
      </c>
      <c r="C36" s="54" t="s">
        <v>175</v>
      </c>
      <c r="D36" s="54" t="s">
        <v>176</v>
      </c>
      <c r="E36" s="54"/>
      <c r="F36" s="76"/>
    </row>
  </sheetData>
  <mergeCells count="10">
    <mergeCell ref="E10:F10"/>
    <mergeCell ref="H10:I10"/>
    <mergeCell ref="J10:K10"/>
    <mergeCell ref="E12:F12"/>
    <mergeCell ref="E6:F6"/>
    <mergeCell ref="H6:I6"/>
    <mergeCell ref="J6:K6"/>
    <mergeCell ref="E8:F8"/>
    <mergeCell ref="H8:I8"/>
    <mergeCell ref="J8:K8"/>
  </mergeCells>
  <hyperlinks>
    <hyperlink ref="E24" r:id="rId1" xr:uid="{00000000-0004-0000-0200-000000000000}"/>
    <hyperlink ref="E25" r:id="rId2" xr:uid="{00000000-0004-0000-0200-000001000000}"/>
    <hyperlink ref="E26" r:id="rId3" xr:uid="{00000000-0004-0000-0200-000002000000}"/>
    <hyperlink ref="E27" r:id="rId4" xr:uid="{00000000-0004-0000-0200-000003000000}"/>
    <hyperlink ref="E28" r:id="rId5" xr:uid="{00000000-0004-0000-0200-000004000000}"/>
    <hyperlink ref="E29" r:id="rId6" xr:uid="{00000000-0004-0000-0200-000005000000}"/>
    <hyperlink ref="E30" r:id="rId7" xr:uid="{00000000-0004-0000-0200-000006000000}"/>
    <hyperlink ref="E31" r:id="rId8" xr:uid="{00000000-0004-0000-0200-000007000000}"/>
    <hyperlink ref="E32" r:id="rId9" xr:uid="{00000000-0004-0000-0200-000008000000}"/>
    <hyperlink ref="E33" r:id="rId10" xr:uid="{00000000-0004-0000-0200-000009000000}"/>
    <hyperlink ref="E34" r:id="rId11" xr:uid="{00000000-0004-0000-0200-00000A000000}"/>
    <hyperlink ref="E35" r:id="rId12" xr:uid="{00000000-0004-0000-0200-00000B000000}"/>
  </hyperlinks>
  <pageMargins left="0.7" right="0.7" top="0.75" bottom="0.75" header="0.3" footer="0.3"/>
  <drawing r:id="rId1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Guide d'utilisation</vt:lpstr>
      <vt:lpstr>Diagramme de Gantt</vt:lpstr>
      <vt:lpstr>Ressources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2021-05-18T12:48:12Z</dcterms:created>
  <dcterms:modified xsi:type="dcterms:W3CDTF">2022-12-15T09:31:14Z</dcterms:modified>
</cp:coreProperties>
</file>