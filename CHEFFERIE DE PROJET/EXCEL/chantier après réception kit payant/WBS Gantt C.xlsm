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.xml" ContentType="application/vnd.ms-excel.person+xml"/>
  <Override PartName="/xl/persons/person1.xml" ContentType="application/vnd.ms-excel.person+xml"/>
  <Override PartName="/xl/persons/person6.xml" ContentType="application/vnd.ms-excel.person+xml"/>
  <Override PartName="/xl/persons/person7.xml" ContentType="application/vnd.ms-excel.person+xml"/>
  <Override PartName="/xl/persons/person3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_REPO\FULLSTACK\my-chess-game\CHEFFERIE DE PROJET\EXCEL\chantier après réception kit payant\"/>
    </mc:Choice>
  </mc:AlternateContent>
  <xr:revisionPtr revIDLastSave="0" documentId="13_ncr:1_{DDC964E6-ED34-4FEC-B933-F4E9BDAE658D}" xr6:coauthVersionLast="47" xr6:coauthVersionMax="47" xr10:uidLastSave="{00000000-0000-0000-0000-000000000000}"/>
  <bookViews>
    <workbookView xWindow="-108" yWindow="-108" windowWidth="23256" windowHeight="12456" xr2:uid="{EC58C254-991C-4666-BA7A-973EC7B6ADB5}"/>
  </bookViews>
  <sheets>
    <sheet name="Gantt" sheetId="1" r:id="rId1"/>
    <sheet name="Gantt avec tab croise dyn" sheetId="4" r:id="rId2"/>
    <sheet name="WBS" sheetId="2" r:id="rId3"/>
    <sheet name="Congés" sheetId="5" r:id="rId4"/>
    <sheet name="Données de référence" sheetId="3" r:id="rId5"/>
  </sheets>
  <externalReferences>
    <externalReference r:id="rId6"/>
  </externalReferences>
  <definedNames>
    <definedName name="Date">[1]Gantt!A$6</definedName>
    <definedName name="next_date" localSheetId="0">[1]Gantt!B$6</definedName>
    <definedName name="next_date" localSheetId="1">[1]Gantt!B$6</definedName>
    <definedName name="Segment_Resp_tâche">#N/A</definedName>
    <definedName name="Segment_Resp_tâche1">#N/A</definedName>
  </definedNames>
  <calcPr calcId="191029"/>
  <pivotCaches>
    <pivotCache cacheId="1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4" i="1" l="1"/>
  <c r="H55" i="1"/>
  <c r="H56" i="1"/>
  <c r="H57" i="1"/>
  <c r="H53" i="1"/>
  <c r="H14" i="1"/>
  <c r="H15" i="1"/>
  <c r="H16" i="1"/>
  <c r="H17" i="1"/>
  <c r="H18" i="1"/>
  <c r="H19" i="1"/>
  <c r="H21" i="1"/>
  <c r="H22" i="1"/>
  <c r="H23" i="1"/>
  <c r="H24" i="1"/>
  <c r="H25" i="1"/>
  <c r="H26" i="1"/>
  <c r="H28" i="1"/>
  <c r="H29" i="1"/>
  <c r="H30" i="1"/>
  <c r="H31" i="1"/>
  <c r="H32" i="1"/>
  <c r="H33" i="1"/>
  <c r="H34" i="1"/>
  <c r="H45" i="1"/>
  <c r="H46" i="1"/>
  <c r="H47" i="1"/>
  <c r="H48" i="1"/>
  <c r="H49" i="1"/>
  <c r="H50" i="1"/>
  <c r="H51" i="1"/>
  <c r="H36" i="1"/>
  <c r="H37" i="1"/>
  <c r="H38" i="1"/>
  <c r="H39" i="1"/>
  <c r="H40" i="1"/>
  <c r="H41" i="1"/>
  <c r="H42" i="1"/>
  <c r="H43" i="1"/>
  <c r="H44" i="1"/>
  <c r="C37" i="1"/>
  <c r="D37" i="1"/>
  <c r="E37" i="1"/>
  <c r="F37" i="1"/>
  <c r="G37" i="1"/>
  <c r="I37" i="1"/>
  <c r="L37" i="1"/>
  <c r="C38" i="1"/>
  <c r="D38" i="1"/>
  <c r="E38" i="1"/>
  <c r="F38" i="1"/>
  <c r="G38" i="1"/>
  <c r="I38" i="1"/>
  <c r="L38" i="1"/>
  <c r="C39" i="1"/>
  <c r="D39" i="1"/>
  <c r="E39" i="1"/>
  <c r="F39" i="1"/>
  <c r="G39" i="1"/>
  <c r="I39" i="1"/>
  <c r="L39" i="1"/>
  <c r="C40" i="1"/>
  <c r="D40" i="1"/>
  <c r="E40" i="1"/>
  <c r="F40" i="1"/>
  <c r="G40" i="1"/>
  <c r="I40" i="1"/>
  <c r="L40" i="1"/>
  <c r="C41" i="1"/>
  <c r="D41" i="1"/>
  <c r="E41" i="1"/>
  <c r="F41" i="1"/>
  <c r="G41" i="1"/>
  <c r="I41" i="1"/>
  <c r="L41" i="1"/>
  <c r="C42" i="1"/>
  <c r="D42" i="1"/>
  <c r="E42" i="1"/>
  <c r="F42" i="1"/>
  <c r="G42" i="1"/>
  <c r="I42" i="1"/>
  <c r="L42" i="1"/>
  <c r="C43" i="1"/>
  <c r="D43" i="1"/>
  <c r="E43" i="1"/>
  <c r="F43" i="1"/>
  <c r="G43" i="1"/>
  <c r="I43" i="1"/>
  <c r="L43" i="1"/>
  <c r="C44" i="1"/>
  <c r="D44" i="1"/>
  <c r="E44" i="1"/>
  <c r="F44" i="1"/>
  <c r="G44" i="1"/>
  <c r="I44" i="1"/>
  <c r="L44" i="1"/>
  <c r="C45" i="1"/>
  <c r="D45" i="1"/>
  <c r="E45" i="1"/>
  <c r="F45" i="1"/>
  <c r="G45" i="1"/>
  <c r="I45" i="1"/>
  <c r="L45" i="1"/>
  <c r="C46" i="1"/>
  <c r="D46" i="1"/>
  <c r="E46" i="1"/>
  <c r="F46" i="1"/>
  <c r="G46" i="1"/>
  <c r="I46" i="1"/>
  <c r="L46" i="1"/>
  <c r="C47" i="1"/>
  <c r="D47" i="1"/>
  <c r="E47" i="1"/>
  <c r="F47" i="1"/>
  <c r="G47" i="1"/>
  <c r="I47" i="1"/>
  <c r="L47" i="1"/>
  <c r="C48" i="1"/>
  <c r="D48" i="1"/>
  <c r="E48" i="1"/>
  <c r="F48" i="1"/>
  <c r="G48" i="1"/>
  <c r="I48" i="1"/>
  <c r="L48" i="1"/>
  <c r="C49" i="1"/>
  <c r="D49" i="1"/>
  <c r="E49" i="1"/>
  <c r="F49" i="1"/>
  <c r="G49" i="1"/>
  <c r="I49" i="1"/>
  <c r="L49" i="1"/>
  <c r="C50" i="1"/>
  <c r="D50" i="1"/>
  <c r="E50" i="1"/>
  <c r="F50" i="1"/>
  <c r="G50" i="1"/>
  <c r="I50" i="1"/>
  <c r="L50" i="1"/>
  <c r="C51" i="1"/>
  <c r="D51" i="1"/>
  <c r="E51" i="1"/>
  <c r="F51" i="1"/>
  <c r="G51" i="1"/>
  <c r="I51" i="1"/>
  <c r="L51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1" i="1"/>
  <c r="C21" i="1"/>
  <c r="D21" i="1"/>
  <c r="E21" i="1"/>
  <c r="F21" i="1"/>
  <c r="G21" i="1"/>
  <c r="I21" i="1"/>
  <c r="L21" i="1"/>
  <c r="A26" i="1" l="1"/>
  <c r="C26" i="1"/>
  <c r="D26" i="1"/>
  <c r="E26" i="1"/>
  <c r="F26" i="1"/>
  <c r="G26" i="1"/>
  <c r="I26" i="1"/>
  <c r="K26" i="1"/>
  <c r="L26" i="1"/>
  <c r="M2" i="2"/>
  <c r="N2" i="2" s="1"/>
  <c r="M3" i="2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1" i="2"/>
  <c r="N11" i="2" s="1"/>
  <c r="M12" i="2"/>
  <c r="N12" i="2" s="1"/>
  <c r="M13" i="2"/>
  <c r="N13" i="2" s="1"/>
  <c r="M16" i="2"/>
  <c r="N16" i="2" s="1"/>
  <c r="M17" i="2"/>
  <c r="N17" i="2" s="1"/>
  <c r="M18" i="2"/>
  <c r="N18" i="2" s="1"/>
  <c r="M19" i="2"/>
  <c r="N19" i="2" s="1"/>
  <c r="M20" i="2"/>
  <c r="N20" i="2" s="1"/>
  <c r="M21" i="2"/>
  <c r="N21" i="2" s="1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N37" i="2" s="1"/>
  <c r="M38" i="2"/>
  <c r="N38" i="2" s="1"/>
  <c r="M39" i="2"/>
  <c r="N39" i="2" s="1"/>
  <c r="M40" i="2"/>
  <c r="N40" i="2" s="1"/>
  <c r="M41" i="2"/>
  <c r="N41" i="2" s="1"/>
  <c r="I2" i="4"/>
  <c r="L15" i="1"/>
  <c r="L16" i="1"/>
  <c r="L17" i="1"/>
  <c r="L18" i="1"/>
  <c r="L19" i="1"/>
  <c r="L22" i="1"/>
  <c r="L23" i="1"/>
  <c r="L24" i="1"/>
  <c r="L25" i="1"/>
  <c r="L28" i="1"/>
  <c r="L29" i="1"/>
  <c r="L30" i="1"/>
  <c r="L31" i="1"/>
  <c r="L32" i="1"/>
  <c r="L33" i="1"/>
  <c r="L34" i="1"/>
  <c r="L36" i="1"/>
  <c r="L53" i="1"/>
  <c r="L54" i="1"/>
  <c r="L56" i="1"/>
  <c r="L57" i="1"/>
  <c r="L14" i="1"/>
  <c r="I15" i="1"/>
  <c r="I16" i="1"/>
  <c r="I17" i="1"/>
  <c r="I18" i="1"/>
  <c r="I19" i="1"/>
  <c r="I22" i="1"/>
  <c r="I23" i="1"/>
  <c r="I24" i="1"/>
  <c r="I25" i="1"/>
  <c r="I28" i="1"/>
  <c r="I29" i="1"/>
  <c r="I30" i="1"/>
  <c r="I31" i="1"/>
  <c r="I32" i="1"/>
  <c r="I33" i="1"/>
  <c r="I34" i="1"/>
  <c r="I36" i="1"/>
  <c r="I53" i="1"/>
  <c r="I54" i="1"/>
  <c r="I55" i="1"/>
  <c r="I56" i="1"/>
  <c r="I57" i="1"/>
  <c r="I14" i="1"/>
  <c r="F15" i="1"/>
  <c r="G15" i="1"/>
  <c r="F16" i="1"/>
  <c r="G16" i="1"/>
  <c r="F17" i="1"/>
  <c r="G17" i="1"/>
  <c r="F18" i="1"/>
  <c r="G18" i="1"/>
  <c r="F19" i="1"/>
  <c r="G19" i="1"/>
  <c r="F22" i="1"/>
  <c r="G22" i="1"/>
  <c r="F23" i="1"/>
  <c r="G23" i="1"/>
  <c r="F24" i="1"/>
  <c r="G24" i="1"/>
  <c r="F25" i="1"/>
  <c r="G25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6" i="1"/>
  <c r="G36" i="1"/>
  <c r="F53" i="1"/>
  <c r="G53" i="1"/>
  <c r="F54" i="1"/>
  <c r="G54" i="1"/>
  <c r="F55" i="1"/>
  <c r="G55" i="1"/>
  <c r="F56" i="1"/>
  <c r="G56" i="1"/>
  <c r="F57" i="1"/>
  <c r="G57" i="1"/>
  <c r="F14" i="1"/>
  <c r="G14" i="1"/>
  <c r="E15" i="1"/>
  <c r="E16" i="1"/>
  <c r="E17" i="1"/>
  <c r="E18" i="1"/>
  <c r="E19" i="1"/>
  <c r="E22" i="1"/>
  <c r="E23" i="1"/>
  <c r="E24" i="1"/>
  <c r="E25" i="1"/>
  <c r="E28" i="1"/>
  <c r="E29" i="1"/>
  <c r="E30" i="1"/>
  <c r="E31" i="1"/>
  <c r="E32" i="1"/>
  <c r="E33" i="1"/>
  <c r="E34" i="1"/>
  <c r="E36" i="1"/>
  <c r="E53" i="1"/>
  <c r="E54" i="1"/>
  <c r="E55" i="1"/>
  <c r="E56" i="1"/>
  <c r="E57" i="1"/>
  <c r="E14" i="1"/>
  <c r="D15" i="1"/>
  <c r="D16" i="1"/>
  <c r="D17" i="1"/>
  <c r="D18" i="1"/>
  <c r="D19" i="1"/>
  <c r="D22" i="1"/>
  <c r="D23" i="1"/>
  <c r="D24" i="1"/>
  <c r="D25" i="1"/>
  <c r="D28" i="1"/>
  <c r="D29" i="1"/>
  <c r="D30" i="1"/>
  <c r="D31" i="1"/>
  <c r="D32" i="1"/>
  <c r="D33" i="1"/>
  <c r="D34" i="1"/>
  <c r="D36" i="1"/>
  <c r="D53" i="1"/>
  <c r="D54" i="1"/>
  <c r="D55" i="1"/>
  <c r="D56" i="1"/>
  <c r="D57" i="1"/>
  <c r="D14" i="1"/>
  <c r="A15" i="1"/>
  <c r="A16" i="1"/>
  <c r="A17" i="1"/>
  <c r="A18" i="1"/>
  <c r="A19" i="1"/>
  <c r="A22" i="1"/>
  <c r="A23" i="1"/>
  <c r="A24" i="1"/>
  <c r="A25" i="1"/>
  <c r="A28" i="1"/>
  <c r="A29" i="1"/>
  <c r="A30" i="1"/>
  <c r="A31" i="1"/>
  <c r="A32" i="1"/>
  <c r="A33" i="1"/>
  <c r="A34" i="1"/>
  <c r="A36" i="1"/>
  <c r="A53" i="1"/>
  <c r="A54" i="1"/>
  <c r="A55" i="1"/>
  <c r="A56" i="1"/>
  <c r="A57" i="1"/>
  <c r="A14" i="1"/>
  <c r="C14" i="1"/>
  <c r="C15" i="1"/>
  <c r="C16" i="1"/>
  <c r="C17" i="1"/>
  <c r="C18" i="1"/>
  <c r="C19" i="1"/>
  <c r="C22" i="1"/>
  <c r="C23" i="1"/>
  <c r="C24" i="1"/>
  <c r="C25" i="1"/>
  <c r="C28" i="1"/>
  <c r="C29" i="1"/>
  <c r="C30" i="1"/>
  <c r="C31" i="1"/>
  <c r="C32" i="1"/>
  <c r="C33" i="1"/>
  <c r="C34" i="1"/>
  <c r="C36" i="1"/>
  <c r="C53" i="1"/>
  <c r="C54" i="1"/>
  <c r="C55" i="1"/>
  <c r="C56" i="1"/>
  <c r="C57" i="1"/>
  <c r="N27" i="2" l="1"/>
  <c r="K42" i="1" s="1"/>
  <c r="J42" i="1"/>
  <c r="J41" i="1"/>
  <c r="N26" i="2"/>
  <c r="K41" i="1" s="1"/>
  <c r="J40" i="1"/>
  <c r="N25" i="2"/>
  <c r="K40" i="1" s="1"/>
  <c r="N24" i="2"/>
  <c r="K39" i="1" s="1"/>
  <c r="J39" i="1"/>
  <c r="N23" i="2"/>
  <c r="K38" i="1" s="1"/>
  <c r="J38" i="1"/>
  <c r="N22" i="2"/>
  <c r="K37" i="1" s="1"/>
  <c r="J37" i="1"/>
  <c r="N35" i="2"/>
  <c r="K50" i="1" s="1"/>
  <c r="J50" i="1"/>
  <c r="N34" i="2"/>
  <c r="K49" i="1" s="1"/>
  <c r="J49" i="1"/>
  <c r="J48" i="1"/>
  <c r="N33" i="2"/>
  <c r="K48" i="1" s="1"/>
  <c r="J45" i="1"/>
  <c r="N30" i="2"/>
  <c r="K45" i="1" s="1"/>
  <c r="N29" i="2"/>
  <c r="K44" i="1" s="1"/>
  <c r="J44" i="1"/>
  <c r="J51" i="1"/>
  <c r="N36" i="2"/>
  <c r="K51" i="1" s="1"/>
  <c r="J47" i="1"/>
  <c r="N32" i="2"/>
  <c r="K47" i="1" s="1"/>
  <c r="J46" i="1"/>
  <c r="N31" i="2"/>
  <c r="K46" i="1" s="1"/>
  <c r="J43" i="1"/>
  <c r="N28" i="2"/>
  <c r="K43" i="1" s="1"/>
  <c r="J53" i="1"/>
  <c r="J36" i="1"/>
  <c r="J17" i="1"/>
  <c r="J34" i="1"/>
  <c r="J16" i="1"/>
  <c r="J33" i="1"/>
  <c r="J15" i="1"/>
  <c r="J31" i="1"/>
  <c r="J19" i="1"/>
  <c r="J25" i="1"/>
  <c r="M14" i="2"/>
  <c r="N14" i="2" s="1"/>
  <c r="J24" i="1"/>
  <c r="J18" i="1"/>
  <c r="J32" i="1"/>
  <c r="J54" i="1"/>
  <c r="J57" i="1"/>
  <c r="J22" i="1"/>
  <c r="J55" i="1"/>
  <c r="J56" i="1"/>
  <c r="J21" i="1"/>
  <c r="K21" i="1"/>
  <c r="J30" i="1"/>
  <c r="J26" i="1"/>
  <c r="J14" i="1"/>
  <c r="E11" i="3"/>
  <c r="J28" i="1" l="1"/>
  <c r="M10" i="2"/>
  <c r="N10" i="2" s="1"/>
  <c r="M15" i="2"/>
  <c r="N15" i="2" s="1"/>
  <c r="K19" i="1"/>
  <c r="K22" i="1"/>
  <c r="K53" i="1"/>
  <c r="K14" i="1"/>
  <c r="K54" i="1"/>
  <c r="K24" i="1"/>
  <c r="K30" i="1"/>
  <c r="K32" i="1"/>
  <c r="K34" i="1"/>
  <c r="K15" i="1"/>
  <c r="K55" i="1"/>
  <c r="K25" i="1"/>
  <c r="K31" i="1"/>
  <c r="K36" i="1"/>
  <c r="K16" i="1"/>
  <c r="K56" i="1"/>
  <c r="K33" i="1"/>
  <c r="K17" i="1"/>
  <c r="K18" i="1"/>
  <c r="K57" i="1"/>
  <c r="J29" i="1" l="1"/>
  <c r="J23" i="1"/>
  <c r="N12" i="1" a="1"/>
  <c r="K23" i="1"/>
  <c r="K29" i="1"/>
  <c r="K28" i="1"/>
  <c r="I2" i="1" l="1"/>
  <c r="N12" i="1"/>
  <c r="N11" i="1" s="1"/>
  <c r="AI11" i="1"/>
  <c r="AB11" i="1"/>
  <c r="U11" i="1"/>
  <c r="L11" i="4" a="1"/>
  <c r="L11" i="4" l="1"/>
  <c r="L10" i="4" s="1"/>
  <c r="Z10" i="4"/>
  <c r="AG10" i="4"/>
  <c r="S10" i="4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L55" i="1" s="1"/>
  <c r="P40" i="2"/>
  <c r="P41" i="2"/>
  <c r="P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<sst xmlns="http://schemas.openxmlformats.org/spreadsheetml/2006/main" count="478" uniqueCount="110">
  <si>
    <t>1.9.4</t>
  </si>
  <si>
    <t>1.9.5</t>
  </si>
  <si>
    <t>1.9.6</t>
  </si>
  <si>
    <t>1.9.7</t>
  </si>
  <si>
    <t>1.9.8</t>
  </si>
  <si>
    <t>Benoit Gallou</t>
  </si>
  <si>
    <t>Dorian Dauphin</t>
  </si>
  <si>
    <t>N° tâche</t>
  </si>
  <si>
    <t>1.0</t>
  </si>
  <si>
    <t>Nom / Code projet</t>
  </si>
  <si>
    <t>Référence</t>
  </si>
  <si>
    <t>Chef de projet</t>
  </si>
  <si>
    <t>Service/Organisation</t>
  </si>
  <si>
    <t>Projet Aquedi</t>
  </si>
  <si>
    <t>Carl Laurier</t>
  </si>
  <si>
    <t>Studia Digital</t>
  </si>
  <si>
    <t>Releases</t>
  </si>
  <si>
    <t>Description tâche</t>
  </si>
  <si>
    <t>Type 
tâche</t>
  </si>
  <si>
    <t>Terminé</t>
  </si>
  <si>
    <t>Assigné</t>
  </si>
  <si>
    <t>En retard</t>
  </si>
  <si>
    <t>Non assigné</t>
  </si>
  <si>
    <t>Resp tâche</t>
  </si>
  <si>
    <t>Sylvain Cailleau</t>
  </si>
  <si>
    <t>Evol P1</t>
  </si>
  <si>
    <t>Ano/Def</t>
  </si>
  <si>
    <t>Evol P2</t>
  </si>
  <si>
    <t>Evol P3</t>
  </si>
  <si>
    <t>Evol P4</t>
  </si>
  <si>
    <t>Evol P5</t>
  </si>
  <si>
    <t>Evol P6</t>
  </si>
  <si>
    <t>Evol P7</t>
  </si>
  <si>
    <t>Evol P8</t>
  </si>
  <si>
    <t>Evol P9</t>
  </si>
  <si>
    <t>Evol P10</t>
  </si>
  <si>
    <t>Evol P11</t>
  </si>
  <si>
    <t>Evol P12</t>
  </si>
  <si>
    <t>Evol P13</t>
  </si>
  <si>
    <t>Evol P14</t>
  </si>
  <si>
    <t>Evol P15</t>
  </si>
  <si>
    <t>Evol P16</t>
  </si>
  <si>
    <t>Evol P17</t>
  </si>
  <si>
    <t>Evol P18</t>
  </si>
  <si>
    <t>Evol P19</t>
  </si>
  <si>
    <t>Evol P20</t>
  </si>
  <si>
    <t>Statut</t>
  </si>
  <si>
    <t>Date début</t>
  </si>
  <si>
    <t>Date fin</t>
  </si>
  <si>
    <t>% avancement</t>
  </si>
  <si>
    <t>1.1</t>
  </si>
  <si>
    <t>1.2</t>
  </si>
  <si>
    <t>1.3</t>
  </si>
  <si>
    <t>1.4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</si>
  <si>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</si>
  <si>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</si>
  <si>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</si>
  <si>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</si>
  <si>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</si>
  <si>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</si>
  <si>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</si>
  <si>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</si>
  <si>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</si>
  <si>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</si>
  <si>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</si>
  <si>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</si>
  <si>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</si>
  <si>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</si>
  <si>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</si>
  <si>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</si>
  <si>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</si>
  <si>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</si>
  <si>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</si>
  <si>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</si>
  <si>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</si>
  <si>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</si>
  <si>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</si>
  <si>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</si>
  <si>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</si>
  <si>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</si>
  <si>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</si>
  <si>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</si>
  <si>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</si>
  <si>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</si>
  <si>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Total général</t>
  </si>
  <si>
    <t>Durée réelle</t>
  </si>
  <si>
    <t>Chiffrage initial</t>
  </si>
  <si>
    <t>Période</t>
  </si>
  <si>
    <t xml:space="preserve">Date début    </t>
  </si>
  <si>
    <t xml:space="preserve">Date fin       </t>
  </si>
  <si>
    <t>Position de la barre de défilement</t>
  </si>
  <si>
    <t xml:space="preserve">Chiffrage initial     </t>
  </si>
  <si>
    <t xml:space="preserve">Durée réelle     </t>
  </si>
  <si>
    <t>Edition/validation - Visualisation d'une année de valeurs</t>
  </si>
  <si>
    <t>Priorité</t>
  </si>
  <si>
    <t>Haute</t>
  </si>
  <si>
    <t>Moyenne</t>
  </si>
  <si>
    <t>Basse</t>
  </si>
  <si>
    <t>Dépendances</t>
  </si>
  <si>
    <t>Lamine Bougueroua</t>
  </si>
  <si>
    <t>Date de démarrage</t>
  </si>
  <si>
    <t>01/01/2023</t>
  </si>
  <si>
    <t>Florin Sansom</t>
  </si>
  <si>
    <t>RAF et durée réelle validés le</t>
  </si>
  <si>
    <t>RAF</t>
  </si>
  <si>
    <t xml:space="preserve">Date disponibilité responsable       </t>
  </si>
  <si>
    <t>Releases / N° tâche</t>
  </si>
  <si>
    <t>Phase d'Initiation</t>
  </si>
  <si>
    <t>Description</t>
  </si>
  <si>
    <t>02/01/2023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</si>
</sst>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sz val="10"/>
      <color theme="1"/>
      <name val="Candara"/>
      <family val="2"/>
    </font>
    <font>
      <b/>
      <sz val="10"/>
      <color theme="1"/>
      <name val="Candara"/>
      <family val="2"/>
    </font>
    <font>
      <b/>
      <sz val="10"/>
      <color rgb="FF439B69"/>
      <name val="Candara"/>
      <family val="2"/>
    </font>
    <font>
      <b/>
      <sz val="10"/>
      <color theme="0"/>
      <name val="Candara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6F0F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B5D3D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3B6B4"/>
      </left>
      <right style="thin">
        <color rgb="FF62BD8A"/>
      </right>
      <top style="thin">
        <color rgb="FF83B6B4"/>
      </top>
      <bottom style="thin">
        <color rgb="FF83B6B4"/>
      </bottom>
      <diagonal/>
    </border>
    <border>
      <left/>
      <right style="thin">
        <color rgb="FF83B6B4"/>
      </right>
      <top/>
      <bottom style="thin">
        <color rgb="FF83B6B4"/>
      </bottom>
      <diagonal/>
    </border>
    <border>
      <left style="thin">
        <color rgb="FF83B6B4"/>
      </left>
      <right style="thin">
        <color rgb="FF83B6B4"/>
      </right>
      <top/>
      <bottom style="thin">
        <color rgb="FF83B6B4"/>
      </bottom>
      <diagonal/>
    </border>
    <border>
      <left style="thin">
        <color rgb="FF62BD8A"/>
      </left>
      <right style="thin">
        <color rgb="FF83B6B4"/>
      </right>
      <top style="thin">
        <color rgb="FF83B6B4"/>
      </top>
      <bottom style="thin">
        <color rgb="FF83B6B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wrapText="1"/>
    </xf>
    <xf numFmtId="0" fontId="0" fillId="0" borderId="6" xfId="0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5" fillId="0" borderId="0" xfId="0" applyFont="1"/>
    <xf numFmtId="0" fontId="6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wrapText="1"/>
    </xf>
    <xf numFmtId="0" fontId="5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6" fillId="2" borderId="0" xfId="0" applyFont="1" applyFill="1" applyAlignment="1">
      <alignment horizontal="left" vertical="center"/>
    </xf>
    <xf numFmtId="0" fontId="5" fillId="2" borderId="0" xfId="0" applyFont="1" applyFill="1" applyAlignment="1">
      <alignment wrapText="1"/>
    </xf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/>
    </xf>
    <xf numFmtId="14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  <xf numFmtId="0" fontId="5" fillId="0" borderId="0" xfId="0" applyFont="1" applyAlignment="1">
      <alignment horizontal="center" vertical="center" wrapText="1"/>
    </xf>
    <xf numFmtId="15" fontId="5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6" fillId="7" borderId="0" xfId="0" applyFont="1" applyFill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9" fontId="5" fillId="0" borderId="0" xfId="0" applyNumberFormat="1" applyFont="1" applyAlignment="1">
      <alignment horizontal="right" vertical="center"/>
    </xf>
    <xf numFmtId="15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 indent="1"/>
    </xf>
    <xf numFmtId="0" fontId="5" fillId="8" borderId="0" xfId="0" applyFont="1" applyFill="1" applyAlignment="1">
      <alignment horizontal="left" vertical="center" indent="1"/>
    </xf>
    <xf numFmtId="0" fontId="5" fillId="8" borderId="0" xfId="0" applyFont="1" applyFill="1" applyAlignment="1">
      <alignment horizontal="left" vertical="center" wrapText="1" indent="1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/>
    </xf>
    <xf numFmtId="14" fontId="5" fillId="8" borderId="0" xfId="0" applyNumberFormat="1" applyFont="1" applyFill="1" applyAlignment="1">
      <alignment horizontal="center" vertical="center"/>
    </xf>
    <xf numFmtId="9" fontId="5" fillId="8" borderId="0" xfId="0" applyNumberFormat="1" applyFont="1" applyFill="1" applyAlignment="1">
      <alignment horizontal="right" vertic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4" fontId="5" fillId="0" borderId="0" xfId="0" applyNumberFormat="1" applyFont="1"/>
    <xf numFmtId="0" fontId="6" fillId="0" borderId="0" xfId="0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 wrapText="1"/>
    </xf>
    <xf numFmtId="9" fontId="5" fillId="0" borderId="0" xfId="0" applyNumberFormat="1" applyFont="1" applyAlignment="1">
      <alignment horizontal="center" vertical="center"/>
    </xf>
    <xf numFmtId="0" fontId="8" fillId="4" borderId="1" xfId="0" applyFont="1" applyFill="1" applyBorder="1" applyAlignment="1">
      <alignment vertical="center" wrapText="1"/>
    </xf>
    <xf numFmtId="0" fontId="5" fillId="3" borderId="1" xfId="0" applyFont="1" applyFill="1" applyBorder="1"/>
    <xf numFmtId="0" fontId="5" fillId="0" borderId="1" xfId="0" applyFont="1" applyBorder="1"/>
    <xf numFmtId="9" fontId="9" fillId="0" borderId="0" xfId="0" applyNumberFormat="1" applyFont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49" fontId="6" fillId="5" borderId="2" xfId="0" applyNumberFormat="1" applyFont="1" applyFill="1" applyBorder="1" applyAlignment="1" applyProtection="1">
      <alignment horizontal="center" vertical="center"/>
      <protection locked="0"/>
    </xf>
    <xf numFmtId="49" fontId="6" fillId="5" borderId="5" xfId="0" applyNumberFormat="1" applyFont="1" applyFill="1" applyBorder="1" applyAlignment="1" applyProtection="1">
      <alignment horizontal="center" vertical="center"/>
      <protection locked="0"/>
    </xf>
    <xf numFmtId="14" fontId="5" fillId="5" borderId="2" xfId="0" applyNumberFormat="1" applyFont="1" applyFill="1" applyBorder="1" applyAlignment="1" applyProtection="1">
      <alignment horizontal="center" vertical="center"/>
      <protection locked="0"/>
    </xf>
    <xf numFmtId="14" fontId="6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pivotButton="1" applyFont="1" applyBorder="1" applyAlignment="1">
      <alignment vertical="center"/>
    </xf>
    <xf numFmtId="0" fontId="5" fillId="0" borderId="6" xfId="0" pivotButton="1" applyFont="1" applyBorder="1" applyAlignment="1">
      <alignment horizontal="left" vertical="center"/>
    </xf>
    <xf numFmtId="0" fontId="5" fillId="0" borderId="6" xfId="0" pivotButton="1" applyFont="1" applyBorder="1" applyAlignment="1">
      <alignment horizontal="center" vertical="center"/>
    </xf>
    <xf numFmtId="0" fontId="5" fillId="0" borderId="0" xfId="0" pivotButton="1" applyFont="1" applyAlignment="1">
      <alignment horizontal="center"/>
    </xf>
    <xf numFmtId="0" fontId="5" fillId="0" borderId="6" xfId="0" pivotButton="1" applyFont="1" applyBorder="1" applyAlignment="1">
      <alignment horizontal="center" vertical="center" wrapText="1"/>
    </xf>
    <xf numFmtId="9" fontId="5" fillId="0" borderId="0" xfId="0" applyNumberFormat="1" applyFont="1"/>
  </cellXfs>
  <cellStyles count="1">
    <cellStyle name="Normal" xfId="0" builtinId="0"/>
  </cellStyles>
  <dxfs count="567"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center" wrapText="1"/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3" formatCode="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  <dxf>
      <font>
        <b/>
        <color theme="1"/>
      </font>
      <border>
        <bottom style="thin">
          <color rgb="FF83B6B4"/>
        </bottom>
        <vertical/>
        <horizontal/>
      </border>
    </dxf>
    <dxf>
      <font>
        <sz val="10"/>
        <color theme="1"/>
        <name val="Candara"/>
        <family val="2"/>
        <scheme val="none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/>
        <horizontal/>
      </border>
    </dxf>
    <dxf>
      <fill>
        <patternFill patternType="solid">
          <fgColor rgb="FFB5D3D2"/>
          <bgColor rgb="FFE6F0F0"/>
        </patternFill>
      </fill>
    </dxf>
    <dxf>
      <fill>
        <patternFill patternType="solid">
          <fgColor rgb="FFB5D3D2"/>
          <bgColor rgb="FFE6F0F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83B6B4"/>
        </top>
      </border>
    </dxf>
    <dxf>
      <font>
        <b/>
        <color theme="0"/>
      </font>
      <fill>
        <patternFill patternType="solid">
          <fgColor rgb="FF83B6B4"/>
          <bgColor rgb="FF83B6B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/>
        <vertical style="thin">
          <color rgb="FFFFFFFF"/>
        </vertical>
        <horizontal style="thin">
          <color rgb="FFFFFFFF"/>
        </horizontal>
      </border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</dxfs>
  <tableStyles count="3" defaultTableStyle="TableStyleLight9 2" defaultPivotStyle="PivotStyleLight16">
    <tableStyle name="Gantt" pivot="0" count="7" xr9:uid="{A15CA199-4B0A-475C-9283-37FC0C5BA99A}">
      <tableStyleElement type="wholeTable" dxfId="566"/>
      <tableStyleElement type="headerRow" dxfId="565"/>
      <tableStyleElement type="totalRow" dxfId="564"/>
      <tableStyleElement type="firstColumn" dxfId="563"/>
      <tableStyleElement type="lastColumn" dxfId="562"/>
      <tableStyleElement type="firstRowStripe" dxfId="561"/>
      <tableStyleElement type="firstColumnStripe" dxfId="560"/>
    </tableStyle>
    <tableStyle name="SlicerStyleLight1 2" pivot="0" table="0" count="10" xr9:uid="{9A197BD7-324C-40BD-A435-AE56A387673A}">
      <tableStyleElement type="wholeTable" dxfId="559"/>
      <tableStyleElement type="headerRow" dxfId="558"/>
    </tableStyle>
    <tableStyle name="TableStyleLight9 2" pivot="0" count="9" xr9:uid="{1792FF40-0E61-431A-9802-304E660C78CA}">
      <tableStyleElement type="wholeTable" dxfId="557"/>
      <tableStyleElement type="headerRow" dxfId="556"/>
      <tableStyleElement type="totalRow" dxfId="555"/>
      <tableStyleElement type="firstColumn" dxfId="554"/>
      <tableStyleElement type="lastColumn" dxfId="553"/>
      <tableStyleElement type="firstRowStripe" dxfId="552"/>
      <tableStyleElement type="secondRowStripe" dxfId="551"/>
      <tableStyleElement type="firstColumnStripe" dxfId="550"/>
      <tableStyleElement type="secondColumnStripe" dxfId="549"/>
    </tableStyle>
  </tableStyles>
  <colors>
    <mruColors>
      <color rgb="FFFFCCCC"/>
      <color rgb="FFFFFFFF"/>
      <color rgb="FFB5D3D2"/>
      <color rgb="FFFF7D7D"/>
      <color rgb="FFE6F0F0"/>
      <color rgb="FFB5D2D1"/>
      <color rgb="FF83B6B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theme="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E6F0F0"/>
              <bgColor rgb="FFE6F0F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B5D3D2"/>
              <bgColor rgb="FFB5D2D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 2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microsoft.com/office/2017/10/relationships/person" Target="persons/person5.xml"/><Relationship Id="rId3" Type="http://schemas.openxmlformats.org/officeDocument/2006/relationships/worksheet" Target="worksheets/sheet3.xml"/><Relationship Id="rId21" Type="http://schemas.microsoft.com/office/2017/10/relationships/person" Target="persons/person0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17/10/relationships/person" Target="persons/person4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24" Type="http://schemas.microsoft.com/office/2017/10/relationships/person" Target="persons/person6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23" Type="http://schemas.microsoft.com/office/2017/10/relationships/person" Target="persons/person7.xml"/><Relationship Id="rId10" Type="http://schemas.openxmlformats.org/officeDocument/2006/relationships/theme" Target="theme/theme1.xml"/><Relationship Id="rId19" Type="http://schemas.microsoft.com/office/2017/10/relationships/person" Target="persons/person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Relationship Id="rId22" Type="http://schemas.microsoft.com/office/2017/10/relationships/person" Target="persons/person2.xml"/></Relationships>
</file>

<file path=xl/ctrlProps/ctrlProp1.xml><?xml version="1.0" encoding="utf-8"?>
<formControlPr xmlns="http://schemas.microsoft.com/office/spreadsheetml/2009/9/main" objectType="Scroll" dx="26" fmlaLink="'Données de référence'!$D$3" horiz="1" inc="7" max="200" page="7" val="0"/>
</file>

<file path=xl/ctrlProps/ctrlProp2.xml><?xml version="1.0" encoding="utf-8"?>
<formControlPr xmlns="http://schemas.microsoft.com/office/spreadsheetml/2009/9/main" objectType="Scroll" dx="26" fmlaLink="'Données de référence'!$D$3" horiz="1" inc="7" max="200" page="7" val="0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8</xdr:row>
          <xdr:rowOff>7620</xdr:rowOff>
        </xdr:from>
        <xdr:to>
          <xdr:col>19</xdr:col>
          <xdr:colOff>259080</xdr:colOff>
          <xdr:row>10</xdr:row>
          <xdr:rowOff>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5</xdr:col>
      <xdr:colOff>1051558</xdr:colOff>
      <xdr:row>3</xdr:row>
      <xdr:rowOff>54293</xdr:rowOff>
    </xdr:from>
    <xdr:to>
      <xdr:col>11</xdr:col>
      <xdr:colOff>739775</xdr:colOff>
      <xdr:row>6</xdr:row>
      <xdr:rowOff>135573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sp tâche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20621" y="564833"/>
              <a:ext cx="6069967" cy="6242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160020</xdr:rowOff>
        </xdr:from>
        <xdr:to>
          <xdr:col>17</xdr:col>
          <xdr:colOff>243840</xdr:colOff>
          <xdr:row>8</xdr:row>
          <xdr:rowOff>129540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973454</xdr:colOff>
      <xdr:row>4</xdr:row>
      <xdr:rowOff>129541</xdr:rowOff>
    </xdr:from>
    <xdr:to>
      <xdr:col>10</xdr:col>
      <xdr:colOff>53340</xdr:colOff>
      <xdr:row>7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esp tâche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4194" y="857251"/>
              <a:ext cx="4497706" cy="5734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403860</xdr:rowOff>
        </xdr:from>
        <xdr:to>
          <xdr:col>18</xdr:col>
          <xdr:colOff>868680</xdr:colOff>
          <xdr:row>2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 Dependances Tâches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_REPO\FULLSTACK\my-chess-game\CHEFFERIE%20DE%20PROJET\EXCEL\chantier%20apr&#232;s%20r&#233;ception%20kit%20payant\fichiers%20&#224;%20optimiser\07.%20Gantt%20Chart%20Excel%20Template%20with%20Dependencies.xlsx" TargetMode="External"/><Relationship Id="rId1" Type="http://schemas.openxmlformats.org/officeDocument/2006/relationships/externalLinkPath" Target="fichiers%20&#224;%20optimiser/07.%20Gantt%20Chart%20Excel%20Template%20with%20Dependenc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antt"/>
      <sheetName val="Readme"/>
    </sheet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onton David" refreshedDate="45061.655424074073" createdVersion="8" refreshedVersion="8" minRefreshableVersion="3" recordCount="40" xr:uid="{F0CBC781-FDFE-4E31-948B-C4E71E83F323}">
  <cacheSource type="worksheet">
    <worksheetSource name="Tableau3"/>
  </cacheSource>
  <cacheFields count="16">
    <cacheField name="Releases" numFmtId="0">
      <sharedItems count="5">
        <s v="1.9.4"/>
        <s v="1.9.5"/>
        <s v="1.9.6"/>
        <s v="1.9.7"/>
        <s v="1.9.8"/>
      </sharedItems>
    </cacheField>
    <cacheField name="N° tâche" numFmtId="0">
      <sharedItems containsMixedTypes="1" containsNumber="1" containsInteger="1" minValue="1" maxValue="5" count="40">
        <n v="1"/>
        <s v="1.0"/>
        <s v="1.1"/>
        <s v="1.2"/>
        <s v="1.3"/>
        <s v="1.4"/>
        <n v="2"/>
        <s v="2.1"/>
        <s v="2.2"/>
        <s v="2.3"/>
        <s v="2.4"/>
        <s v="2.5"/>
        <n v="3"/>
        <s v="3.1"/>
        <s v="3.2"/>
        <s v="3.3"/>
        <s v="3.4"/>
        <s v="3.5"/>
        <s v="3.6"/>
        <n v="4"/>
        <s v="4.1"/>
        <s v="4.2"/>
        <s v="4.3"/>
        <s v="4.4"/>
        <s v="4.5"/>
        <s v="4.6"/>
        <s v="4.7"/>
        <s v="4.8"/>
        <s v="4.9"/>
        <s v="4.10"/>
        <s v="4.11"/>
        <s v="4.12"/>
        <s v="4.13"/>
        <s v="4.14"/>
        <s v="4.15"/>
        <n v="5"/>
        <s v="5.1"/>
        <s v="5.2"/>
        <s v="5.3"/>
        <s v="5.4"/>
      </sharedItems>
    </cacheField>
    <cacheField name="Description tâche" numFmtId="0">
      <sharedItems containsBlank="1"/>
    </cacheField>
    <cacheField name="Dépendances" numFmtId="0">
      <sharedItems containsBlank="1"/>
    </cacheField>
    <cacheField name="Type _x000a_tâche" numFmtId="0">
      <sharedItems count="21">
        <s v="Evol P1"/>
        <s v="Ano/Def"/>
        <s v="Evol P2"/>
        <s v="Evol P3"/>
        <s v="Evol P4"/>
        <s v="Evol P5"/>
        <s v="Evol P6"/>
        <s v="Evol P7"/>
        <s v="Evol P8"/>
        <s v="Evol P9"/>
        <s v="Evol P10"/>
        <s v="Evol P11"/>
        <s v="Evol P12"/>
        <s v="Evol P13"/>
        <s v="Evol P14"/>
        <s v="Evol P15"/>
        <s v="Evol P16"/>
        <s v="Evol P17"/>
        <s v="Evol P18"/>
        <s v="Evol P19"/>
        <s v="Evol P20"/>
      </sharedItems>
    </cacheField>
    <cacheField name="Resp tâche" numFmtId="0">
      <sharedItems count="7">
        <s v="Benoit Gallou"/>
        <s v="Dorian Dauphin"/>
        <s v="Sylvain Cailleau"/>
        <s v="Lamine Bougueroua"/>
        <s v="Florin Sansom"/>
        <s v="Ladd" u="1"/>
        <s v="Wood" u="1"/>
      </sharedItems>
    </cacheField>
    <cacheField name="Statut" numFmtId="0">
      <sharedItems count="4">
        <s v="Terminé"/>
        <s v="Assigné"/>
        <s v="En retard"/>
        <s v="Non assigné"/>
      </sharedItems>
    </cacheField>
    <cacheField name="Priorité" numFmtId="0">
      <sharedItems/>
    </cacheField>
    <cacheField name="Chiffrage initial" numFmtId="0">
      <sharedItems containsSemiMixedTypes="0" containsString="0" containsNumber="1" minValue="3" maxValue="31" count="10">
        <n v="10.5"/>
        <n v="6"/>
        <n v="31"/>
        <n v="9"/>
        <n v="4"/>
        <n v="7"/>
        <n v="5"/>
        <n v="8"/>
        <n v="3"/>
        <n v="10"/>
      </sharedItems>
    </cacheField>
    <cacheField name="RAF" numFmtId="0">
      <sharedItems containsSemiMixedTypes="0" containsString="0" containsNumber="1" minValue="0" maxValue="8" count="10">
        <n v="2.5"/>
        <n v="6"/>
        <n v="4"/>
        <n v="3"/>
        <n v="1"/>
        <n v="0"/>
        <n v="2"/>
        <n v="8"/>
        <n v="5"/>
        <n v="7"/>
      </sharedItems>
    </cacheField>
    <cacheField name="RAF et durée réelle validés le" numFmtId="14">
      <sharedItems containsDate="1" containsBlank="1" containsMixedTypes="1" minDate="2023-01-01T00:00:00" maxDate="2023-04-29T00:00:00"/>
    </cacheField>
    <cacheField name="Durée réelle" numFmtId="0">
      <sharedItems containsSemiMixedTypes="0" containsString="0" containsNumber="1" minValue="3" maxValue="31" count="11">
        <n v="8.5"/>
        <n v="6"/>
        <n v="31"/>
        <n v="9"/>
        <n v="4"/>
        <n v="7"/>
        <n v="5"/>
        <n v="8"/>
        <n v="3"/>
        <n v="10"/>
        <n v="9.5" u="1"/>
      </sharedItems>
    </cacheField>
    <cacheField name="Date début" numFmtId="14">
      <sharedItems containsDate="1" containsMixedTypes="1" minDate="1900-01-03T00:00:00" maxDate="2023-05-07T00:00:00" count="49">
        <d v="2023-04-25T00:00:00"/>
        <d v="2023-05-06T00:00:00"/>
        <d v="2023-05-05T00:00:00"/>
        <s v="02/01/2023"/>
        <d v="2023-03-09T00:00:00" u="1"/>
        <d v="2023-02-23T00:00:00" u="1"/>
        <d v="2023-03-02T00:00:00" u="1"/>
        <d v="2023-03-21T00:00:00" u="1"/>
        <s v="01/01/2023" u="1"/>
        <d v="2023-03-14T00:00:00" u="1"/>
        <d v="2023-02-28T00:00:00" u="1"/>
        <d v="2023-03-07T00:00:00" u="1"/>
        <d v="2023-02-21T00:00:00" u="1"/>
        <d v="2023-03-26T00:00:00" u="1"/>
        <d v="2023-03-19T00:00:00" u="1"/>
        <d v="2023-03-12T00:00:00" u="1"/>
        <d v="2023-02-26T00:00:00" u="1"/>
        <d v="2023-03-05T00:00:00" u="1"/>
        <d v="2023-02-19T00:00:00" u="1"/>
        <d v="2023-03-24T00:00:00" u="1"/>
        <d v="1900-01-03T00:00:00" u="1"/>
        <d v="2023-03-17T00:00:00" u="1"/>
        <d v="2023-03-10T00:00:00" u="1"/>
        <d v="2023-02-24T00:00:00" u="1"/>
        <d v="1900-01-08T00:00:00" u="1"/>
        <d v="2023-01-12T00:00:00" u="1"/>
        <d v="2023-03-03T00:00:00" u="1"/>
        <d v="2023-02-17T00:00:00" u="1"/>
        <d v="2023-03-22T00:00:00" u="1"/>
        <d v="2023-03-15T00:00:00" u="1"/>
        <d v="2023-03-08T00:00:00" u="1"/>
        <d v="2023-02-22T00:00:00" u="1"/>
        <d v="2023-03-27T00:00:00" u="1"/>
        <d v="2023-03-01T00:00:00" u="1"/>
        <d v="2023-03-20T00:00:00" u="1"/>
        <d v="2023-03-13T00:00:00" u="1"/>
        <d v="2023-02-27T00:00:00" u="1"/>
        <d v="2023-03-06T00:00:00" u="1"/>
        <d v="2023-02-20T00:00:00" u="1"/>
        <d v="2023-03-25T00:00:00" u="1"/>
        <d v="2023-03-18T00:00:00" u="1"/>
        <d v="2023-03-11T00:00:00" u="1"/>
        <d v="2023-02-25T00:00:00" u="1"/>
        <d v="2023-01-13T00:00:00" u="1"/>
        <d v="2023-03-04T00:00:00" u="1"/>
        <d v="2023-02-18T00:00:00" u="1"/>
        <d v="2023-03-23T00:00:00" u="1"/>
        <d v="2023-04-28T00:00:00" u="1"/>
        <d v="2023-03-16T00:00:00" u="1"/>
      </sharedItems>
    </cacheField>
    <cacheField name="Date fin" numFmtId="14">
      <sharedItems containsSemiMixedTypes="0" containsNonDate="0" containsDate="1" containsString="0" minDate="1900-01-03T00:00:00" maxDate="2023-12-31T00:00:00" count="58">
        <d v="2023-05-04T00:00:00"/>
        <d v="2023-05-02T00:00:00"/>
        <d v="2023-06-06T00:00:00"/>
        <d v="2023-05-05T00:00:00"/>
        <d v="2023-04-28T00:00:00"/>
        <d v="2023-05-03T00:00:00"/>
        <d v="2023-05-01T00:00:00"/>
        <d v="2023-05-18T00:00:00"/>
        <d v="2023-05-16T00:00:00"/>
        <d v="2023-04-27T00:00:00"/>
        <d v="2023-05-08T00:00:00"/>
        <d v="2023-01-05T00:00:00"/>
        <d v="2023-01-04T00:00:00"/>
        <d v="2023-03-31T00:00:00" u="1"/>
        <d v="2023-01-10T00:00:00" u="1"/>
        <d v="2023-03-27T00:00:00" u="1"/>
        <d v="2023-01-06T00:00:00" u="1"/>
        <d v="2023-03-23T00:00:00" u="1"/>
        <d v="2023-04-04T00:00:00" u="1"/>
        <d v="2023-03-15T00:00:00" u="1"/>
        <d v="2023-03-07T00:00:00" u="1"/>
        <d v="2023-03-03T00:00:00" u="1"/>
        <d v="1900-01-07T00:00:00" u="1"/>
        <d v="2023-01-25T00:00:00" u="1"/>
        <d v="1900-01-03T00:00:00" u="1"/>
        <d v="2023-01-13T00:00:00" u="1"/>
        <d v="2023-03-30T00:00:00" u="1"/>
        <d v="2023-01-09T00:00:00" u="1"/>
        <d v="2023-04-07T00:00:00" u="1"/>
        <d v="2023-03-22T00:00:00" u="1"/>
        <d v="2023-04-03T00:00:00" u="1"/>
        <d v="2023-03-10T00:00:00" u="1"/>
        <d v="2023-03-06T00:00:00" u="1"/>
        <d v="2023-03-02T00:00:00" u="1"/>
        <d v="2023-02-13T00:00:00" u="1"/>
        <d v="2023-04-26T00:00:00" u="1"/>
        <d v="2023-01-12T00:00:00" u="1"/>
        <d v="2023-03-29T00:00:00" u="1"/>
        <d v="2022-12-31T00:00:00" u="1"/>
        <d v="2023-03-21T00:00:00" u="1"/>
        <d v="2023-03-13T00:00:00" u="1"/>
        <d v="2023-02-28T00:00:00" u="1"/>
        <d v="2023-03-09T00:00:00" u="1"/>
        <d v="2023-02-24T00:00:00" u="1"/>
        <d v="2023-03-01T00:00:00" u="1"/>
        <d v="1900-01-05T00:00:00" u="1"/>
        <d v="2023-01-23T00:00:00" u="1"/>
        <d v="2023-04-25T00:00:00" u="1"/>
        <d v="2023-01-11T00:00:00" u="1"/>
        <d v="2023-03-28T00:00:00" u="1"/>
        <d v="2023-03-24T00:00:00" u="1"/>
        <d v="2023-12-30T00:00:00" u="1"/>
        <d v="2023-03-20T00:00:00" u="1"/>
        <d v="2023-03-16T00:00:00" u="1"/>
        <d v="2023-02-27T00:00:00" u="1"/>
        <d v="2023-03-08T00:00:00" u="1"/>
        <d v="2023-02-23T00:00:00" u="1"/>
        <d v="2023-04-24T00:00:00" u="1"/>
      </sharedItems>
    </cacheField>
    <cacheField name="Date disponibilité responsable       " numFmtId="14">
      <sharedItems containsNonDate="0" containsDate="1" containsString="0" containsBlank="1" minDate="2023-04-25T00:00:00" maxDate="2023-04-26T00:00:00"/>
    </cacheField>
    <cacheField name="% avancement" numFmtId="9">
      <sharedItems containsSemiMixedTypes="0" containsString="0" containsNumber="1" minValue="0" maxValue="1" count="22">
        <n v="0.70588235294117652"/>
        <n v="0"/>
        <n v="0.87096774193548387"/>
        <n v="0.66666666666666663"/>
        <n v="0.75"/>
        <n v="1"/>
        <n v="0.5714285714285714"/>
        <n v="0.6"/>
        <n v="0.88888888888888884"/>
        <n v="0.5"/>
        <n v="0.55555555555555558"/>
        <n v="0.16666666666666666"/>
        <n v="0.2"/>
        <n v="0.7142857142857143"/>
        <n v="0.33333333333333331"/>
        <n v="0.1111111111111111"/>
        <n v="0.8"/>
        <n v="0.375"/>
        <n v="0.7"/>
        <n v="0.4"/>
        <n v="0.3"/>
        <n v="0.73684210526315785" u="1"/>
      </sharedItems>
    </cacheField>
  </cacheFields>
  <extLst>
    <ext xmlns:x14="http://schemas.microsoft.com/office/spreadsheetml/2009/9/main" uri="{725AE2AE-9491-48be-B2B4-4EB974FC3084}">
      <x14:pivotCacheDefinition pivotCacheId="7820796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s v="Edition/validation - Visualisation d'une année de valeurs"/>
    <m/>
    <x v="0"/>
    <x v="0"/>
    <x v="0"/>
    <s v="Haute"/>
    <x v="0"/>
    <x v="0"/>
    <d v="2023-04-25T00:00:00"/>
    <x v="0"/>
    <x v="0"/>
    <x v="0"/>
    <d v="2023-04-25T00:00:00"/>
    <x v="0"/>
  </r>
  <r>
    <x v="0"/>
    <x v="1"/>
    <m/>
    <m/>
    <x v="1"/>
    <x v="1"/>
    <x v="1"/>
    <s v="Haute"/>
    <x v="1"/>
    <x v="1"/>
    <d v="2023-04-25T00:00:00"/>
    <x v="1"/>
    <x v="0"/>
    <x v="1"/>
    <d v="2023-04-25T00:00:00"/>
    <x v="1"/>
  </r>
  <r>
    <x v="0"/>
    <x v="2"/>
    <m/>
    <m/>
    <x v="0"/>
    <x v="2"/>
    <x v="2"/>
    <s v="Moyenne"/>
    <x v="2"/>
    <x v="2"/>
    <d v="2023-04-25T00:00:00"/>
    <x v="2"/>
    <x v="0"/>
    <x v="2"/>
    <d v="2023-04-25T00:00:00"/>
    <x v="2"/>
  </r>
  <r>
    <x v="0"/>
    <x v="3"/>
    <m/>
    <m/>
    <x v="2"/>
    <x v="3"/>
    <x v="3"/>
    <s v="Basse"/>
    <x v="3"/>
    <x v="3"/>
    <d v="2023-04-25T00:00:00"/>
    <x v="3"/>
    <x v="0"/>
    <x v="3"/>
    <d v="2023-04-25T00:00:00"/>
    <x v="3"/>
  </r>
  <r>
    <x v="0"/>
    <x v="4"/>
    <m/>
    <m/>
    <x v="2"/>
    <x v="4"/>
    <x v="0"/>
    <s v="Haute"/>
    <x v="4"/>
    <x v="4"/>
    <d v="2023-04-25T00:00:00"/>
    <x v="4"/>
    <x v="0"/>
    <x v="4"/>
    <d v="2023-04-25T00:00:00"/>
    <x v="4"/>
  </r>
  <r>
    <x v="0"/>
    <x v="5"/>
    <m/>
    <m/>
    <x v="1"/>
    <x v="0"/>
    <x v="1"/>
    <s v="Moyenne"/>
    <x v="1"/>
    <x v="5"/>
    <d v="2023-04-25T00:00:00"/>
    <x v="1"/>
    <x v="0"/>
    <x v="1"/>
    <d v="2023-04-25T00:00:00"/>
    <x v="5"/>
  </r>
  <r>
    <x v="0"/>
    <x v="6"/>
    <m/>
    <m/>
    <x v="3"/>
    <x v="1"/>
    <x v="2"/>
    <s v="Basse"/>
    <x v="5"/>
    <x v="3"/>
    <d v="2023-04-25T00:00:00"/>
    <x v="5"/>
    <x v="0"/>
    <x v="5"/>
    <d v="2023-04-25T00:00:00"/>
    <x v="6"/>
  </r>
  <r>
    <x v="0"/>
    <x v="7"/>
    <m/>
    <m/>
    <x v="4"/>
    <x v="2"/>
    <x v="3"/>
    <s v="Haute"/>
    <x v="6"/>
    <x v="6"/>
    <d v="2023-04-24T00:00:00"/>
    <x v="6"/>
    <x v="0"/>
    <x v="6"/>
    <d v="2023-04-25T00:00:00"/>
    <x v="7"/>
  </r>
  <r>
    <x v="0"/>
    <x v="8"/>
    <m/>
    <s v="1.2"/>
    <x v="3"/>
    <x v="3"/>
    <x v="0"/>
    <s v="Moyenne"/>
    <x v="3"/>
    <x v="4"/>
    <d v="2023-04-25T00:00:00"/>
    <x v="3"/>
    <x v="1"/>
    <x v="7"/>
    <d v="2023-04-25T00:00:00"/>
    <x v="8"/>
  </r>
  <r>
    <x v="0"/>
    <x v="9"/>
    <m/>
    <m/>
    <x v="1"/>
    <x v="4"/>
    <x v="1"/>
    <s v="Basse"/>
    <x v="1"/>
    <x v="3"/>
    <d v="2023-04-25T00:00:00"/>
    <x v="1"/>
    <x v="0"/>
    <x v="1"/>
    <d v="2023-04-25T00:00:00"/>
    <x v="9"/>
  </r>
  <r>
    <x v="1"/>
    <x v="10"/>
    <m/>
    <m/>
    <x v="5"/>
    <x v="0"/>
    <x v="2"/>
    <s v="Haute"/>
    <x v="5"/>
    <x v="7"/>
    <d v="2023-04-25T00:00:00"/>
    <x v="7"/>
    <x v="0"/>
    <x v="0"/>
    <d v="2023-04-25T00:00:00"/>
    <x v="1"/>
  </r>
  <r>
    <x v="1"/>
    <x v="11"/>
    <m/>
    <m/>
    <x v="6"/>
    <x v="1"/>
    <x v="3"/>
    <s v="Moyenne"/>
    <x v="3"/>
    <x v="2"/>
    <d v="2023-04-25T00:00:00"/>
    <x v="3"/>
    <x v="0"/>
    <x v="3"/>
    <d v="2023-04-25T00:00:00"/>
    <x v="10"/>
  </r>
  <r>
    <x v="1"/>
    <x v="12"/>
    <m/>
    <s v="2.4"/>
    <x v="4"/>
    <x v="2"/>
    <x v="0"/>
    <s v="Basse"/>
    <x v="7"/>
    <x v="5"/>
    <d v="2023-01-01T00:00:00"/>
    <x v="7"/>
    <x v="2"/>
    <x v="8"/>
    <m/>
    <x v="5"/>
  </r>
  <r>
    <x v="1"/>
    <x v="13"/>
    <m/>
    <s v="1.2"/>
    <x v="1"/>
    <x v="3"/>
    <x v="1"/>
    <s v="Haute"/>
    <x v="5"/>
    <x v="3"/>
    <m/>
    <x v="5"/>
    <x v="1"/>
    <x v="8"/>
    <d v="2023-04-25T00:00:00"/>
    <x v="6"/>
  </r>
  <r>
    <x v="1"/>
    <x v="14"/>
    <m/>
    <m/>
    <x v="7"/>
    <x v="4"/>
    <x v="2"/>
    <s v="Moyenne"/>
    <x v="4"/>
    <x v="4"/>
    <d v="2023-04-25T00:00:00"/>
    <x v="4"/>
    <x v="0"/>
    <x v="4"/>
    <d v="2023-04-25T00:00:00"/>
    <x v="4"/>
  </r>
  <r>
    <x v="1"/>
    <x v="15"/>
    <m/>
    <m/>
    <x v="8"/>
    <x v="0"/>
    <x v="3"/>
    <s v="Basse"/>
    <x v="1"/>
    <x v="3"/>
    <d v="2023-04-25T00:00:00"/>
    <x v="1"/>
    <x v="0"/>
    <x v="1"/>
    <d v="2023-04-25T00:00:00"/>
    <x v="9"/>
  </r>
  <r>
    <x v="1"/>
    <x v="16"/>
    <m/>
    <m/>
    <x v="5"/>
    <x v="1"/>
    <x v="0"/>
    <s v="Haute"/>
    <x v="1"/>
    <x v="8"/>
    <d v="2023-04-25T00:00:00"/>
    <x v="1"/>
    <x v="0"/>
    <x v="1"/>
    <d v="2023-04-25T00:00:00"/>
    <x v="11"/>
  </r>
  <r>
    <x v="1"/>
    <x v="17"/>
    <m/>
    <m/>
    <x v="1"/>
    <x v="2"/>
    <x v="1"/>
    <s v="Moyenne"/>
    <x v="4"/>
    <x v="4"/>
    <d v="2023-04-25T00:00:00"/>
    <x v="4"/>
    <x v="0"/>
    <x v="4"/>
    <d v="2023-04-25T00:00:00"/>
    <x v="4"/>
  </r>
  <r>
    <x v="1"/>
    <x v="18"/>
    <m/>
    <m/>
    <x v="9"/>
    <x v="3"/>
    <x v="2"/>
    <s v="Basse"/>
    <x v="5"/>
    <x v="3"/>
    <d v="2023-04-25T00:00:00"/>
    <x v="5"/>
    <x v="0"/>
    <x v="5"/>
    <d v="2023-04-25T00:00:00"/>
    <x v="6"/>
  </r>
  <r>
    <x v="1"/>
    <x v="19"/>
    <m/>
    <m/>
    <x v="10"/>
    <x v="2"/>
    <x v="3"/>
    <s v="Haute"/>
    <x v="8"/>
    <x v="3"/>
    <d v="2023-04-25T00:00:00"/>
    <x v="8"/>
    <x v="0"/>
    <x v="9"/>
    <d v="2023-04-25T00:00:00"/>
    <x v="1"/>
  </r>
  <r>
    <x v="2"/>
    <x v="20"/>
    <m/>
    <m/>
    <x v="6"/>
    <x v="0"/>
    <x v="0"/>
    <s v="Moyenne"/>
    <x v="9"/>
    <x v="8"/>
    <d v="2023-04-25T00:00:00"/>
    <x v="9"/>
    <x v="0"/>
    <x v="10"/>
    <d v="2023-04-25T00:00:00"/>
    <x v="9"/>
  </r>
  <r>
    <x v="2"/>
    <x v="21"/>
    <m/>
    <m/>
    <x v="1"/>
    <x v="1"/>
    <x v="1"/>
    <s v="Basse"/>
    <x v="6"/>
    <x v="2"/>
    <d v="2023-04-25T00:00:00"/>
    <x v="6"/>
    <x v="0"/>
    <x v="6"/>
    <d v="2023-04-25T00:00:00"/>
    <x v="12"/>
  </r>
  <r>
    <x v="2"/>
    <x v="22"/>
    <m/>
    <m/>
    <x v="11"/>
    <x v="2"/>
    <x v="2"/>
    <s v="Haute"/>
    <x v="5"/>
    <x v="3"/>
    <d v="2023-04-25T00:00:00"/>
    <x v="5"/>
    <x v="0"/>
    <x v="5"/>
    <d v="2023-04-25T00:00:00"/>
    <x v="6"/>
  </r>
  <r>
    <x v="2"/>
    <x v="23"/>
    <m/>
    <m/>
    <x v="12"/>
    <x v="3"/>
    <x v="3"/>
    <s v="Moyenne"/>
    <x v="5"/>
    <x v="6"/>
    <d v="2023-04-25T00:00:00"/>
    <x v="5"/>
    <x v="0"/>
    <x v="5"/>
    <d v="2023-04-25T00:00:00"/>
    <x v="13"/>
  </r>
  <r>
    <x v="2"/>
    <x v="24"/>
    <m/>
    <m/>
    <x v="7"/>
    <x v="4"/>
    <x v="0"/>
    <s v="Basse"/>
    <x v="8"/>
    <x v="6"/>
    <d v="2023-04-25T00:00:00"/>
    <x v="8"/>
    <x v="0"/>
    <x v="9"/>
    <d v="2023-04-25T00:00:00"/>
    <x v="14"/>
  </r>
  <r>
    <x v="3"/>
    <x v="25"/>
    <m/>
    <m/>
    <x v="1"/>
    <x v="0"/>
    <x v="1"/>
    <s v="Haute"/>
    <x v="3"/>
    <x v="7"/>
    <d v="2023-04-25T00:00:00"/>
    <x v="3"/>
    <x v="0"/>
    <x v="3"/>
    <d v="2023-04-25T00:00:00"/>
    <x v="15"/>
  </r>
  <r>
    <x v="3"/>
    <x v="26"/>
    <m/>
    <m/>
    <x v="13"/>
    <x v="1"/>
    <x v="2"/>
    <s v="Moyenne"/>
    <x v="9"/>
    <x v="6"/>
    <d v="2023-04-25T00:00:00"/>
    <x v="9"/>
    <x v="0"/>
    <x v="10"/>
    <d v="2023-04-25T00:00:00"/>
    <x v="16"/>
  </r>
  <r>
    <x v="3"/>
    <x v="27"/>
    <m/>
    <m/>
    <x v="14"/>
    <x v="2"/>
    <x v="3"/>
    <s v="Basse"/>
    <x v="4"/>
    <x v="5"/>
    <m/>
    <x v="4"/>
    <x v="3"/>
    <x v="11"/>
    <m/>
    <x v="5"/>
  </r>
  <r>
    <x v="3"/>
    <x v="28"/>
    <m/>
    <m/>
    <x v="8"/>
    <x v="3"/>
    <x v="0"/>
    <s v="Haute"/>
    <x v="7"/>
    <x v="8"/>
    <d v="2023-04-25T00:00:00"/>
    <x v="7"/>
    <x v="0"/>
    <x v="0"/>
    <d v="2023-04-25T00:00:00"/>
    <x v="17"/>
  </r>
  <r>
    <x v="3"/>
    <x v="29"/>
    <m/>
    <m/>
    <x v="1"/>
    <x v="4"/>
    <x v="1"/>
    <s v="Moyenne"/>
    <x v="9"/>
    <x v="3"/>
    <d v="2023-04-25T00:00:00"/>
    <x v="9"/>
    <x v="0"/>
    <x v="10"/>
    <d v="2023-04-25T00:00:00"/>
    <x v="18"/>
  </r>
  <r>
    <x v="3"/>
    <x v="30"/>
    <m/>
    <m/>
    <x v="15"/>
    <x v="0"/>
    <x v="2"/>
    <s v="Basse"/>
    <x v="1"/>
    <x v="3"/>
    <d v="2023-04-25T00:00:00"/>
    <x v="1"/>
    <x v="0"/>
    <x v="1"/>
    <d v="2023-04-25T00:00:00"/>
    <x v="9"/>
  </r>
  <r>
    <x v="3"/>
    <x v="31"/>
    <m/>
    <m/>
    <x v="16"/>
    <x v="1"/>
    <x v="3"/>
    <s v="Haute"/>
    <x v="4"/>
    <x v="6"/>
    <d v="2023-04-25T00:00:00"/>
    <x v="4"/>
    <x v="0"/>
    <x v="4"/>
    <d v="2023-04-25T00:00:00"/>
    <x v="9"/>
  </r>
  <r>
    <x v="4"/>
    <x v="32"/>
    <m/>
    <m/>
    <x v="9"/>
    <x v="2"/>
    <x v="0"/>
    <s v="Moyenne"/>
    <x v="5"/>
    <x v="3"/>
    <d v="2023-04-25T00:00:00"/>
    <x v="5"/>
    <x v="0"/>
    <x v="5"/>
    <d v="2023-04-25T00:00:00"/>
    <x v="6"/>
  </r>
  <r>
    <x v="4"/>
    <x v="33"/>
    <m/>
    <m/>
    <x v="1"/>
    <x v="3"/>
    <x v="1"/>
    <s v="Basse"/>
    <x v="3"/>
    <x v="2"/>
    <d v="2023-04-25T00:00:00"/>
    <x v="3"/>
    <x v="0"/>
    <x v="3"/>
    <d v="2023-04-25T00:00:00"/>
    <x v="10"/>
  </r>
  <r>
    <x v="4"/>
    <x v="34"/>
    <m/>
    <m/>
    <x v="17"/>
    <x v="4"/>
    <x v="2"/>
    <s v="Haute"/>
    <x v="6"/>
    <x v="3"/>
    <d v="2023-04-25T00:00:00"/>
    <x v="6"/>
    <x v="0"/>
    <x v="6"/>
    <d v="2023-04-25T00:00:00"/>
    <x v="19"/>
  </r>
  <r>
    <x v="4"/>
    <x v="35"/>
    <m/>
    <m/>
    <x v="18"/>
    <x v="0"/>
    <x v="3"/>
    <s v="Moyenne"/>
    <x v="8"/>
    <x v="3"/>
    <d v="2023-04-25T00:00:00"/>
    <x v="8"/>
    <x v="0"/>
    <x v="9"/>
    <d v="2023-04-25T00:00:00"/>
    <x v="1"/>
  </r>
  <r>
    <x v="4"/>
    <x v="36"/>
    <m/>
    <m/>
    <x v="10"/>
    <x v="1"/>
    <x v="0"/>
    <s v="Basse"/>
    <x v="5"/>
    <x v="3"/>
    <d v="2023-04-25T00:00:00"/>
    <x v="5"/>
    <x v="0"/>
    <x v="5"/>
    <d v="2023-04-25T00:00:00"/>
    <x v="6"/>
  </r>
  <r>
    <x v="4"/>
    <x v="37"/>
    <m/>
    <m/>
    <x v="1"/>
    <x v="2"/>
    <x v="1"/>
    <s v="Haute"/>
    <x v="9"/>
    <x v="9"/>
    <d v="2023-04-28T00:00:00"/>
    <x v="9"/>
    <x v="0"/>
    <x v="10"/>
    <d v="2023-04-25T00:00:00"/>
    <x v="20"/>
  </r>
  <r>
    <x v="4"/>
    <x v="38"/>
    <m/>
    <m/>
    <x v="19"/>
    <x v="3"/>
    <x v="2"/>
    <s v="Moyenne"/>
    <x v="9"/>
    <x v="3"/>
    <d v="2023-04-28T00:00:00"/>
    <x v="9"/>
    <x v="0"/>
    <x v="1"/>
    <d v="2023-04-25T00:00:00"/>
    <x v="18"/>
  </r>
  <r>
    <x v="4"/>
    <x v="39"/>
    <m/>
    <m/>
    <x v="20"/>
    <x v="4"/>
    <x v="3"/>
    <s v="Basse"/>
    <x v="8"/>
    <x v="5"/>
    <s v="01/01/2023"/>
    <x v="8"/>
    <x v="3"/>
    <x v="1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8A41F-A52B-4A42-9856-804B05E3593B}" name="Tableau croisé dynamique4" cacheId="13" applyNumberFormats="0" applyBorderFormats="0" applyFontFormats="0" applyPatternFormats="0" applyAlignmentFormats="0" applyWidthHeightFormats="1" dataCaption="Valeurs" updatedVersion="8" minRefreshableVersion="3" showDrill="0" itemPrintTitles="1" createdVersion="8" indent="0" compact="0" compactData="0" multipleFieldFilters="0" fieldListSortAscending="1">
  <location ref="A11:K52" firstHeaderRow="1" firstDataRow="1" firstDataCol="11"/>
  <pivotFields count="16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40">
        <item x="0"/>
        <item x="6"/>
        <item x="12"/>
        <item x="19"/>
        <item x="35"/>
        <item x="1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6"/>
        <item x="17"/>
        <item x="18"/>
        <item x="20"/>
        <item x="29"/>
        <item x="30"/>
        <item x="31"/>
        <item x="32"/>
        <item x="33"/>
        <item x="34"/>
        <item x="21"/>
        <item x="22"/>
        <item x="23"/>
        <item x="24"/>
        <item x="25"/>
        <item x="26"/>
        <item x="27"/>
        <item x="28"/>
        <item x="36"/>
        <item x="37"/>
        <item x="38"/>
        <item x="39"/>
      </items>
    </pivotField>
    <pivotField compact="0" outline="0" showAll="0" defaultSubtotal="0"/>
    <pivotField compact="0" outline="0" subtotalTop="0" showAll="0" defaultSubtotal="0"/>
    <pivotField axis="axisRow" compact="0" outline="0" showAll="0" defaultSubtotal="0">
      <items count="21">
        <item x="1"/>
        <item x="0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m="1" x="5"/>
        <item x="2"/>
        <item m="1" x="6"/>
        <item x="3"/>
        <item x="4"/>
      </items>
    </pivotField>
    <pivotField axis="axisRow" compact="0" outline="0" showAll="0" defaultSubtotal="0">
      <items count="4">
        <item x="1"/>
        <item x="2"/>
        <item x="3"/>
        <item x="0"/>
      </items>
    </pivotField>
    <pivotField compact="0" outline="0" subtotalTop="0" showAll="0" defaultSubtotal="0"/>
    <pivotField name="Chiffrage initial     " axis="axisRow" compact="0" outline="0" showAll="0" defaultSubtotal="0">
      <items count="10">
        <item x="8"/>
        <item x="4"/>
        <item x="6"/>
        <item x="1"/>
        <item x="5"/>
        <item x="7"/>
        <item x="3"/>
        <item x="9"/>
        <item x="0"/>
        <item x="2"/>
      </items>
    </pivotField>
    <pivotField axis="axisRow" compact="0" outline="0" subtotalTop="0" showAll="0" defaultSubtotal="0">
      <items count="10">
        <item x="5"/>
        <item x="4"/>
        <item x="6"/>
        <item x="0"/>
        <item x="3"/>
        <item x="2"/>
        <item x="8"/>
        <item x="1"/>
        <item x="7"/>
        <item x="9"/>
      </items>
    </pivotField>
    <pivotField compact="0" outline="0" subtotalTop="0" showAll="0" defaultSubtotal="0"/>
    <pivotField name="Durée réelle     " axis="axisRow" compact="0" outline="0" showAll="0" defaultSubtotal="0">
      <items count="11">
        <item x="8"/>
        <item x="4"/>
        <item x="6"/>
        <item x="1"/>
        <item x="5"/>
        <item x="7"/>
        <item x="3"/>
        <item x="9"/>
        <item m="1" x="10"/>
        <item x="0"/>
        <item x="2"/>
      </items>
    </pivotField>
    <pivotField name="Date début    " axis="axisRow" compact="0" numFmtId="14" outline="0" showAll="0" defaultSubtotal="0">
      <items count="49">
        <item m="1" x="27"/>
        <item m="1" x="45"/>
        <item m="1" x="18"/>
        <item m="1" x="38"/>
        <item m="1" x="12"/>
        <item m="1" x="31"/>
        <item m="1" x="5"/>
        <item m="1" x="23"/>
        <item m="1" x="42"/>
        <item m="1" x="16"/>
        <item m="1" x="36"/>
        <item m="1" x="10"/>
        <item m="1" x="33"/>
        <item m="1" x="6"/>
        <item m="1" x="26"/>
        <item m="1" x="44"/>
        <item m="1" x="17"/>
        <item m="1" x="37"/>
        <item m="1" x="11"/>
        <item m="1" x="30"/>
        <item m="1" x="4"/>
        <item m="1" x="22"/>
        <item m="1" x="41"/>
        <item m="1" x="15"/>
        <item m="1" x="35"/>
        <item m="1" x="9"/>
        <item m="1" x="29"/>
        <item m="1" x="48"/>
        <item m="1" x="21"/>
        <item m="1" x="40"/>
        <item m="1" x="14"/>
        <item m="1" x="34"/>
        <item m="1" x="7"/>
        <item m="1" x="28"/>
        <item m="1" x="46"/>
        <item m="1" x="19"/>
        <item m="1" x="39"/>
        <item m="1" x="13"/>
        <item m="1" x="32"/>
        <item m="1" x="8"/>
        <item m="1" x="43"/>
        <item m="1" x="25"/>
        <item x="0"/>
        <item m="1" x="47"/>
        <item x="2"/>
        <item m="1" x="20"/>
        <item m="1" x="24"/>
        <item x="1"/>
        <item x="3"/>
      </items>
    </pivotField>
    <pivotField name="Date fin       " axis="axisRow" compact="0" numFmtId="14" outline="0" showAll="0" defaultSubtotal="0">
      <items count="58">
        <item m="1" x="56"/>
        <item m="1" x="54"/>
        <item m="1" x="21"/>
        <item m="1" x="33"/>
        <item m="1" x="43"/>
        <item m="1" x="44"/>
        <item m="1" x="42"/>
        <item m="1" x="32"/>
        <item m="1" x="20"/>
        <item m="1" x="31"/>
        <item m="1" x="55"/>
        <item m="1" x="40"/>
        <item m="1" x="19"/>
        <item m="1" x="29"/>
        <item m="1" x="53"/>
        <item m="1" x="39"/>
        <item m="1" x="50"/>
        <item m="1" x="49"/>
        <item m="1" x="13"/>
        <item m="1" x="15"/>
        <item m="1" x="17"/>
        <item m="1" x="37"/>
        <item m="1" x="30"/>
        <item m="1" x="18"/>
        <item m="1" x="28"/>
        <item m="1" x="51"/>
        <item m="1" x="52"/>
        <item m="1" x="26"/>
        <item m="1" x="41"/>
        <item m="1" x="48"/>
        <item m="1" x="27"/>
        <item m="1" x="34"/>
        <item m="1" x="36"/>
        <item x="11"/>
        <item m="1" x="14"/>
        <item m="1" x="16"/>
        <item m="1" x="23"/>
        <item m="1" x="46"/>
        <item x="12"/>
        <item m="1" x="25"/>
        <item m="1" x="35"/>
        <item x="1"/>
        <item x="4"/>
        <item x="9"/>
        <item m="1" x="47"/>
        <item m="1" x="57"/>
        <item x="0"/>
        <item x="6"/>
        <item m="1" x="38"/>
        <item m="1" x="24"/>
        <item m="1" x="22"/>
        <item m="1" x="45"/>
        <item x="10"/>
        <item x="2"/>
        <item x="3"/>
        <item x="5"/>
        <item x="7"/>
        <item x="8"/>
      </items>
    </pivotField>
    <pivotField compact="0" outline="0" subtotalTop="0" showAll="0" defaultSubtotal="0"/>
    <pivotField axis="axisRow" compact="0" numFmtId="9" outline="0" showAll="0" defaultSubtotal="0">
      <items count="22">
        <item x="1"/>
        <item x="15"/>
        <item x="11"/>
        <item x="12"/>
        <item x="14"/>
        <item x="17"/>
        <item x="19"/>
        <item x="9"/>
        <item x="10"/>
        <item x="6"/>
        <item x="7"/>
        <item x="3"/>
        <item x="18"/>
        <item x="13"/>
        <item x="4"/>
        <item x="16"/>
        <item x="8"/>
        <item x="5"/>
        <item m="1" x="21"/>
        <item x="0"/>
        <item x="2"/>
        <item x="20"/>
      </items>
    </pivotField>
  </pivotFields>
  <rowFields count="11">
    <field x="0"/>
    <field x="1"/>
    <field x="4"/>
    <field x="5"/>
    <field x="6"/>
    <field x="12"/>
    <field x="13"/>
    <field x="8"/>
    <field x="9"/>
    <field x="11"/>
    <field x="15"/>
  </rowFields>
  <rowItems count="41">
    <i>
      <x/>
      <x/>
      <x v="1"/>
      <x/>
      <x v="3"/>
      <x v="42"/>
      <x v="46"/>
      <x v="8"/>
      <x v="3"/>
      <x v="9"/>
      <x v="19"/>
    </i>
    <i r="1">
      <x v="1"/>
      <x v="14"/>
      <x v="1"/>
      <x v="1"/>
      <x v="42"/>
      <x v="55"/>
      <x v="4"/>
      <x v="4"/>
      <x v="4"/>
      <x v="9"/>
    </i>
    <i r="1">
      <x v="5"/>
      <x/>
      <x v="1"/>
      <x/>
      <x v="42"/>
      <x v="41"/>
      <x v="3"/>
      <x v="7"/>
      <x v="3"/>
      <x/>
    </i>
    <i r="1">
      <x v="6"/>
      <x v="1"/>
      <x v="3"/>
      <x v="1"/>
      <x v="42"/>
      <x v="53"/>
      <x v="9"/>
      <x v="5"/>
      <x v="10"/>
      <x v="20"/>
    </i>
    <i r="1">
      <x v="7"/>
      <x v="12"/>
      <x v="5"/>
      <x v="2"/>
      <x v="42"/>
      <x v="54"/>
      <x v="6"/>
      <x v="4"/>
      <x v="6"/>
      <x v="11"/>
    </i>
    <i r="1">
      <x v="8"/>
      <x v="12"/>
      <x v="6"/>
      <x v="3"/>
      <x v="42"/>
      <x v="42"/>
      <x v="1"/>
      <x v="1"/>
      <x v="1"/>
      <x v="14"/>
    </i>
    <i r="1">
      <x v="9"/>
      <x/>
      <x/>
      <x/>
      <x v="42"/>
      <x v="41"/>
      <x v="3"/>
      <x/>
      <x v="3"/>
      <x v="17"/>
    </i>
    <i r="1">
      <x v="10"/>
      <x v="15"/>
      <x v="3"/>
      <x v="2"/>
      <x v="42"/>
      <x v="47"/>
      <x v="2"/>
      <x v="2"/>
      <x v="2"/>
      <x v="10"/>
    </i>
    <i r="1">
      <x v="11"/>
      <x v="14"/>
      <x v="5"/>
      <x v="3"/>
      <x v="47"/>
      <x v="56"/>
      <x v="6"/>
      <x v="1"/>
      <x v="6"/>
      <x v="16"/>
    </i>
    <i r="1">
      <x v="12"/>
      <x/>
      <x v="6"/>
      <x/>
      <x v="42"/>
      <x v="41"/>
      <x v="3"/>
      <x v="4"/>
      <x v="3"/>
      <x v="7"/>
    </i>
    <i>
      <x v="1"/>
      <x v="2"/>
      <x v="15"/>
      <x v="3"/>
      <x v="3"/>
      <x v="44"/>
      <x v="57"/>
      <x v="5"/>
      <x/>
      <x v="5"/>
      <x v="17"/>
    </i>
    <i r="1">
      <x v="3"/>
      <x v="2"/>
      <x v="3"/>
      <x v="2"/>
      <x v="42"/>
      <x v="43"/>
      <x/>
      <x v="4"/>
      <x/>
      <x/>
    </i>
    <i r="1">
      <x v="13"/>
      <x v="16"/>
      <x/>
      <x v="1"/>
      <x v="42"/>
      <x v="46"/>
      <x v="4"/>
      <x v="8"/>
      <x v="5"/>
      <x/>
    </i>
    <i r="1">
      <x v="14"/>
      <x v="17"/>
      <x v="1"/>
      <x v="2"/>
      <x v="42"/>
      <x v="54"/>
      <x v="6"/>
      <x v="5"/>
      <x v="6"/>
      <x v="8"/>
    </i>
    <i r="1">
      <x v="15"/>
      <x/>
      <x v="5"/>
      <x/>
      <x v="47"/>
      <x v="57"/>
      <x v="4"/>
      <x v="4"/>
      <x v="4"/>
      <x v="9"/>
    </i>
    <i r="1">
      <x v="16"/>
      <x v="18"/>
      <x v="6"/>
      <x v="1"/>
      <x v="42"/>
      <x v="42"/>
      <x v="1"/>
      <x v="1"/>
      <x v="1"/>
      <x v="14"/>
    </i>
    <i r="1">
      <x v="17"/>
      <x v="19"/>
      <x/>
      <x v="2"/>
      <x v="42"/>
      <x v="41"/>
      <x v="3"/>
      <x v="4"/>
      <x v="3"/>
      <x v="7"/>
    </i>
    <i r="1">
      <x v="18"/>
      <x v="16"/>
      <x v="1"/>
      <x v="3"/>
      <x v="42"/>
      <x v="41"/>
      <x v="3"/>
      <x v="6"/>
      <x v="3"/>
      <x v="2"/>
    </i>
    <i r="1">
      <x v="19"/>
      <x/>
      <x v="3"/>
      <x/>
      <x v="42"/>
      <x v="42"/>
      <x v="1"/>
      <x v="1"/>
      <x v="1"/>
      <x v="14"/>
    </i>
    <i r="1">
      <x v="20"/>
      <x v="20"/>
      <x v="5"/>
      <x v="1"/>
      <x v="42"/>
      <x v="55"/>
      <x v="4"/>
      <x v="4"/>
      <x v="4"/>
      <x v="9"/>
    </i>
    <i>
      <x v="2"/>
      <x v="21"/>
      <x v="17"/>
      <x/>
      <x v="3"/>
      <x v="42"/>
      <x v="52"/>
      <x v="7"/>
      <x v="6"/>
      <x v="7"/>
      <x v="7"/>
    </i>
    <i r="1">
      <x v="28"/>
      <x/>
      <x v="1"/>
      <x/>
      <x v="42"/>
      <x v="47"/>
      <x v="2"/>
      <x v="5"/>
      <x v="2"/>
      <x v="3"/>
    </i>
    <i r="1">
      <x v="29"/>
      <x v="3"/>
      <x v="3"/>
      <x v="1"/>
      <x v="42"/>
      <x v="55"/>
      <x v="4"/>
      <x v="4"/>
      <x v="4"/>
      <x v="9"/>
    </i>
    <i r="1">
      <x v="30"/>
      <x v="4"/>
      <x v="5"/>
      <x v="2"/>
      <x v="42"/>
      <x v="55"/>
      <x v="4"/>
      <x v="2"/>
      <x v="4"/>
      <x v="13"/>
    </i>
    <i r="1">
      <x v="31"/>
      <x v="18"/>
      <x v="6"/>
      <x v="3"/>
      <x v="42"/>
      <x v="43"/>
      <x/>
      <x v="2"/>
      <x/>
      <x v="4"/>
    </i>
    <i>
      <x v="3"/>
      <x v="22"/>
      <x/>
      <x v="6"/>
      <x/>
      <x v="42"/>
      <x v="52"/>
      <x v="7"/>
      <x v="4"/>
      <x v="7"/>
      <x v="12"/>
    </i>
    <i r="1">
      <x v="23"/>
      <x v="7"/>
      <x/>
      <x v="1"/>
      <x v="42"/>
      <x v="41"/>
      <x v="3"/>
      <x v="4"/>
      <x v="3"/>
      <x v="7"/>
    </i>
    <i r="1">
      <x v="24"/>
      <x v="8"/>
      <x v="1"/>
      <x v="2"/>
      <x v="42"/>
      <x v="42"/>
      <x v="1"/>
      <x v="2"/>
      <x v="1"/>
      <x v="7"/>
    </i>
    <i r="1">
      <x v="32"/>
      <x/>
      <x/>
      <x/>
      <x v="42"/>
      <x v="54"/>
      <x v="6"/>
      <x v="8"/>
      <x v="6"/>
      <x v="1"/>
    </i>
    <i r="1">
      <x v="33"/>
      <x v="5"/>
      <x v="1"/>
      <x v="1"/>
      <x v="42"/>
      <x v="52"/>
      <x v="7"/>
      <x v="2"/>
      <x v="7"/>
      <x v="15"/>
    </i>
    <i r="1">
      <x v="34"/>
      <x v="6"/>
      <x v="3"/>
      <x v="2"/>
      <x v="48"/>
      <x v="33"/>
      <x v="1"/>
      <x/>
      <x v="1"/>
      <x v="17"/>
    </i>
    <i r="1">
      <x v="35"/>
      <x v="19"/>
      <x v="5"/>
      <x v="3"/>
      <x v="42"/>
      <x v="46"/>
      <x v="5"/>
      <x v="6"/>
      <x v="5"/>
      <x v="5"/>
    </i>
    <i>
      <x v="4"/>
      <x v="4"/>
      <x v="10"/>
      <x/>
      <x v="2"/>
      <x v="42"/>
      <x v="43"/>
      <x/>
      <x v="4"/>
      <x/>
      <x/>
    </i>
    <i r="1">
      <x v="25"/>
      <x v="20"/>
      <x v="3"/>
      <x v="3"/>
      <x v="42"/>
      <x v="55"/>
      <x v="4"/>
      <x v="4"/>
      <x v="4"/>
      <x v="9"/>
    </i>
    <i r="1">
      <x v="26"/>
      <x/>
      <x v="5"/>
      <x/>
      <x v="42"/>
      <x v="54"/>
      <x v="6"/>
      <x v="5"/>
      <x v="6"/>
      <x v="8"/>
    </i>
    <i r="1">
      <x v="27"/>
      <x v="9"/>
      <x v="6"/>
      <x v="1"/>
      <x v="42"/>
      <x v="47"/>
      <x v="2"/>
      <x v="4"/>
      <x v="2"/>
      <x v="6"/>
    </i>
    <i r="1">
      <x v="36"/>
      <x v="2"/>
      <x v="1"/>
      <x v="3"/>
      <x v="42"/>
      <x v="55"/>
      <x v="4"/>
      <x v="4"/>
      <x v="4"/>
      <x v="9"/>
    </i>
    <i r="1">
      <x v="37"/>
      <x/>
      <x v="3"/>
      <x/>
      <x v="42"/>
      <x v="52"/>
      <x v="7"/>
      <x v="9"/>
      <x v="7"/>
      <x v="21"/>
    </i>
    <i r="1">
      <x v="38"/>
      <x v="11"/>
      <x v="5"/>
      <x v="1"/>
      <x v="42"/>
      <x v="41"/>
      <x v="7"/>
      <x v="4"/>
      <x v="7"/>
      <x v="12"/>
    </i>
    <i r="1">
      <x v="39"/>
      <x v="13"/>
      <x v="6"/>
      <x v="2"/>
      <x v="48"/>
      <x v="38"/>
      <x/>
      <x/>
      <x/>
      <x v="17"/>
    </i>
    <i t="grand">
      <x/>
    </i>
  </rowItems>
  <colItems count="1">
    <i/>
  </colItems>
  <formats count="509">
    <format dxfId="526">
      <pivotArea field="1" type="button" dataOnly="0" labelOnly="1" outline="0" axis="axisRow" fieldPosition="1"/>
    </format>
    <format dxfId="525">
      <pivotArea dataOnly="0" labelOnly="1" outline="0" fieldPosition="0">
        <references count="1">
          <reference field="1" count="0"/>
        </references>
      </pivotArea>
    </format>
    <format dxfId="524">
      <pivotArea field="6" type="button" dataOnly="0" labelOnly="1" outline="0" axis="axisRow" fieldPosition="4"/>
    </format>
    <format dxfId="523">
      <pivotArea field="8" type="button" dataOnly="0" labelOnly="1" outline="0" axis="axisRow" fieldPosition="7"/>
    </format>
    <format dxfId="522">
      <pivotArea field="11" type="button" dataOnly="0" labelOnly="1" outline="0" axis="axisRow" fieldPosition="9"/>
    </format>
    <format dxfId="521">
      <pivotArea field="0" type="button" dataOnly="0" labelOnly="1" outline="0" axis="axisRow" fieldPosition="0"/>
    </format>
    <format dxfId="520">
      <pivotArea field="1" type="button" dataOnly="0" labelOnly="1" outline="0" axis="axisRow" fieldPosition="1"/>
    </format>
    <format dxfId="519">
      <pivotArea field="4" type="button" dataOnly="0" labelOnly="1" outline="0" axis="axisRow" fieldPosition="2"/>
    </format>
    <format dxfId="518">
      <pivotArea field="5" type="button" dataOnly="0" labelOnly="1" outline="0" axis="axisRow" fieldPosition="3"/>
    </format>
    <format dxfId="517">
      <pivotArea field="6" type="button" dataOnly="0" labelOnly="1" outline="0" axis="axisRow" fieldPosition="4"/>
    </format>
    <format dxfId="516">
      <pivotArea field="12" type="button" dataOnly="0" labelOnly="1" outline="0" axis="axisRow" fieldPosition="5"/>
    </format>
    <format dxfId="515">
      <pivotArea field="13" type="button" dataOnly="0" labelOnly="1" outline="0" axis="axisRow" fieldPosition="6"/>
    </format>
    <format dxfId="514">
      <pivotArea field="8" type="button" dataOnly="0" labelOnly="1" outline="0" axis="axisRow" fieldPosition="7"/>
    </format>
    <format dxfId="513">
      <pivotArea field="11" type="button" dataOnly="0" labelOnly="1" outline="0" axis="axisRow" fieldPosition="9"/>
    </format>
    <format dxfId="512">
      <pivotArea field="15" type="button" dataOnly="0" labelOnly="1" outline="0" axis="axisRow" fieldPosition="10"/>
    </format>
    <format dxfId="511">
      <pivotArea field="12" type="button" dataOnly="0" labelOnly="1" outline="0" axis="axisRow" fieldPosition="5"/>
    </format>
    <format dxfId="510">
      <pivotArea field="13" type="button" dataOnly="0" labelOnly="1" outline="0" axis="axisRow" fieldPosition="6"/>
    </format>
    <format dxfId="509">
      <pivotArea type="all" dataOnly="0" outline="0" fieldPosition="0"/>
    </format>
    <format dxfId="508">
      <pivotArea field="0" type="button" dataOnly="0" labelOnly="1" outline="0" axis="axisRow" fieldPosition="0"/>
    </format>
    <format dxfId="507">
      <pivotArea field="1" type="button" dataOnly="0" labelOnly="1" outline="0" axis="axisRow" fieldPosition="1"/>
    </format>
    <format dxfId="506">
      <pivotArea field="4" type="button" dataOnly="0" labelOnly="1" outline="0" axis="axisRow" fieldPosition="2"/>
    </format>
    <format dxfId="505">
      <pivotArea field="5" type="button" dataOnly="0" labelOnly="1" outline="0" axis="axisRow" fieldPosition="3"/>
    </format>
    <format dxfId="504">
      <pivotArea field="6" type="button" dataOnly="0" labelOnly="1" outline="0" axis="axisRow" fieldPosition="4"/>
    </format>
    <format dxfId="503">
      <pivotArea field="12" type="button" dataOnly="0" labelOnly="1" outline="0" axis="axisRow" fieldPosition="5"/>
    </format>
    <format dxfId="502">
      <pivotArea field="13" type="button" dataOnly="0" labelOnly="1" outline="0" axis="axisRow" fieldPosition="6"/>
    </format>
    <format dxfId="501">
      <pivotArea field="8" type="button" dataOnly="0" labelOnly="1" outline="0" axis="axisRow" fieldPosition="7"/>
    </format>
    <format dxfId="500">
      <pivotArea field="11" type="button" dataOnly="0" labelOnly="1" outline="0" axis="axisRow" fieldPosition="9"/>
    </format>
    <format dxfId="499">
      <pivotArea field="15" type="button" dataOnly="0" labelOnly="1" outline="0" axis="axisRow" fieldPosition="10"/>
    </format>
    <format dxfId="498">
      <pivotArea dataOnly="0" labelOnly="1" outline="0" fieldPosition="0">
        <references count="1">
          <reference field="0" count="0"/>
        </references>
      </pivotArea>
    </format>
    <format dxfId="497">
      <pivotArea dataOnly="0" labelOnly="1" grandRow="1" outline="0" fieldPosition="0"/>
    </format>
    <format dxfId="496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95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494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493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492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49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49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48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48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48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48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48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48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48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48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48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48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47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47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47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47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47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47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47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47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47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47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46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46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46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46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46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46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46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46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46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46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45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45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45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45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45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45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45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45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45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45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4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4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2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4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2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4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4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4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2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4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2"/>
          </reference>
        </references>
      </pivotArea>
    </format>
    <format dxfId="41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41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41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41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41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41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40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40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40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40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40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40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40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40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40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40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39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39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39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39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395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394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39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39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39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390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389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38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38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38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38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38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38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38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38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38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37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37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37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37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375">
      <pivotArea field="0" type="button" dataOnly="0" labelOnly="1" outline="0" axis="axisRow" fieldPosition="0"/>
    </format>
    <format dxfId="374">
      <pivotArea field="1" type="button" dataOnly="0" labelOnly="1" outline="0" axis="axisRow" fieldPosition="1"/>
    </format>
    <format dxfId="373">
      <pivotArea field="4" type="button" dataOnly="0" labelOnly="1" outline="0" axis="axisRow" fieldPosition="2"/>
    </format>
    <format dxfId="372">
      <pivotArea field="5" type="button" dataOnly="0" labelOnly="1" outline="0" axis="axisRow" fieldPosition="3"/>
    </format>
    <format dxfId="371">
      <pivotArea field="6" type="button" dataOnly="0" labelOnly="1" outline="0" axis="axisRow" fieldPosition="4"/>
    </format>
    <format dxfId="370">
      <pivotArea field="12" type="button" dataOnly="0" labelOnly="1" outline="0" axis="axisRow" fieldPosition="5"/>
    </format>
    <format dxfId="369">
      <pivotArea field="13" type="button" dataOnly="0" labelOnly="1" outline="0" axis="axisRow" fieldPosition="6"/>
    </format>
    <format dxfId="368">
      <pivotArea field="8" type="button" dataOnly="0" labelOnly="1" outline="0" axis="axisRow" fieldPosition="7"/>
    </format>
    <format dxfId="367">
      <pivotArea field="11" type="button" dataOnly="0" labelOnly="1" outline="0" axis="axisRow" fieldPosition="9"/>
    </format>
    <format dxfId="366">
      <pivotArea field="15" type="button" dataOnly="0" labelOnly="1" outline="0" axis="axisRow" fieldPosition="10"/>
    </format>
    <format dxfId="365">
      <pivotArea field="0" type="button" dataOnly="0" labelOnly="1" outline="0" axis="axisRow" fieldPosition="0"/>
    </format>
    <format dxfId="364">
      <pivotArea field="1" type="button" dataOnly="0" labelOnly="1" outline="0" axis="axisRow" fieldPosition="1"/>
    </format>
    <format dxfId="363">
      <pivotArea field="4" type="button" dataOnly="0" labelOnly="1" outline="0" axis="axisRow" fieldPosition="2"/>
    </format>
    <format dxfId="362">
      <pivotArea field="5" type="button" dataOnly="0" labelOnly="1" outline="0" axis="axisRow" fieldPosition="3"/>
    </format>
    <format dxfId="361">
      <pivotArea field="6" type="button" dataOnly="0" labelOnly="1" outline="0" axis="axisRow" fieldPosition="4"/>
    </format>
    <format dxfId="360">
      <pivotArea field="12" type="button" dataOnly="0" labelOnly="1" outline="0" axis="axisRow" fieldPosition="5"/>
    </format>
    <format dxfId="359">
      <pivotArea field="13" type="button" dataOnly="0" labelOnly="1" outline="0" axis="axisRow" fieldPosition="6"/>
    </format>
    <format dxfId="358">
      <pivotArea field="8" type="button" dataOnly="0" labelOnly="1" outline="0" axis="axisRow" fieldPosition="7"/>
    </format>
    <format dxfId="357">
      <pivotArea field="11" type="button" dataOnly="0" labelOnly="1" outline="0" axis="axisRow" fieldPosition="9"/>
    </format>
    <format dxfId="356">
      <pivotArea field="15" type="button" dataOnly="0" labelOnly="1" outline="0" axis="axisRow" fieldPosition="10"/>
    </format>
    <format dxfId="355">
      <pivotArea field="15" type="button" dataOnly="0" labelOnly="1" outline="0" axis="axisRow" fieldPosition="10"/>
    </format>
    <format dxfId="354">
      <pivotArea field="6" type="button" dataOnly="0" labelOnly="1" outline="0" axis="axisRow" fieldPosition="4"/>
    </format>
    <format dxfId="353">
      <pivotArea field="12" type="button" dataOnly="0" labelOnly="1" outline="0" axis="axisRow" fieldPosition="5"/>
    </format>
    <format dxfId="352">
      <pivotArea field="13" type="button" dataOnly="0" labelOnly="1" outline="0" axis="axisRow" fieldPosition="6"/>
    </format>
    <format dxfId="351">
      <pivotArea dataOnly="0" labelOnly="1" outline="0" fieldPosition="0">
        <references count="1">
          <reference field="0" count="1">
            <x v="4"/>
          </reference>
        </references>
      </pivotArea>
    </format>
    <format dxfId="350">
      <pivotArea field="11" type="button" dataOnly="0" labelOnly="1" outline="0" axis="axisRow" fieldPosition="9"/>
    </format>
    <format dxfId="349">
      <pivotArea field="9" type="button" dataOnly="0" labelOnly="1" outline="0" axis="axisRow" fieldPosition="8"/>
    </format>
    <format dxfId="348">
      <pivotArea field="8" type="button" dataOnly="0" labelOnly="1" outline="0" axis="axisRow" fieldPosition="7"/>
    </format>
    <format dxfId="347">
      <pivotArea type="all" dataOnly="0" outline="0" fieldPosition="0"/>
    </format>
    <format dxfId="346">
      <pivotArea field="0" type="button" dataOnly="0" labelOnly="1" outline="0" axis="axisRow" fieldPosition="0"/>
    </format>
    <format dxfId="345">
      <pivotArea field="1" type="button" dataOnly="0" labelOnly="1" outline="0" axis="axisRow" fieldPosition="1"/>
    </format>
    <format dxfId="344">
      <pivotArea field="4" type="button" dataOnly="0" labelOnly="1" outline="0" axis="axisRow" fieldPosition="2"/>
    </format>
    <format dxfId="343">
      <pivotArea field="5" type="button" dataOnly="0" labelOnly="1" outline="0" axis="axisRow" fieldPosition="3"/>
    </format>
    <format dxfId="342">
      <pivotArea field="6" type="button" dataOnly="0" labelOnly="1" outline="0" axis="axisRow" fieldPosition="4"/>
    </format>
    <format dxfId="341">
      <pivotArea field="12" type="button" dataOnly="0" labelOnly="1" outline="0" axis="axisRow" fieldPosition="5"/>
    </format>
    <format dxfId="340">
      <pivotArea field="13" type="button" dataOnly="0" labelOnly="1" outline="0" axis="axisRow" fieldPosition="6"/>
    </format>
    <format dxfId="339">
      <pivotArea field="8" type="button" dataOnly="0" labelOnly="1" outline="0" axis="axisRow" fieldPosition="7"/>
    </format>
    <format dxfId="338">
      <pivotArea field="9" type="button" dataOnly="0" labelOnly="1" outline="0" axis="axisRow" fieldPosition="8"/>
    </format>
    <format dxfId="337">
      <pivotArea field="11" type="button" dataOnly="0" labelOnly="1" outline="0" axis="axisRow" fieldPosition="9"/>
    </format>
    <format dxfId="336">
      <pivotArea field="15" type="button" dataOnly="0" labelOnly="1" outline="0" axis="axisRow" fieldPosition="10"/>
    </format>
    <format dxfId="335">
      <pivotArea dataOnly="0" labelOnly="1" outline="0" fieldPosition="0">
        <references count="1">
          <reference field="0" count="0"/>
        </references>
      </pivotArea>
    </format>
    <format dxfId="334">
      <pivotArea dataOnly="0" labelOnly="1" grandRow="1" outline="0" fieldPosition="0"/>
    </format>
    <format dxfId="333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32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331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330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329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31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31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31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30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30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30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30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30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30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30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30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5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6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5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6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6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5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5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6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5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6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5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6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>
            <x v="2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>
            <x v="3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>
            <x v="3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>
            <x v="1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>
            <x v="1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>
            <x v="3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0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>
            <x v="3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>
            <x v="1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>
            <x v="1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>
            <x v="2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2" count="1">
            <x v="42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12" count="1">
            <x v="4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>
            <x v="42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12" count="1">
            <x v="44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12" count="1">
            <x v="42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>
            <x v="43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12" count="1">
            <x v="42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12" count="1">
            <x v="39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12" count="1">
            <x v="42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12" count="1">
            <x v="39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1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5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12" count="1" selected="0">
            <x v="44"/>
          </reference>
          <reference field="13" count="1">
            <x v="50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6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 selected="0">
            <x v="43"/>
          </reference>
          <reference field="13" count="1">
            <x v="51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6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39"/>
          </reference>
          <reference field="13" count="1">
            <x v="48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12" count="1" selected="0">
            <x v="39"/>
          </reference>
          <reference field="13" count="1">
            <x v="48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>
            <x v="8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>
            <x v="9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>
            <x v="6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>
            <x v="5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1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>
            <x v="5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>
            <x v="3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7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0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>
            <x v="1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>
            <x v="0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8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3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4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>
            <x v="8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7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 selected="0">
            <x v="3"/>
          </reference>
          <reference field="11" count="1">
            <x v="9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7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 selected="0">
            <x v="5"/>
          </reference>
          <reference field="11" count="1">
            <x v="10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4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0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 selected="0">
            <x v="2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 selected="0">
            <x v="1"/>
          </reference>
          <reference field="11" count="1">
            <x v="6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0"/>
          </reference>
          <reference field="11" count="1">
            <x v="5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8"/>
          </reference>
          <reference field="11" count="1">
            <x v="5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5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 selected="0">
            <x v="6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 selected="0">
            <x v="5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0"/>
          </reference>
          <reference field="9" count="1" selected="0">
            <x v="2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4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2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8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2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0"/>
          </reference>
          <reference field="11" count="1">
            <x v="1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6"/>
          </reference>
          <reference field="11" count="1">
            <x v="5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5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 selected="0">
            <x v="4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0"/>
          </reference>
          <reference field="11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 selected="0">
            <x v="3"/>
          </reference>
          <reference field="11" count="1" selected="0">
            <x v="9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7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1"/>
          </reference>
          <reference field="15" count="1">
            <x v="0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 selected="0">
            <x v="5"/>
          </reference>
          <reference field="11" count="1" selected="0">
            <x v="10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20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4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1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0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5"/>
          </reference>
          <reference field="15" count="1">
            <x v="17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 selected="0">
            <x v="2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0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 selected="0">
            <x v="1"/>
          </reference>
          <reference field="11" count="1" selected="0">
            <x v="6"/>
          </reference>
          <reference field="12" count="1" selected="0">
            <x v="43"/>
          </reference>
          <reference field="13" count="1" selected="0">
            <x v="44"/>
          </reference>
          <reference field="15" count="1">
            <x v="16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0"/>
          </reference>
          <reference field="11" count="1" selected="0">
            <x v="5"/>
          </reference>
          <reference field="12" count="1" selected="0">
            <x v="44"/>
          </reference>
          <reference field="13" count="1" selected="0">
            <x v="50"/>
          </reference>
          <reference field="15" count="1">
            <x v="17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0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8"/>
          </reference>
          <reference field="11" count="1" selected="0">
            <x v="5"/>
          </reference>
          <reference field="12" count="1" selected="0">
            <x v="42"/>
          </reference>
          <reference field="13" count="1" selected="0">
            <x v="46"/>
          </reference>
          <reference field="15" count="1">
            <x v="0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5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8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3"/>
          </reference>
          <reference field="13" count="1" selected="0">
            <x v="51"/>
          </reference>
          <reference field="15" count="1">
            <x v="9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3"/>
          </reference>
          <reference field="9" count="1" selected="0">
            <x v="6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 selected="0">
            <x v="6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7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 selected="0">
            <x v="5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3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4"/>
          </reference>
          <reference field="9" count="1" selected="0">
            <x v="2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0"/>
          </reference>
          <reference field="9" count="1" selected="0">
            <x v="2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4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2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7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8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6"/>
          </reference>
          <reference field="15" count="1">
            <x v="1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2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5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0"/>
          </reference>
          <reference field="11" count="1" selected="0">
            <x v="1"/>
          </reference>
          <reference field="12" count="1" selected="0">
            <x v="39"/>
          </reference>
          <reference field="13" count="1" selected="0">
            <x v="48"/>
          </reference>
          <reference field="15" count="1">
            <x v="17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6"/>
          </reference>
          <reference field="11" count="1" selected="0">
            <x v="5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5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8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 selected="0">
            <x v="4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4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2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0"/>
          </reference>
          <reference field="11" count="1" selected="0">
            <x v="0"/>
          </reference>
          <reference field="12" count="1" selected="0">
            <x v="39"/>
          </reference>
          <reference field="13" count="1" selected="0">
            <x v="48"/>
          </reference>
          <reference field="15" count="1">
            <x v="17"/>
          </reference>
        </references>
      </pivotArea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1" xr10:uid="{785EF097-7359-4C3C-A184-577762C1FCA8}" sourceName="Resp tâche">
  <pivotTables>
    <pivotTable tabId="4" name="Tableau croisé dynamique4"/>
  </pivotTables>
  <data>
    <tabular pivotCacheId="782079636">
      <items count="7">
        <i x="0" s="1"/>
        <i x="1" s="1"/>
        <i x="4" s="1"/>
        <i x="3" s="1"/>
        <i x="2" s="1"/>
        <i x="5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" xr10:uid="{70E4A95F-523D-4516-841E-6C9418621C77}" sourceName="Resp tâche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" xr10:uid="{657FDF38-FD18-464F-A44A-C81865CD07F4}" cache="Segment_Resp_tâche" caption="Resp tâche" columnCount="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 1" xr10:uid="{2087E2D4-1386-428E-858B-AD7C050C1137}" cache="Segment_Resp_tâche1" caption="Resp tâche" columnCount="5" style="SlicerStyleLight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0AF2CE-6995-4832-A0B8-BBA1CBF56E78}" name="Tableau1" displayName="Tableau1" ref="A12:L57" totalsRowShown="0" headerRowDxfId="544" dataDxfId="543">
  <autoFilter ref="A12:L57" xr:uid="{280AF2CE-6995-4832-A0B8-BBA1CBF56E78}"/>
  <tableColumns count="12">
    <tableColumn id="2" xr3:uid="{5C7C7E6F-AE37-4D1D-80A6-753DD17CADA6}" name="Releases / N° tâche" dataDxfId="542">
      <calculatedColumnFormula>WBS!B2</calculatedColumnFormula>
    </tableColumn>
    <tableColumn id="14" xr3:uid="{280235FF-59E5-4D0F-A498-6DD67A9DBE0F}" name="Description" dataDxfId="541"/>
    <tableColumn id="3" xr3:uid="{72B6C9C8-BA73-49C6-BBF0-E51C6B8A7BAF}" name="Resp tâche" dataDxfId="540">
      <calculatedColumnFormula>WBS!F2</calculatedColumnFormula>
    </tableColumn>
    <tableColumn id="4" xr3:uid="{E222C531-FBFA-4F57-A7E9-53C951A828D7}" name="Statut" dataDxfId="539">
      <calculatedColumnFormula>WBS!G2</calculatedColumnFormula>
    </tableColumn>
    <tableColumn id="5" xr3:uid="{9DCC7B1C-FDDF-4EA9-B5B3-FD9559287DFC}" name="Priorité" dataDxfId="538">
      <calculatedColumnFormula>WBS!H2</calculatedColumnFormula>
    </tableColumn>
    <tableColumn id="8" xr3:uid="{6AD675BF-1B91-4AFA-B92E-46D5CDAF3A24}" name="Chiffrage initial" dataDxfId="537">
      <calculatedColumnFormula>WBS!I2</calculatedColumnFormula>
    </tableColumn>
    <tableColumn id="6" xr3:uid="{05A4D6D8-6F8D-4217-A747-DE41A52A6CF1}" name="RAF" dataDxfId="536">
      <calculatedColumnFormula>WBS!J2</calculatedColumnFormula>
    </tableColumn>
    <tableColumn id="7" xr3:uid="{947886C6-F9DD-4B6A-A428-48DC5552C595}" name="RAF et durée réelle validés le" dataDxfId="535">
      <calculatedColumnFormula>WBS!K2</calculatedColumnFormula>
    </tableColumn>
    <tableColumn id="10" xr3:uid="{BBE60AD3-34C2-491E-AEF3-40A6A0C21439}" name="Durée réelle" dataDxfId="534">
      <calculatedColumnFormula>WBS!L2</calculatedColumnFormula>
    </tableColumn>
    <tableColumn id="11" xr3:uid="{8591A00A-0BF0-4924-A8B3-47A98714505F}" name="Date début" dataDxfId="533">
      <calculatedColumnFormula>WBS!M2</calculatedColumnFormula>
    </tableColumn>
    <tableColumn id="12" xr3:uid="{0B003697-2974-443B-AF37-265710948B13}" name="Date fin" dataDxfId="532">
      <calculatedColumnFormula>WBS!N2</calculatedColumnFormula>
    </tableColumn>
    <tableColumn id="13" xr3:uid="{9C029A89-B29C-4305-86B2-516E41FC1C5F}" name="% avancement" dataDxfId="531">
      <calculatedColumnFormula>WBS!P2</calculatedColumnFormula>
    </tableColumn>
  </tableColumns>
  <tableStyleInfo name="Gant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2A21C-950A-4D72-9993-104E5FF1A6A1}" name="Tableau3" displayName="Tableau3" ref="A1:P41" totalsRowShown="0" headerRowDxfId="17" dataDxfId="16">
  <autoFilter ref="A1:P41" xr:uid="{96A2A21C-950A-4D72-9993-104E5FF1A6A1}"/>
  <tableColumns count="16">
    <tableColumn id="1" xr3:uid="{842C2683-A347-4BE4-897C-720A6FC162FC}" name="Releases" dataDxfId="15"/>
    <tableColumn id="2" xr3:uid="{3AA86B04-291B-4DD4-85BB-A6D7DA6FDBBC}" name="N° tâche" dataDxfId="14"/>
    <tableColumn id="3" xr3:uid="{0FA9DB73-144D-4AC7-AD43-2AFC1CC1288D}" name="Description tâche" dataDxfId="13"/>
    <tableColumn id="26" xr3:uid="{7101A9BA-8BB7-449E-B269-677E9BFFFBB2}" name="Dépendances" dataDxfId="12"/>
    <tableColumn id="4" xr3:uid="{E2293F97-03CE-4E00-98C1-B4104A17D293}" name="Type _x000a_tâche" dataDxfId="11"/>
    <tableColumn id="5" xr3:uid="{E706136E-A54B-4ACF-A37C-2E550595306A}" name="Resp tâche" dataDxfId="10"/>
    <tableColumn id="6" xr3:uid="{C308BC70-12B8-4894-9BC1-78A7C0242B8A}" name="Statut" dataDxfId="9"/>
    <tableColumn id="25" xr3:uid="{482D7F5A-2805-4AFD-AEA3-E6EB3C07CE8B}" name="Priorité" dataDxfId="8"/>
    <tableColumn id="8" xr3:uid="{8D9CEB4F-1CC3-4295-9D20-265F4C4B82B2}" name="Chiffrage initial" dataDxfId="7"/>
    <tableColumn id="11" xr3:uid="{11B6B44F-6943-4D67-AB9A-6C0661D1624C}" name="RAF" dataDxfId="6"/>
    <tableColumn id="13" xr3:uid="{BBE4B018-1A8D-4CC7-8C74-69292F4BF6ED}" name="RAF et durée réelle validés le" dataDxfId="5"/>
    <tableColumn id="7" xr3:uid="{2EC14095-630F-40C6-9B40-7AC4D34395A0}" name="Durée réelle" dataDxfId="4"/>
    <tableColumn id="9" xr3:uid="{CD5C0975-A245-4FF5-8C3E-7F866ABBE7CC}" name="Date début" dataDxfId="3">
      <calculatedColumnFormula>IF(ISBLANK(Tableau3[[#This Row],[Dépendances]]),IF(ISBLANK(Tableau3[[#This Row],[Date disponibilité responsable       ]]),Gantt!$D$4,Tableau3[[Date disponibilité responsable       ]]),INDEX($N:$N,MATCH(Tableau3[[#This Row],[Dépendances]],$B:$B,0))+1)</calculatedColumnFormula>
    </tableColumn>
    <tableColumn id="10" xr3:uid="{F864E9BA-BC3E-457C-87B7-C9A64EACA2BF}" name="Date fin" dataDxfId="2">
      <calculatedColumnFormula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calculatedColumnFormula>
    </tableColumn>
    <tableColumn id="27" xr3:uid="{8723513A-EE73-4228-BD6F-69B51288AA2A}" name="Date disponibilité responsable       " dataDxfId="1"/>
    <tableColumn id="12" xr3:uid="{FB5DE46E-DB6E-40C3-A2EE-B37CF1ACB1F3}" name="% avancement" dataDxfId="0">
      <calculatedColumnFormula>(Tableau3[[#This Row],[Durée réelle]]-Tableau3[[#This Row],[RAF]])/Tableau3[[#This Row],[Durée réelle]]</calculatedColumnFormula>
    </tableColumn>
  </tableColumns>
  <tableStyleInfo name="Gantt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E4AD-E559-4347-9F8B-58D57E28483B}">
  <sheetPr codeName="Feuil2"/>
  <dimension ref="A2:AP58"/>
  <sheetViews>
    <sheetView showGridLines="0" tabSelected="1" zoomScale="110" zoomScaleNormal="110" workbookViewId="0">
      <pane xSplit="8" ySplit="12" topLeftCell="P31" activePane="bottomRight" state="frozen"/>
      <selection pane="topRight" activeCell="I1" sqref="I1"/>
      <selection pane="bottomLeft" activeCell="A13" sqref="A13"/>
      <selection pane="bottomRight" activeCell="N6" sqref="N6"/>
    </sheetView>
  </sheetViews>
  <sheetFormatPr baseColWidth="10" defaultRowHeight="13.8" x14ac:dyDescent="0.3"/>
  <cols>
    <col min="1" max="1" width="17.109375" style="21" customWidth="1"/>
    <col min="2" max="2" width="20.109375" style="35" customWidth="1"/>
    <col min="3" max="3" width="23" style="21" customWidth="1"/>
    <col min="4" max="4" width="17.109375" style="21" bestFit="1" customWidth="1"/>
    <col min="5" max="5" width="16.88671875" style="24" customWidth="1"/>
    <col min="6" max="6" width="15.6640625" style="24" customWidth="1"/>
    <col min="7" max="7" width="16.5546875" style="24" customWidth="1"/>
    <col min="8" max="8" width="16.6640625" style="24" customWidth="1"/>
    <col min="9" max="9" width="15.88671875" style="24" bestFit="1" customWidth="1"/>
    <col min="10" max="12" width="14.109375" style="24" customWidth="1"/>
    <col min="13" max="13" width="2.109375" style="24" customWidth="1"/>
    <col min="14" max="39" width="10.21875" style="21" customWidth="1"/>
    <col min="40" max="16384" width="11.5546875" style="21"/>
  </cols>
  <sheetData>
    <row r="2" spans="1:42" x14ac:dyDescent="0.3">
      <c r="B2" s="22" t="s">
        <v>9</v>
      </c>
      <c r="C2" s="23"/>
      <c r="D2" s="68" t="s">
        <v>13</v>
      </c>
      <c r="E2" s="69"/>
      <c r="G2" s="22" t="s">
        <v>87</v>
      </c>
      <c r="H2" s="25"/>
      <c r="I2" s="70" t="str">
        <f>TEXT(MIN(J13:J57),"jj/mm/aaaa")&amp;"    à    "&amp;TEXT(MAX(K14:K106),"jj/mm/aaaa")</f>
        <v>25/04/2023    à    06/06/2023</v>
      </c>
      <c r="J2" s="71"/>
    </row>
    <row r="3" spans="1:42" x14ac:dyDescent="0.3">
      <c r="B3" s="26"/>
      <c r="C3" s="27"/>
      <c r="D3" s="28"/>
      <c r="E3" s="29"/>
      <c r="K3" s="30"/>
    </row>
    <row r="4" spans="1:42" x14ac:dyDescent="0.3">
      <c r="A4" s="24"/>
      <c r="B4" s="22" t="s">
        <v>100</v>
      </c>
      <c r="C4" s="25"/>
      <c r="D4" s="68" t="s">
        <v>109</v>
      </c>
      <c r="E4" s="69"/>
      <c r="I4" s="21"/>
      <c r="J4" s="21"/>
      <c r="K4" s="21"/>
      <c r="L4" s="21"/>
      <c r="M4" s="21"/>
    </row>
    <row r="5" spans="1:42" x14ac:dyDescent="0.3">
      <c r="B5" s="31"/>
      <c r="C5" s="27"/>
      <c r="D5" s="32"/>
      <c r="E5" s="29"/>
    </row>
    <row r="6" spans="1:42" x14ac:dyDescent="0.3">
      <c r="B6" s="22" t="s">
        <v>11</v>
      </c>
      <c r="C6" s="23"/>
      <c r="D6" s="68" t="s">
        <v>14</v>
      </c>
      <c r="E6" s="69"/>
      <c r="I6" s="30"/>
    </row>
    <row r="7" spans="1:42" x14ac:dyDescent="0.3">
      <c r="B7" s="26"/>
      <c r="C7" s="27"/>
      <c r="D7" s="32"/>
      <c r="E7" s="29"/>
      <c r="I7" s="30"/>
    </row>
    <row r="8" spans="1:42" x14ac:dyDescent="0.3">
      <c r="B8" s="22" t="s">
        <v>12</v>
      </c>
      <c r="C8" s="23"/>
      <c r="D8" s="68" t="s">
        <v>15</v>
      </c>
      <c r="E8" s="69"/>
      <c r="I8" s="30"/>
    </row>
    <row r="9" spans="1:42" x14ac:dyDescent="0.3">
      <c r="B9" s="33"/>
      <c r="C9" s="27"/>
      <c r="D9" s="27"/>
      <c r="E9" s="34"/>
    </row>
    <row r="10" spans="1:42" x14ac:dyDescent="0.3">
      <c r="B10" s="33"/>
      <c r="C10" s="27"/>
      <c r="D10" s="27"/>
      <c r="E10" s="34"/>
    </row>
    <row r="11" spans="1:42" x14ac:dyDescent="0.3">
      <c r="N11" s="66" t="str">
        <f>_xlfn.CONCAT("Semaine ",WEEKNUM(N$12,2))</f>
        <v>Semaine 18</v>
      </c>
      <c r="O11" s="67"/>
      <c r="P11" s="67"/>
      <c r="Q11" s="67"/>
      <c r="R11" s="67"/>
      <c r="S11" s="67"/>
      <c r="T11" s="67"/>
      <c r="U11" s="66" t="str">
        <f>_xlfn.CONCAT("Semaine ",WEEKNUM(U$12,2))</f>
        <v>Semaine 19</v>
      </c>
      <c r="V11" s="67"/>
      <c r="W11" s="67"/>
      <c r="X11" s="67"/>
      <c r="Y11" s="67"/>
      <c r="Z11" s="67"/>
      <c r="AA11" s="67"/>
      <c r="AB11" s="66" t="str">
        <f>_xlfn.CONCAT("Semaine ",WEEKNUM(AB$12,2))</f>
        <v>Semaine 20</v>
      </c>
      <c r="AC11" s="67"/>
      <c r="AD11" s="67"/>
      <c r="AE11" s="67"/>
      <c r="AF11" s="67"/>
      <c r="AG11" s="67"/>
      <c r="AH11" s="67"/>
      <c r="AI11" s="66" t="str">
        <f>_xlfn.CONCAT("Semaine ",WEEKNUM(AI$12,2))</f>
        <v>Semaine 21</v>
      </c>
      <c r="AJ11" s="67"/>
      <c r="AK11" s="67"/>
      <c r="AL11" s="67"/>
      <c r="AM11" s="67"/>
      <c r="AN11" s="67"/>
      <c r="AO11" s="67"/>
    </row>
    <row r="12" spans="1:42" s="39" customFormat="1" ht="37.799999999999997" customHeight="1" x14ac:dyDescent="0.3">
      <c r="A12" s="36" t="s">
        <v>106</v>
      </c>
      <c r="B12" s="36" t="s">
        <v>108</v>
      </c>
      <c r="C12" s="36" t="s">
        <v>23</v>
      </c>
      <c r="D12" s="36" t="s">
        <v>46</v>
      </c>
      <c r="E12" s="37" t="s">
        <v>94</v>
      </c>
      <c r="F12" s="37" t="s">
        <v>86</v>
      </c>
      <c r="G12" s="37" t="s">
        <v>104</v>
      </c>
      <c r="H12" s="37" t="s">
        <v>103</v>
      </c>
      <c r="I12" s="37" t="s">
        <v>85</v>
      </c>
      <c r="J12" s="37" t="s">
        <v>47</v>
      </c>
      <c r="K12" s="37" t="s">
        <v>48</v>
      </c>
      <c r="L12" s="37" t="s">
        <v>49</v>
      </c>
      <c r="M12" s="37"/>
      <c r="N12" s="38" cm="1">
        <f t="array" ref="N12:AO12">_xlfn.SEQUENCE(1,28,MIN(Tableau3[Date début]) - WEEKDAY(MIN(Tableau3[Date début]), 2) + 1+'Données de référence'!E3,1)</f>
        <v>45040</v>
      </c>
      <c r="O12" s="38">
        <v>45041</v>
      </c>
      <c r="P12" s="38">
        <v>45042</v>
      </c>
      <c r="Q12" s="38">
        <v>45043</v>
      </c>
      <c r="R12" s="38">
        <v>45044</v>
      </c>
      <c r="S12" s="38">
        <v>45045</v>
      </c>
      <c r="T12" s="38">
        <v>45046</v>
      </c>
      <c r="U12" s="38">
        <v>45047</v>
      </c>
      <c r="V12" s="38">
        <v>45048</v>
      </c>
      <c r="W12" s="38">
        <v>45049</v>
      </c>
      <c r="X12" s="38">
        <v>45050</v>
      </c>
      <c r="Y12" s="38">
        <v>45051</v>
      </c>
      <c r="Z12" s="38">
        <v>45052</v>
      </c>
      <c r="AA12" s="38">
        <v>45053</v>
      </c>
      <c r="AB12" s="38">
        <v>45054</v>
      </c>
      <c r="AC12" s="38">
        <v>45055</v>
      </c>
      <c r="AD12" s="38">
        <v>45056</v>
      </c>
      <c r="AE12" s="38">
        <v>45057</v>
      </c>
      <c r="AF12" s="38">
        <v>45058</v>
      </c>
      <c r="AG12" s="38">
        <v>45059</v>
      </c>
      <c r="AH12" s="38">
        <v>45060</v>
      </c>
      <c r="AI12" s="38">
        <v>45061</v>
      </c>
      <c r="AJ12" s="38">
        <v>45062</v>
      </c>
      <c r="AK12" s="38">
        <v>45063</v>
      </c>
      <c r="AL12" s="38">
        <v>45064</v>
      </c>
      <c r="AM12" s="38">
        <v>45065</v>
      </c>
      <c r="AN12" s="38">
        <v>45066</v>
      </c>
      <c r="AO12" s="38">
        <v>45067</v>
      </c>
      <c r="AP12" s="38"/>
    </row>
    <row r="13" spans="1:42" s="46" customFormat="1" x14ac:dyDescent="0.3">
      <c r="A13" s="40" t="s">
        <v>0</v>
      </c>
      <c r="B13" s="40" t="s">
        <v>107</v>
      </c>
      <c r="C13" s="41"/>
      <c r="D13" s="41"/>
      <c r="E13" s="42"/>
      <c r="F13" s="42"/>
      <c r="G13" s="42"/>
      <c r="H13" s="43"/>
      <c r="I13" s="42"/>
      <c r="J13" s="43"/>
      <c r="K13" s="43"/>
      <c r="L13" s="44"/>
      <c r="M13" s="37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</row>
    <row r="14" spans="1:42" ht="41.4" x14ac:dyDescent="0.3">
      <c r="A14" s="47">
        <f>WBS!B2</f>
        <v>1</v>
      </c>
      <c r="B14" s="36" t="s">
        <v>93</v>
      </c>
      <c r="C14" s="41" t="str">
        <f>WBS!F2</f>
        <v>Benoit Gallou</v>
      </c>
      <c r="D14" s="41" t="str">
        <f>WBS!G2</f>
        <v>Terminé</v>
      </c>
      <c r="E14" s="42" t="str">
        <f>WBS!H2</f>
        <v>Haute</v>
      </c>
      <c r="F14" s="42">
        <f>WBS!I2</f>
        <v>10.5</v>
      </c>
      <c r="G14" s="42">
        <f>WBS!J2</f>
        <v>2.5</v>
      </c>
      <c r="H14" s="43">
        <f>IF(ISBLANK(WBS!K2),"",WBS!K2)</f>
        <v>45041</v>
      </c>
      <c r="I14" s="42">
        <f>WBS!L2</f>
        <v>8.5</v>
      </c>
      <c r="J14" s="43">
        <f>WBS!M2</f>
        <v>45041</v>
      </c>
      <c r="K14" s="43">
        <f>WBS!N2</f>
        <v>45050</v>
      </c>
      <c r="L14" s="44">
        <f>WBS!P2</f>
        <v>0.70588235294117652</v>
      </c>
      <c r="M14" s="44"/>
    </row>
    <row r="15" spans="1:42" x14ac:dyDescent="0.3">
      <c r="A15" s="47" t="str">
        <f>WBS!B3</f>
        <v>1.0</v>
      </c>
      <c r="B15" s="47"/>
      <c r="C15" s="41" t="str">
        <f>WBS!F3</f>
        <v>Dorian Dauphin</v>
      </c>
      <c r="D15" s="41" t="str">
        <f>WBS!G3</f>
        <v>Assigné</v>
      </c>
      <c r="E15" s="42" t="str">
        <f>WBS!H3</f>
        <v>Haute</v>
      </c>
      <c r="F15" s="42">
        <f>WBS!I3</f>
        <v>6</v>
      </c>
      <c r="G15" s="42">
        <f>WBS!J3</f>
        <v>6</v>
      </c>
      <c r="H15" s="43">
        <f>IF(ISBLANK(WBS!K3),"",WBS!K3)</f>
        <v>45041</v>
      </c>
      <c r="I15" s="42">
        <f>WBS!L3</f>
        <v>6</v>
      </c>
      <c r="J15" s="43">
        <f>WBS!M3</f>
        <v>45041</v>
      </c>
      <c r="K15" s="43">
        <f>WBS!N3</f>
        <v>45048</v>
      </c>
      <c r="L15" s="44">
        <f>WBS!P3</f>
        <v>0</v>
      </c>
      <c r="M15" s="44"/>
    </row>
    <row r="16" spans="1:42" x14ac:dyDescent="0.3">
      <c r="A16" s="47" t="str">
        <f>WBS!B4</f>
        <v>1.1</v>
      </c>
      <c r="B16" s="47"/>
      <c r="C16" s="41" t="str">
        <f>WBS!F4</f>
        <v>Sylvain Cailleau</v>
      </c>
      <c r="D16" s="41" t="str">
        <f>WBS!G4</f>
        <v>En retard</v>
      </c>
      <c r="E16" s="42" t="str">
        <f>WBS!H4</f>
        <v>Moyenne</v>
      </c>
      <c r="F16" s="42">
        <f>WBS!I4</f>
        <v>31</v>
      </c>
      <c r="G16" s="42">
        <f>WBS!J4</f>
        <v>4</v>
      </c>
      <c r="H16" s="43">
        <f>IF(ISBLANK(WBS!K4),"",WBS!K4)</f>
        <v>45041</v>
      </c>
      <c r="I16" s="42">
        <f>WBS!L4</f>
        <v>31</v>
      </c>
      <c r="J16" s="43">
        <f>WBS!M4</f>
        <v>45041</v>
      </c>
      <c r="K16" s="43">
        <f>WBS!N4</f>
        <v>45083</v>
      </c>
      <c r="L16" s="44">
        <f>WBS!P4</f>
        <v>0.87096774193548387</v>
      </c>
      <c r="M16" s="44"/>
    </row>
    <row r="17" spans="1:13" x14ac:dyDescent="0.3">
      <c r="A17" s="47" t="str">
        <f>WBS!B5</f>
        <v>1.2</v>
      </c>
      <c r="B17" s="47"/>
      <c r="C17" s="41" t="str">
        <f>WBS!F5</f>
        <v>Lamine Bougueroua</v>
      </c>
      <c r="D17" s="41" t="str">
        <f>WBS!G5</f>
        <v>Non assigné</v>
      </c>
      <c r="E17" s="42" t="str">
        <f>WBS!H5</f>
        <v>Basse</v>
      </c>
      <c r="F17" s="42">
        <f>WBS!I5</f>
        <v>9</v>
      </c>
      <c r="G17" s="42">
        <f>WBS!J5</f>
        <v>3</v>
      </c>
      <c r="H17" s="43">
        <f>IF(ISBLANK(WBS!K5),"",WBS!K5)</f>
        <v>45041</v>
      </c>
      <c r="I17" s="42">
        <f>WBS!L5</f>
        <v>9</v>
      </c>
      <c r="J17" s="43">
        <f>WBS!M5</f>
        <v>45041</v>
      </c>
      <c r="K17" s="43">
        <f>WBS!N5</f>
        <v>45051</v>
      </c>
      <c r="L17" s="44">
        <f>WBS!P5</f>
        <v>0.66666666666666663</v>
      </c>
      <c r="M17" s="44"/>
    </row>
    <row r="18" spans="1:13" x14ac:dyDescent="0.3">
      <c r="A18" s="47" t="str">
        <f>WBS!B6</f>
        <v>1.3</v>
      </c>
      <c r="B18" s="47"/>
      <c r="C18" s="41" t="str">
        <f>WBS!F6</f>
        <v>Florin Sansom</v>
      </c>
      <c r="D18" s="41" t="str">
        <f>WBS!G6</f>
        <v>Terminé</v>
      </c>
      <c r="E18" s="42" t="str">
        <f>WBS!H6</f>
        <v>Haute</v>
      </c>
      <c r="F18" s="42">
        <f>WBS!I6</f>
        <v>4</v>
      </c>
      <c r="G18" s="42">
        <f>WBS!J6</f>
        <v>1</v>
      </c>
      <c r="H18" s="43">
        <f>IF(ISBLANK(WBS!K6),"",WBS!K6)</f>
        <v>45041</v>
      </c>
      <c r="I18" s="42">
        <f>WBS!L6</f>
        <v>4</v>
      </c>
      <c r="J18" s="43">
        <f>WBS!M6</f>
        <v>45041</v>
      </c>
      <c r="K18" s="43">
        <f>WBS!N6</f>
        <v>45044</v>
      </c>
      <c r="L18" s="44">
        <f>WBS!P6</f>
        <v>0.75</v>
      </c>
      <c r="M18" s="44"/>
    </row>
    <row r="19" spans="1:13" x14ac:dyDescent="0.3">
      <c r="A19" s="47" t="str">
        <f>WBS!B7</f>
        <v>1.4</v>
      </c>
      <c r="B19" s="47"/>
      <c r="C19" s="41" t="str">
        <f>WBS!F7</f>
        <v>Benoit Gallou</v>
      </c>
      <c r="D19" s="41" t="str">
        <f>WBS!G7</f>
        <v>Assigné</v>
      </c>
      <c r="E19" s="42" t="str">
        <f>WBS!H7</f>
        <v>Moyenne</v>
      </c>
      <c r="F19" s="42">
        <f>WBS!I7</f>
        <v>6</v>
      </c>
      <c r="G19" s="42">
        <f>WBS!J7</f>
        <v>0</v>
      </c>
      <c r="H19" s="43">
        <f>IF(ISBLANK(WBS!K7),"",WBS!K7)</f>
        <v>45041</v>
      </c>
      <c r="I19" s="42">
        <f>WBS!L7</f>
        <v>6</v>
      </c>
      <c r="J19" s="43">
        <f>WBS!M7</f>
        <v>45041</v>
      </c>
      <c r="K19" s="43">
        <f>WBS!N7</f>
        <v>45048</v>
      </c>
      <c r="L19" s="44">
        <f>WBS!P7</f>
        <v>1</v>
      </c>
      <c r="M19" s="44"/>
    </row>
    <row r="20" spans="1:13" x14ac:dyDescent="0.3">
      <c r="A20" s="40" t="s">
        <v>1</v>
      </c>
      <c r="B20" s="40" t="s">
        <v>107</v>
      </c>
      <c r="C20" s="48"/>
      <c r="D20" s="49"/>
      <c r="E20" s="50"/>
      <c r="F20" s="51"/>
      <c r="G20" s="51"/>
      <c r="H20" s="52"/>
      <c r="I20" s="51"/>
      <c r="J20" s="52"/>
      <c r="K20" s="52"/>
      <c r="L20" s="53"/>
      <c r="M20" s="44"/>
    </row>
    <row r="21" spans="1:13" x14ac:dyDescent="0.3">
      <c r="A21" s="47">
        <f>WBS!B8</f>
        <v>2</v>
      </c>
      <c r="B21" s="47"/>
      <c r="C21" s="41" t="str">
        <f>WBS!F8</f>
        <v>Dorian Dauphin</v>
      </c>
      <c r="D21" s="41" t="str">
        <f>WBS!G8</f>
        <v>En retard</v>
      </c>
      <c r="E21" s="42" t="str">
        <f>WBS!H8</f>
        <v>Basse</v>
      </c>
      <c r="F21" s="42">
        <f>WBS!I8</f>
        <v>7</v>
      </c>
      <c r="G21" s="42">
        <f>WBS!J8</f>
        <v>3</v>
      </c>
      <c r="H21" s="43">
        <f>IF(ISBLANK(WBS!K8),"",WBS!K8)</f>
        <v>45041</v>
      </c>
      <c r="I21" s="42">
        <f>WBS!L8</f>
        <v>7</v>
      </c>
      <c r="J21" s="43">
        <f>WBS!M8</f>
        <v>45041</v>
      </c>
      <c r="K21" s="43">
        <f>WBS!N8</f>
        <v>45049</v>
      </c>
      <c r="L21" s="44">
        <f>WBS!P8</f>
        <v>0.5714285714285714</v>
      </c>
      <c r="M21" s="44"/>
    </row>
    <row r="22" spans="1:13" x14ac:dyDescent="0.3">
      <c r="A22" s="47" t="str">
        <f>WBS!B9</f>
        <v>2.1</v>
      </c>
      <c r="B22" s="47"/>
      <c r="C22" s="41" t="str">
        <f>WBS!F9</f>
        <v>Sylvain Cailleau</v>
      </c>
      <c r="D22" s="41" t="str">
        <f>WBS!G9</f>
        <v>Non assigné</v>
      </c>
      <c r="E22" s="42" t="str">
        <f>WBS!H9</f>
        <v>Haute</v>
      </c>
      <c r="F22" s="42">
        <f>WBS!I9</f>
        <v>5</v>
      </c>
      <c r="G22" s="42">
        <f>WBS!J9</f>
        <v>2</v>
      </c>
      <c r="H22" s="43">
        <f>IF(ISBLANK(WBS!K9),"",WBS!K9)</f>
        <v>45040</v>
      </c>
      <c r="I22" s="42">
        <f>WBS!L9</f>
        <v>5</v>
      </c>
      <c r="J22" s="43">
        <f>WBS!M9</f>
        <v>45041</v>
      </c>
      <c r="K22" s="43">
        <f>WBS!N9</f>
        <v>45047</v>
      </c>
      <c r="L22" s="44">
        <f>WBS!P9</f>
        <v>0.6</v>
      </c>
      <c r="M22" s="44"/>
    </row>
    <row r="23" spans="1:13" x14ac:dyDescent="0.3">
      <c r="A23" s="47" t="str">
        <f>WBS!B10</f>
        <v>2.2</v>
      </c>
      <c r="B23" s="47"/>
      <c r="C23" s="41" t="str">
        <f>WBS!F10</f>
        <v>Lamine Bougueroua</v>
      </c>
      <c r="D23" s="41" t="str">
        <f>WBS!G10</f>
        <v>Terminé</v>
      </c>
      <c r="E23" s="42" t="str">
        <f>WBS!H10</f>
        <v>Moyenne</v>
      </c>
      <c r="F23" s="42">
        <f>WBS!I10</f>
        <v>9</v>
      </c>
      <c r="G23" s="42">
        <f>WBS!J10</f>
        <v>1</v>
      </c>
      <c r="H23" s="43">
        <f>IF(ISBLANK(WBS!K10),"",WBS!K10)</f>
        <v>45041</v>
      </c>
      <c r="I23" s="42">
        <f>WBS!L10</f>
        <v>9</v>
      </c>
      <c r="J23" s="43">
        <f>WBS!M10</f>
        <v>45052</v>
      </c>
      <c r="K23" s="43">
        <f>WBS!N10</f>
        <v>45064</v>
      </c>
      <c r="L23" s="44">
        <f>WBS!P10</f>
        <v>0.88888888888888884</v>
      </c>
      <c r="M23" s="44"/>
    </row>
    <row r="24" spans="1:13" x14ac:dyDescent="0.3">
      <c r="A24" s="47" t="str">
        <f>WBS!B11</f>
        <v>2.3</v>
      </c>
      <c r="B24" s="47"/>
      <c r="C24" s="41" t="str">
        <f>WBS!F11</f>
        <v>Florin Sansom</v>
      </c>
      <c r="D24" s="41" t="str">
        <f>WBS!G11</f>
        <v>Assigné</v>
      </c>
      <c r="E24" s="42" t="str">
        <f>WBS!H11</f>
        <v>Basse</v>
      </c>
      <c r="F24" s="42">
        <f>WBS!I11</f>
        <v>6</v>
      </c>
      <c r="G24" s="42">
        <f>WBS!J11</f>
        <v>3</v>
      </c>
      <c r="H24" s="43">
        <f>IF(ISBLANK(WBS!K11),"",WBS!K11)</f>
        <v>45041</v>
      </c>
      <c r="I24" s="42">
        <f>WBS!L11</f>
        <v>6</v>
      </c>
      <c r="J24" s="43">
        <f>WBS!M11</f>
        <v>45041</v>
      </c>
      <c r="K24" s="43">
        <f>WBS!N11</f>
        <v>45048</v>
      </c>
      <c r="L24" s="44">
        <f>WBS!P11</f>
        <v>0.5</v>
      </c>
      <c r="M24" s="44"/>
    </row>
    <row r="25" spans="1:13" x14ac:dyDescent="0.3">
      <c r="A25" s="47" t="str">
        <f>WBS!B12</f>
        <v>2.4</v>
      </c>
      <c r="B25" s="47"/>
      <c r="C25" s="41" t="str">
        <f>WBS!F12</f>
        <v>Benoit Gallou</v>
      </c>
      <c r="D25" s="41" t="str">
        <f>WBS!G12</f>
        <v>En retard</v>
      </c>
      <c r="E25" s="42" t="str">
        <f>WBS!H12</f>
        <v>Haute</v>
      </c>
      <c r="F25" s="42">
        <f>WBS!I12</f>
        <v>7</v>
      </c>
      <c r="G25" s="42">
        <f>WBS!J12</f>
        <v>8</v>
      </c>
      <c r="H25" s="43">
        <f>IF(ISBLANK(WBS!K12),"",WBS!K12)</f>
        <v>45041</v>
      </c>
      <c r="I25" s="42">
        <f>WBS!L12</f>
        <v>8</v>
      </c>
      <c r="J25" s="43">
        <f>WBS!M12</f>
        <v>45041</v>
      </c>
      <c r="K25" s="43">
        <f>WBS!N12</f>
        <v>45050</v>
      </c>
      <c r="L25" s="44">
        <f>WBS!P12</f>
        <v>0</v>
      </c>
      <c r="M25" s="44"/>
    </row>
    <row r="26" spans="1:13" x14ac:dyDescent="0.3">
      <c r="A26" s="47" t="str">
        <f>WBS!B13</f>
        <v>2.5</v>
      </c>
      <c r="B26" s="47"/>
      <c r="C26" s="41" t="str">
        <f>WBS!F13</f>
        <v>Dorian Dauphin</v>
      </c>
      <c r="D26" s="41" t="str">
        <f>WBS!G13</f>
        <v>Non assigné</v>
      </c>
      <c r="E26" s="42" t="str">
        <f>WBS!H13</f>
        <v>Moyenne</v>
      </c>
      <c r="F26" s="42">
        <f>WBS!I13</f>
        <v>9</v>
      </c>
      <c r="G26" s="42">
        <f>WBS!J13</f>
        <v>4</v>
      </c>
      <c r="H26" s="43">
        <f>IF(ISBLANK(WBS!K13),"",WBS!K13)</f>
        <v>45041</v>
      </c>
      <c r="I26" s="42">
        <f>WBS!L13</f>
        <v>9</v>
      </c>
      <c r="J26" s="43">
        <f>WBS!M13</f>
        <v>45041</v>
      </c>
      <c r="K26" s="43">
        <f>WBS!N13</f>
        <v>45051</v>
      </c>
      <c r="L26" s="44">
        <f>WBS!P13</f>
        <v>0.55555555555555558</v>
      </c>
      <c r="M26" s="44"/>
    </row>
    <row r="27" spans="1:13" x14ac:dyDescent="0.3">
      <c r="A27" s="40" t="s">
        <v>2</v>
      </c>
      <c r="B27" s="40" t="s">
        <v>107</v>
      </c>
      <c r="C27" s="41"/>
      <c r="D27" s="41"/>
      <c r="E27" s="42"/>
      <c r="F27" s="42"/>
      <c r="G27" s="42"/>
      <c r="H27" s="43"/>
      <c r="I27" s="42"/>
      <c r="J27" s="43"/>
      <c r="K27" s="43"/>
      <c r="L27" s="44"/>
      <c r="M27" s="44"/>
    </row>
    <row r="28" spans="1:13" x14ac:dyDescent="0.3">
      <c r="A28" s="47">
        <f>WBS!B14</f>
        <v>3</v>
      </c>
      <c r="B28" s="47"/>
      <c r="C28" s="41" t="str">
        <f>WBS!F14</f>
        <v>Sylvain Cailleau</v>
      </c>
      <c r="D28" s="41" t="str">
        <f>WBS!G14</f>
        <v>Terminé</v>
      </c>
      <c r="E28" s="42" t="str">
        <f>WBS!H14</f>
        <v>Basse</v>
      </c>
      <c r="F28" s="42">
        <f>WBS!I14</f>
        <v>8</v>
      </c>
      <c r="G28" s="42">
        <f>WBS!J14</f>
        <v>0</v>
      </c>
      <c r="H28" s="43">
        <f>IF(ISBLANK(WBS!K14),"",WBS!K14)</f>
        <v>44927</v>
      </c>
      <c r="I28" s="42">
        <f>WBS!L14</f>
        <v>8</v>
      </c>
      <c r="J28" s="43">
        <f>WBS!M14</f>
        <v>45051</v>
      </c>
      <c r="K28" s="43">
        <f>WBS!N14</f>
        <v>45062</v>
      </c>
      <c r="L28" s="44">
        <f>WBS!P14</f>
        <v>1</v>
      </c>
      <c r="M28" s="44"/>
    </row>
    <row r="29" spans="1:13" x14ac:dyDescent="0.3">
      <c r="A29" s="47" t="str">
        <f>WBS!B15</f>
        <v>3.1</v>
      </c>
      <c r="B29" s="47"/>
      <c r="C29" s="41" t="str">
        <f>WBS!F15</f>
        <v>Lamine Bougueroua</v>
      </c>
      <c r="D29" s="41" t="str">
        <f>WBS!G15</f>
        <v>Assigné</v>
      </c>
      <c r="E29" s="42" t="str">
        <f>WBS!H15</f>
        <v>Haute</v>
      </c>
      <c r="F29" s="42">
        <f>WBS!I15</f>
        <v>7</v>
      </c>
      <c r="G29" s="42">
        <f>WBS!J15</f>
        <v>3</v>
      </c>
      <c r="H29" s="43" t="str">
        <f>IF(ISBLANK(WBS!K15),"",WBS!K15)</f>
        <v/>
      </c>
      <c r="I29" s="42">
        <f>WBS!L15</f>
        <v>7</v>
      </c>
      <c r="J29" s="43">
        <f>WBS!M15</f>
        <v>45052</v>
      </c>
      <c r="K29" s="43">
        <f>WBS!N15</f>
        <v>45062</v>
      </c>
      <c r="L29" s="44">
        <f>WBS!P15</f>
        <v>0.5714285714285714</v>
      </c>
      <c r="M29" s="44"/>
    </row>
    <row r="30" spans="1:13" x14ac:dyDescent="0.3">
      <c r="A30" s="47" t="str">
        <f>WBS!B16</f>
        <v>3.2</v>
      </c>
      <c r="B30" s="47"/>
      <c r="C30" s="41" t="str">
        <f>WBS!F16</f>
        <v>Florin Sansom</v>
      </c>
      <c r="D30" s="41" t="str">
        <f>WBS!G16</f>
        <v>En retard</v>
      </c>
      <c r="E30" s="42" t="str">
        <f>WBS!H16</f>
        <v>Moyenne</v>
      </c>
      <c r="F30" s="42">
        <f>WBS!I16</f>
        <v>4</v>
      </c>
      <c r="G30" s="42">
        <f>WBS!J16</f>
        <v>1</v>
      </c>
      <c r="H30" s="43">
        <f>IF(ISBLANK(WBS!K16),"",WBS!K16)</f>
        <v>45041</v>
      </c>
      <c r="I30" s="42">
        <f>WBS!L16</f>
        <v>4</v>
      </c>
      <c r="J30" s="43">
        <f>WBS!M16</f>
        <v>45041</v>
      </c>
      <c r="K30" s="43">
        <f>WBS!N16</f>
        <v>45044</v>
      </c>
      <c r="L30" s="44">
        <f>WBS!P16</f>
        <v>0.75</v>
      </c>
      <c r="M30" s="44"/>
    </row>
    <row r="31" spans="1:13" x14ac:dyDescent="0.3">
      <c r="A31" s="47" t="str">
        <f>WBS!B17</f>
        <v>3.3</v>
      </c>
      <c r="B31" s="47"/>
      <c r="C31" s="41" t="str">
        <f>WBS!F17</f>
        <v>Benoit Gallou</v>
      </c>
      <c r="D31" s="41" t="str">
        <f>WBS!G17</f>
        <v>Non assigné</v>
      </c>
      <c r="E31" s="42" t="str">
        <f>WBS!H17</f>
        <v>Basse</v>
      </c>
      <c r="F31" s="42">
        <f>WBS!I17</f>
        <v>6</v>
      </c>
      <c r="G31" s="42">
        <f>WBS!J17</f>
        <v>3</v>
      </c>
      <c r="H31" s="43">
        <f>IF(ISBLANK(WBS!K17),"",WBS!K17)</f>
        <v>45041</v>
      </c>
      <c r="I31" s="42">
        <f>WBS!L17</f>
        <v>6</v>
      </c>
      <c r="J31" s="43">
        <f>WBS!M17</f>
        <v>45041</v>
      </c>
      <c r="K31" s="43">
        <f>WBS!N17</f>
        <v>45048</v>
      </c>
      <c r="L31" s="44">
        <f>WBS!P17</f>
        <v>0.5</v>
      </c>
      <c r="M31" s="44"/>
    </row>
    <row r="32" spans="1:13" x14ac:dyDescent="0.3">
      <c r="A32" s="47" t="str">
        <f>WBS!B18</f>
        <v>3.4</v>
      </c>
      <c r="B32" s="47"/>
      <c r="C32" s="41" t="str">
        <f>WBS!F18</f>
        <v>Dorian Dauphin</v>
      </c>
      <c r="D32" s="41" t="str">
        <f>WBS!G18</f>
        <v>Terminé</v>
      </c>
      <c r="E32" s="42" t="str">
        <f>WBS!H18</f>
        <v>Haute</v>
      </c>
      <c r="F32" s="42">
        <f>WBS!I18</f>
        <v>6</v>
      </c>
      <c r="G32" s="42">
        <f>WBS!J18</f>
        <v>5</v>
      </c>
      <c r="H32" s="43">
        <f>IF(ISBLANK(WBS!K18),"",WBS!K18)</f>
        <v>45041</v>
      </c>
      <c r="I32" s="42">
        <f>WBS!L18</f>
        <v>6</v>
      </c>
      <c r="J32" s="43">
        <f>WBS!M18</f>
        <v>45041</v>
      </c>
      <c r="K32" s="43">
        <f>WBS!N18</f>
        <v>45048</v>
      </c>
      <c r="L32" s="44">
        <f>WBS!P18</f>
        <v>0.16666666666666666</v>
      </c>
      <c r="M32" s="44"/>
    </row>
    <row r="33" spans="1:13" x14ac:dyDescent="0.3">
      <c r="A33" s="47" t="str">
        <f>WBS!B19</f>
        <v>3.5</v>
      </c>
      <c r="B33" s="47"/>
      <c r="C33" s="41" t="str">
        <f>WBS!F19</f>
        <v>Sylvain Cailleau</v>
      </c>
      <c r="D33" s="41" t="str">
        <f>WBS!G19</f>
        <v>Assigné</v>
      </c>
      <c r="E33" s="42" t="str">
        <f>WBS!H19</f>
        <v>Moyenne</v>
      </c>
      <c r="F33" s="42">
        <f>WBS!I19</f>
        <v>4</v>
      </c>
      <c r="G33" s="42">
        <f>WBS!J19</f>
        <v>1</v>
      </c>
      <c r="H33" s="43">
        <f>IF(ISBLANK(WBS!K19),"",WBS!K19)</f>
        <v>45041</v>
      </c>
      <c r="I33" s="42">
        <f>WBS!L19</f>
        <v>4</v>
      </c>
      <c r="J33" s="43">
        <f>WBS!M19</f>
        <v>45041</v>
      </c>
      <c r="K33" s="43">
        <f>WBS!N19</f>
        <v>45044</v>
      </c>
      <c r="L33" s="44">
        <f>WBS!P19</f>
        <v>0.75</v>
      </c>
      <c r="M33" s="44"/>
    </row>
    <row r="34" spans="1:13" x14ac:dyDescent="0.3">
      <c r="A34" s="47" t="str">
        <f>WBS!B20</f>
        <v>3.6</v>
      </c>
      <c r="B34" s="47"/>
      <c r="C34" s="41" t="str">
        <f>WBS!F20</f>
        <v>Lamine Bougueroua</v>
      </c>
      <c r="D34" s="41" t="str">
        <f>WBS!G20</f>
        <v>En retard</v>
      </c>
      <c r="E34" s="42" t="str">
        <f>WBS!H20</f>
        <v>Basse</v>
      </c>
      <c r="F34" s="42">
        <f>WBS!I20</f>
        <v>7</v>
      </c>
      <c r="G34" s="42">
        <f>WBS!J20</f>
        <v>3</v>
      </c>
      <c r="H34" s="43">
        <f>IF(ISBLANK(WBS!K20),"",WBS!K20)</f>
        <v>45041</v>
      </c>
      <c r="I34" s="42">
        <f>WBS!L20</f>
        <v>7</v>
      </c>
      <c r="J34" s="43">
        <f>WBS!M20</f>
        <v>45041</v>
      </c>
      <c r="K34" s="43">
        <f>WBS!N20</f>
        <v>45049</v>
      </c>
      <c r="L34" s="44">
        <f>WBS!P20</f>
        <v>0.5714285714285714</v>
      </c>
      <c r="M34" s="44"/>
    </row>
    <row r="35" spans="1:13" x14ac:dyDescent="0.3">
      <c r="A35" s="40" t="s">
        <v>3</v>
      </c>
      <c r="B35" s="40" t="s">
        <v>107</v>
      </c>
      <c r="C35" s="41"/>
      <c r="D35" s="41"/>
      <c r="E35" s="42"/>
      <c r="F35" s="42"/>
      <c r="G35" s="42"/>
      <c r="H35" s="43"/>
      <c r="I35" s="42"/>
      <c r="J35" s="43"/>
      <c r="K35" s="43"/>
      <c r="L35" s="44"/>
      <c r="M35" s="44"/>
    </row>
    <row r="36" spans="1:13" x14ac:dyDescent="0.3">
      <c r="A36" s="47">
        <f>WBS!B21</f>
        <v>4</v>
      </c>
      <c r="B36" s="47"/>
      <c r="C36" s="41" t="str">
        <f>WBS!F21</f>
        <v>Sylvain Cailleau</v>
      </c>
      <c r="D36" s="41" t="str">
        <f>WBS!G21</f>
        <v>Non assigné</v>
      </c>
      <c r="E36" s="42" t="str">
        <f>WBS!H21</f>
        <v>Haute</v>
      </c>
      <c r="F36" s="42">
        <f>WBS!I21</f>
        <v>3</v>
      </c>
      <c r="G36" s="42">
        <f>WBS!J21</f>
        <v>3</v>
      </c>
      <c r="H36" s="43">
        <f>IF(ISBLANK(WBS!K21),"",WBS!K21)</f>
        <v>45041</v>
      </c>
      <c r="I36" s="42">
        <f>WBS!L21</f>
        <v>3</v>
      </c>
      <c r="J36" s="43">
        <f>WBS!M21</f>
        <v>45041</v>
      </c>
      <c r="K36" s="43">
        <f>WBS!N21</f>
        <v>45043</v>
      </c>
      <c r="L36" s="44">
        <f>WBS!P21</f>
        <v>0</v>
      </c>
      <c r="M36" s="44"/>
    </row>
    <row r="37" spans="1:13" x14ac:dyDescent="0.3">
      <c r="A37" s="47" t="str">
        <f>WBS!B22</f>
        <v>4.1</v>
      </c>
      <c r="B37" s="47"/>
      <c r="C37" s="41" t="str">
        <f>WBS!F22</f>
        <v>Benoit Gallou</v>
      </c>
      <c r="D37" s="41" t="str">
        <f>WBS!G22</f>
        <v>Terminé</v>
      </c>
      <c r="E37" s="42" t="str">
        <f>WBS!H22</f>
        <v>Moyenne</v>
      </c>
      <c r="F37" s="42">
        <f>WBS!I22</f>
        <v>10</v>
      </c>
      <c r="G37" s="42">
        <f>WBS!J22</f>
        <v>5</v>
      </c>
      <c r="H37" s="43">
        <f>IF(ISBLANK(WBS!K22),"",WBS!K22)</f>
        <v>45041</v>
      </c>
      <c r="I37" s="42">
        <f>WBS!L22</f>
        <v>10</v>
      </c>
      <c r="J37" s="43">
        <f>WBS!M22</f>
        <v>45041</v>
      </c>
      <c r="K37" s="43">
        <f>WBS!N22</f>
        <v>45054</v>
      </c>
      <c r="L37" s="44">
        <f>WBS!P22</f>
        <v>0.5</v>
      </c>
      <c r="M37" s="44"/>
    </row>
    <row r="38" spans="1:13" x14ac:dyDescent="0.3">
      <c r="A38" s="47" t="str">
        <f>WBS!B23</f>
        <v>4.2</v>
      </c>
      <c r="B38" s="47"/>
      <c r="C38" s="41" t="str">
        <f>WBS!F23</f>
        <v>Dorian Dauphin</v>
      </c>
      <c r="D38" s="41" t="str">
        <f>WBS!G23</f>
        <v>Assigné</v>
      </c>
      <c r="E38" s="42" t="str">
        <f>WBS!H23</f>
        <v>Basse</v>
      </c>
      <c r="F38" s="42">
        <f>WBS!I23</f>
        <v>5</v>
      </c>
      <c r="G38" s="42">
        <f>WBS!J23</f>
        <v>4</v>
      </c>
      <c r="H38" s="43">
        <f>IF(ISBLANK(WBS!K23),"",WBS!K23)</f>
        <v>45041</v>
      </c>
      <c r="I38" s="42">
        <f>WBS!L23</f>
        <v>5</v>
      </c>
      <c r="J38" s="43">
        <f>WBS!M23</f>
        <v>45041</v>
      </c>
      <c r="K38" s="43">
        <f>WBS!N23</f>
        <v>45047</v>
      </c>
      <c r="L38" s="44">
        <f>WBS!P23</f>
        <v>0.2</v>
      </c>
      <c r="M38" s="44"/>
    </row>
    <row r="39" spans="1:13" x14ac:dyDescent="0.3">
      <c r="A39" s="47" t="str">
        <f>WBS!B24</f>
        <v>4.3</v>
      </c>
      <c r="B39" s="47"/>
      <c r="C39" s="41" t="str">
        <f>WBS!F24</f>
        <v>Sylvain Cailleau</v>
      </c>
      <c r="D39" s="41" t="str">
        <f>WBS!G24</f>
        <v>En retard</v>
      </c>
      <c r="E39" s="42" t="str">
        <f>WBS!H24</f>
        <v>Haute</v>
      </c>
      <c r="F39" s="42">
        <f>WBS!I24</f>
        <v>7</v>
      </c>
      <c r="G39" s="42">
        <f>WBS!J24</f>
        <v>3</v>
      </c>
      <c r="H39" s="43">
        <f>IF(ISBLANK(WBS!K24),"",WBS!K24)</f>
        <v>45041</v>
      </c>
      <c r="I39" s="42">
        <f>WBS!L24</f>
        <v>7</v>
      </c>
      <c r="J39" s="43">
        <f>WBS!M24</f>
        <v>45041</v>
      </c>
      <c r="K39" s="43">
        <f>WBS!N24</f>
        <v>45049</v>
      </c>
      <c r="L39" s="44">
        <f>WBS!P24</f>
        <v>0.5714285714285714</v>
      </c>
      <c r="M39" s="44"/>
    </row>
    <row r="40" spans="1:13" x14ac:dyDescent="0.3">
      <c r="A40" s="47" t="str">
        <f>WBS!B25</f>
        <v>4.4</v>
      </c>
      <c r="B40" s="47"/>
      <c r="C40" s="41" t="str">
        <f>WBS!F25</f>
        <v>Lamine Bougueroua</v>
      </c>
      <c r="D40" s="41" t="str">
        <f>WBS!G25</f>
        <v>Non assigné</v>
      </c>
      <c r="E40" s="42" t="str">
        <f>WBS!H25</f>
        <v>Moyenne</v>
      </c>
      <c r="F40" s="42">
        <f>WBS!I25</f>
        <v>7</v>
      </c>
      <c r="G40" s="42">
        <f>WBS!J25</f>
        <v>2</v>
      </c>
      <c r="H40" s="43">
        <f>IF(ISBLANK(WBS!K25),"",WBS!K25)</f>
        <v>45041</v>
      </c>
      <c r="I40" s="42">
        <f>WBS!L25</f>
        <v>7</v>
      </c>
      <c r="J40" s="43">
        <f>WBS!M25</f>
        <v>45041</v>
      </c>
      <c r="K40" s="43">
        <f>WBS!N25</f>
        <v>45049</v>
      </c>
      <c r="L40" s="44">
        <f>WBS!P25</f>
        <v>0.7142857142857143</v>
      </c>
      <c r="M40" s="44"/>
    </row>
    <row r="41" spans="1:13" x14ac:dyDescent="0.3">
      <c r="A41" s="47" t="str">
        <f>WBS!B26</f>
        <v>4.5</v>
      </c>
      <c r="B41" s="47"/>
      <c r="C41" s="41" t="str">
        <f>WBS!F26</f>
        <v>Florin Sansom</v>
      </c>
      <c r="D41" s="41" t="str">
        <f>WBS!G26</f>
        <v>Terminé</v>
      </c>
      <c r="E41" s="42" t="str">
        <f>WBS!H26</f>
        <v>Basse</v>
      </c>
      <c r="F41" s="42">
        <f>WBS!I26</f>
        <v>3</v>
      </c>
      <c r="G41" s="42">
        <f>WBS!J26</f>
        <v>2</v>
      </c>
      <c r="H41" s="43">
        <f>IF(ISBLANK(WBS!K26),"",WBS!K26)</f>
        <v>45041</v>
      </c>
      <c r="I41" s="42">
        <f>WBS!L26</f>
        <v>3</v>
      </c>
      <c r="J41" s="43">
        <f>WBS!M26</f>
        <v>45041</v>
      </c>
      <c r="K41" s="43">
        <f>WBS!N26</f>
        <v>45043</v>
      </c>
      <c r="L41" s="44">
        <f>WBS!P26</f>
        <v>0.33333333333333331</v>
      </c>
      <c r="M41" s="44"/>
    </row>
    <row r="42" spans="1:13" x14ac:dyDescent="0.3">
      <c r="A42" s="47" t="str">
        <f>WBS!B27</f>
        <v>4.6</v>
      </c>
      <c r="B42" s="47"/>
      <c r="C42" s="41" t="str">
        <f>WBS!F27</f>
        <v>Benoit Gallou</v>
      </c>
      <c r="D42" s="41" t="str">
        <f>WBS!G27</f>
        <v>Assigné</v>
      </c>
      <c r="E42" s="42" t="str">
        <f>WBS!H27</f>
        <v>Haute</v>
      </c>
      <c r="F42" s="42">
        <f>WBS!I27</f>
        <v>9</v>
      </c>
      <c r="G42" s="42">
        <f>WBS!J27</f>
        <v>8</v>
      </c>
      <c r="H42" s="43">
        <f>IF(ISBLANK(WBS!K27),"",WBS!K27)</f>
        <v>45041</v>
      </c>
      <c r="I42" s="42">
        <f>WBS!L27</f>
        <v>9</v>
      </c>
      <c r="J42" s="43">
        <f>WBS!M27</f>
        <v>45041</v>
      </c>
      <c r="K42" s="43">
        <f>WBS!N27</f>
        <v>45051</v>
      </c>
      <c r="L42" s="44">
        <f>WBS!P27</f>
        <v>0.1111111111111111</v>
      </c>
      <c r="M42" s="44"/>
    </row>
    <row r="43" spans="1:13" x14ac:dyDescent="0.3">
      <c r="A43" s="47" t="str">
        <f>WBS!B28</f>
        <v>4.7</v>
      </c>
      <c r="B43" s="47"/>
      <c r="C43" s="41" t="str">
        <f>WBS!F28</f>
        <v>Dorian Dauphin</v>
      </c>
      <c r="D43" s="41" t="str">
        <f>WBS!G28</f>
        <v>En retard</v>
      </c>
      <c r="E43" s="42" t="str">
        <f>WBS!H28</f>
        <v>Moyenne</v>
      </c>
      <c r="F43" s="42">
        <f>WBS!I28</f>
        <v>10</v>
      </c>
      <c r="G43" s="42">
        <f>WBS!J28</f>
        <v>2</v>
      </c>
      <c r="H43" s="43">
        <f>IF(ISBLANK(WBS!K28),"",WBS!K28)</f>
        <v>45041</v>
      </c>
      <c r="I43" s="42">
        <f>WBS!L28</f>
        <v>10</v>
      </c>
      <c r="J43" s="43">
        <f>WBS!M28</f>
        <v>45041</v>
      </c>
      <c r="K43" s="43">
        <f>WBS!N28</f>
        <v>45054</v>
      </c>
      <c r="L43" s="44">
        <f>WBS!P28</f>
        <v>0.8</v>
      </c>
      <c r="M43" s="44"/>
    </row>
    <row r="44" spans="1:13" x14ac:dyDescent="0.3">
      <c r="A44" s="47" t="str">
        <f>WBS!B29</f>
        <v>4.8</v>
      </c>
      <c r="B44" s="47"/>
      <c r="C44" s="41" t="str">
        <f>WBS!F29</f>
        <v>Sylvain Cailleau</v>
      </c>
      <c r="D44" s="41" t="str">
        <f>WBS!G29</f>
        <v>Non assigné</v>
      </c>
      <c r="E44" s="42" t="str">
        <f>WBS!H29</f>
        <v>Basse</v>
      </c>
      <c r="F44" s="42">
        <f>WBS!I29</f>
        <v>4</v>
      </c>
      <c r="G44" s="42">
        <f>WBS!J29</f>
        <v>0</v>
      </c>
      <c r="H44" s="43" t="str">
        <f>IF(ISBLANK(WBS!K29),"",WBS!K29)</f>
        <v/>
      </c>
      <c r="I44" s="42">
        <f>WBS!L29</f>
        <v>4</v>
      </c>
      <c r="J44" s="43" t="str">
        <f>WBS!M29</f>
        <v>02/01/2023</v>
      </c>
      <c r="K44" s="43">
        <f>WBS!N29</f>
        <v>44931</v>
      </c>
      <c r="L44" s="44">
        <f>WBS!P29</f>
        <v>1</v>
      </c>
      <c r="M44" s="44"/>
    </row>
    <row r="45" spans="1:13" x14ac:dyDescent="0.3">
      <c r="A45" s="47" t="str">
        <f>WBS!B30</f>
        <v>4.9</v>
      </c>
      <c r="B45" s="47"/>
      <c r="C45" s="41" t="str">
        <f>WBS!F30</f>
        <v>Lamine Bougueroua</v>
      </c>
      <c r="D45" s="41" t="str">
        <f>WBS!G30</f>
        <v>Terminé</v>
      </c>
      <c r="E45" s="42" t="str">
        <f>WBS!H30</f>
        <v>Haute</v>
      </c>
      <c r="F45" s="42">
        <f>WBS!I30</f>
        <v>8</v>
      </c>
      <c r="G45" s="42">
        <f>WBS!J30</f>
        <v>5</v>
      </c>
      <c r="H45" s="43">
        <f>IF(ISBLANK(WBS!K30),"",WBS!K30)</f>
        <v>45041</v>
      </c>
      <c r="I45" s="42">
        <f>WBS!L30</f>
        <v>8</v>
      </c>
      <c r="J45" s="43">
        <f>WBS!M30</f>
        <v>45041</v>
      </c>
      <c r="K45" s="43">
        <f>WBS!N30</f>
        <v>45050</v>
      </c>
      <c r="L45" s="44">
        <f>WBS!P30</f>
        <v>0.375</v>
      </c>
      <c r="M45" s="44"/>
    </row>
    <row r="46" spans="1:13" x14ac:dyDescent="0.3">
      <c r="A46" s="47" t="str">
        <f>WBS!B31</f>
        <v>4.10</v>
      </c>
      <c r="B46" s="47"/>
      <c r="C46" s="41" t="str">
        <f>WBS!F31</f>
        <v>Florin Sansom</v>
      </c>
      <c r="D46" s="41" t="str">
        <f>WBS!G31</f>
        <v>Assigné</v>
      </c>
      <c r="E46" s="42" t="str">
        <f>WBS!H31</f>
        <v>Moyenne</v>
      </c>
      <c r="F46" s="42">
        <f>WBS!I31</f>
        <v>10</v>
      </c>
      <c r="G46" s="42">
        <f>WBS!J31</f>
        <v>3</v>
      </c>
      <c r="H46" s="43">
        <f>IF(ISBLANK(WBS!K31),"",WBS!K31)</f>
        <v>45041</v>
      </c>
      <c r="I46" s="42">
        <f>WBS!L31</f>
        <v>10</v>
      </c>
      <c r="J46" s="43">
        <f>WBS!M31</f>
        <v>45041</v>
      </c>
      <c r="K46" s="43">
        <f>WBS!N31</f>
        <v>45054</v>
      </c>
      <c r="L46" s="44">
        <f>WBS!P31</f>
        <v>0.7</v>
      </c>
      <c r="M46" s="44"/>
    </row>
    <row r="47" spans="1:13" x14ac:dyDescent="0.3">
      <c r="A47" s="47" t="str">
        <f>WBS!B32</f>
        <v>4.11</v>
      </c>
      <c r="B47" s="47"/>
      <c r="C47" s="41" t="str">
        <f>WBS!F32</f>
        <v>Benoit Gallou</v>
      </c>
      <c r="D47" s="41" t="str">
        <f>WBS!G32</f>
        <v>En retard</v>
      </c>
      <c r="E47" s="42" t="str">
        <f>WBS!H32</f>
        <v>Basse</v>
      </c>
      <c r="F47" s="42">
        <f>WBS!I32</f>
        <v>6</v>
      </c>
      <c r="G47" s="42">
        <f>WBS!J32</f>
        <v>3</v>
      </c>
      <c r="H47" s="43">
        <f>IF(ISBLANK(WBS!K32),"",WBS!K32)</f>
        <v>45041</v>
      </c>
      <c r="I47" s="42">
        <f>WBS!L32</f>
        <v>6</v>
      </c>
      <c r="J47" s="43">
        <f>WBS!M32</f>
        <v>45041</v>
      </c>
      <c r="K47" s="43">
        <f>WBS!N32</f>
        <v>45048</v>
      </c>
      <c r="L47" s="44">
        <f>WBS!P32</f>
        <v>0.5</v>
      </c>
      <c r="M47" s="44"/>
    </row>
    <row r="48" spans="1:13" x14ac:dyDescent="0.3">
      <c r="A48" s="47" t="str">
        <f>WBS!B33</f>
        <v>4.12</v>
      </c>
      <c r="B48" s="47"/>
      <c r="C48" s="41" t="str">
        <f>WBS!F33</f>
        <v>Dorian Dauphin</v>
      </c>
      <c r="D48" s="41" t="str">
        <f>WBS!G33</f>
        <v>Non assigné</v>
      </c>
      <c r="E48" s="42" t="str">
        <f>WBS!H33</f>
        <v>Haute</v>
      </c>
      <c r="F48" s="42">
        <f>WBS!I33</f>
        <v>4</v>
      </c>
      <c r="G48" s="42">
        <f>WBS!J33</f>
        <v>2</v>
      </c>
      <c r="H48" s="43">
        <f>IF(ISBLANK(WBS!K33),"",WBS!K33)</f>
        <v>45041</v>
      </c>
      <c r="I48" s="42">
        <f>WBS!L33</f>
        <v>4</v>
      </c>
      <c r="J48" s="43">
        <f>WBS!M33</f>
        <v>45041</v>
      </c>
      <c r="K48" s="43">
        <f>WBS!N33</f>
        <v>45044</v>
      </c>
      <c r="L48" s="44">
        <f>WBS!P33</f>
        <v>0.5</v>
      </c>
      <c r="M48" s="44"/>
    </row>
    <row r="49" spans="1:13" x14ac:dyDescent="0.3">
      <c r="A49" s="47" t="str">
        <f>WBS!B34</f>
        <v>4.13</v>
      </c>
      <c r="B49" s="47"/>
      <c r="C49" s="41" t="str">
        <f>WBS!F34</f>
        <v>Sylvain Cailleau</v>
      </c>
      <c r="D49" s="41" t="str">
        <f>WBS!G34</f>
        <v>Terminé</v>
      </c>
      <c r="E49" s="42" t="str">
        <f>WBS!H34</f>
        <v>Moyenne</v>
      </c>
      <c r="F49" s="42">
        <f>WBS!I34</f>
        <v>7</v>
      </c>
      <c r="G49" s="42">
        <f>WBS!J34</f>
        <v>3</v>
      </c>
      <c r="H49" s="43">
        <f>IF(ISBLANK(WBS!K34),"",WBS!K34)</f>
        <v>45041</v>
      </c>
      <c r="I49" s="42">
        <f>WBS!L34</f>
        <v>7</v>
      </c>
      <c r="J49" s="43">
        <f>WBS!M34</f>
        <v>45041</v>
      </c>
      <c r="K49" s="43">
        <f>WBS!N34</f>
        <v>45049</v>
      </c>
      <c r="L49" s="44">
        <f>WBS!P34</f>
        <v>0.5714285714285714</v>
      </c>
      <c r="M49" s="44"/>
    </row>
    <row r="50" spans="1:13" x14ac:dyDescent="0.3">
      <c r="A50" s="47" t="str">
        <f>WBS!B35</f>
        <v>4.14</v>
      </c>
      <c r="B50" s="47"/>
      <c r="C50" s="41" t="str">
        <f>WBS!F35</f>
        <v>Lamine Bougueroua</v>
      </c>
      <c r="D50" s="41" t="str">
        <f>WBS!G35</f>
        <v>Assigné</v>
      </c>
      <c r="E50" s="42" t="str">
        <f>WBS!H35</f>
        <v>Basse</v>
      </c>
      <c r="F50" s="42">
        <f>WBS!I35</f>
        <v>9</v>
      </c>
      <c r="G50" s="42">
        <f>WBS!J35</f>
        <v>4</v>
      </c>
      <c r="H50" s="43">
        <f>IF(ISBLANK(WBS!K35),"",WBS!K35)</f>
        <v>45041</v>
      </c>
      <c r="I50" s="42">
        <f>WBS!L35</f>
        <v>9</v>
      </c>
      <c r="J50" s="43">
        <f>WBS!M35</f>
        <v>45041</v>
      </c>
      <c r="K50" s="43">
        <f>WBS!N35</f>
        <v>45051</v>
      </c>
      <c r="L50" s="44">
        <f>WBS!P35</f>
        <v>0.55555555555555558</v>
      </c>
      <c r="M50" s="44"/>
    </row>
    <row r="51" spans="1:13" x14ac:dyDescent="0.3">
      <c r="A51" s="47" t="str">
        <f>WBS!B36</f>
        <v>4.15</v>
      </c>
      <c r="B51" s="47"/>
      <c r="C51" s="41" t="str">
        <f>WBS!F36</f>
        <v>Florin Sansom</v>
      </c>
      <c r="D51" s="41" t="str">
        <f>WBS!G36</f>
        <v>En retard</v>
      </c>
      <c r="E51" s="42" t="str">
        <f>WBS!H36</f>
        <v>Haute</v>
      </c>
      <c r="F51" s="42">
        <f>WBS!I36</f>
        <v>5</v>
      </c>
      <c r="G51" s="42">
        <f>WBS!J36</f>
        <v>3</v>
      </c>
      <c r="H51" s="43">
        <f>IF(ISBLANK(WBS!K36),"",WBS!K36)</f>
        <v>45041</v>
      </c>
      <c r="I51" s="42">
        <f>WBS!L36</f>
        <v>5</v>
      </c>
      <c r="J51" s="43">
        <f>WBS!M36</f>
        <v>45041</v>
      </c>
      <c r="K51" s="43">
        <f>WBS!N36</f>
        <v>45047</v>
      </c>
      <c r="L51" s="44">
        <f>WBS!P36</f>
        <v>0.4</v>
      </c>
      <c r="M51" s="44"/>
    </row>
    <row r="52" spans="1:13" x14ac:dyDescent="0.3">
      <c r="A52" s="40" t="s">
        <v>4</v>
      </c>
      <c r="B52" s="40" t="s">
        <v>107</v>
      </c>
      <c r="C52" s="41"/>
      <c r="D52" s="41"/>
      <c r="E52" s="42"/>
      <c r="F52" s="42"/>
      <c r="G52" s="42"/>
      <c r="H52" s="43"/>
      <c r="I52" s="42"/>
      <c r="J52" s="43"/>
      <c r="K52" s="43"/>
      <c r="L52" s="44"/>
      <c r="M52" s="44"/>
    </row>
    <row r="53" spans="1:13" x14ac:dyDescent="0.3">
      <c r="A53" s="47">
        <f>WBS!B37</f>
        <v>5</v>
      </c>
      <c r="B53" s="47"/>
      <c r="C53" s="41" t="str">
        <f>WBS!F37</f>
        <v>Benoit Gallou</v>
      </c>
      <c r="D53" s="41" t="str">
        <f>WBS!G37</f>
        <v>Non assigné</v>
      </c>
      <c r="E53" s="42" t="str">
        <f>WBS!H37</f>
        <v>Moyenne</v>
      </c>
      <c r="F53" s="42">
        <f>WBS!I37</f>
        <v>3</v>
      </c>
      <c r="G53" s="42">
        <f>WBS!J37</f>
        <v>3</v>
      </c>
      <c r="H53" s="43">
        <f>IF(ISBLANK(WBS!K37),"",WBS!K37)</f>
        <v>45041</v>
      </c>
      <c r="I53" s="42">
        <f>WBS!L37</f>
        <v>3</v>
      </c>
      <c r="J53" s="43">
        <f>WBS!M37</f>
        <v>45041</v>
      </c>
      <c r="K53" s="43">
        <f>WBS!N37</f>
        <v>45043</v>
      </c>
      <c r="L53" s="44">
        <f>WBS!P37</f>
        <v>0</v>
      </c>
      <c r="M53" s="44"/>
    </row>
    <row r="54" spans="1:13" x14ac:dyDescent="0.3">
      <c r="A54" s="47" t="str">
        <f>WBS!B38</f>
        <v>5.1</v>
      </c>
      <c r="B54" s="47"/>
      <c r="C54" s="41" t="str">
        <f>WBS!F38</f>
        <v>Dorian Dauphin</v>
      </c>
      <c r="D54" s="41" t="str">
        <f>WBS!G38</f>
        <v>Terminé</v>
      </c>
      <c r="E54" s="42" t="str">
        <f>WBS!H38</f>
        <v>Basse</v>
      </c>
      <c r="F54" s="42">
        <f>WBS!I38</f>
        <v>7</v>
      </c>
      <c r="G54" s="42">
        <f>WBS!J38</f>
        <v>3</v>
      </c>
      <c r="H54" s="43">
        <f>IF(ISBLANK(WBS!K38),"",WBS!K38)</f>
        <v>45041</v>
      </c>
      <c r="I54" s="42">
        <f>WBS!L38</f>
        <v>7</v>
      </c>
      <c r="J54" s="43">
        <f>WBS!M38</f>
        <v>45041</v>
      </c>
      <c r="K54" s="43">
        <f>WBS!N38</f>
        <v>45049</v>
      </c>
      <c r="L54" s="44">
        <f>WBS!P38</f>
        <v>0.5714285714285714</v>
      </c>
      <c r="M54" s="44"/>
    </row>
    <row r="55" spans="1:13" x14ac:dyDescent="0.3">
      <c r="A55" s="47" t="str">
        <f>WBS!B39</f>
        <v>5.2</v>
      </c>
      <c r="B55" s="47"/>
      <c r="C55" s="41" t="str">
        <f>WBS!F39</f>
        <v>Sylvain Cailleau</v>
      </c>
      <c r="D55" s="41" t="str">
        <f>WBS!G39</f>
        <v>Assigné</v>
      </c>
      <c r="E55" s="42" t="str">
        <f>WBS!H39</f>
        <v>Haute</v>
      </c>
      <c r="F55" s="42">
        <f>WBS!I39</f>
        <v>10</v>
      </c>
      <c r="G55" s="42">
        <f>WBS!J39</f>
        <v>7</v>
      </c>
      <c r="H55" s="43">
        <f>IF(ISBLANK(WBS!K39),"",WBS!K39)</f>
        <v>45044</v>
      </c>
      <c r="I55" s="42">
        <f>WBS!L39</f>
        <v>10</v>
      </c>
      <c r="J55" s="43">
        <f>WBS!M39</f>
        <v>45041</v>
      </c>
      <c r="K55" s="43">
        <f>WBS!N39</f>
        <v>45054</v>
      </c>
      <c r="L55" s="44">
        <f>WBS!P39</f>
        <v>0.3</v>
      </c>
      <c r="M55" s="44"/>
    </row>
    <row r="56" spans="1:13" x14ac:dyDescent="0.3">
      <c r="A56" s="47" t="str">
        <f>WBS!B40</f>
        <v>5.3</v>
      </c>
      <c r="B56" s="47"/>
      <c r="C56" s="41" t="str">
        <f>WBS!F40</f>
        <v>Lamine Bougueroua</v>
      </c>
      <c r="D56" s="41" t="str">
        <f>WBS!G40</f>
        <v>En retard</v>
      </c>
      <c r="E56" s="42" t="str">
        <f>WBS!H40</f>
        <v>Moyenne</v>
      </c>
      <c r="F56" s="42">
        <f>WBS!I40</f>
        <v>10</v>
      </c>
      <c r="G56" s="42">
        <f>WBS!J40</f>
        <v>3</v>
      </c>
      <c r="H56" s="43">
        <f>IF(ISBLANK(WBS!K40),"",WBS!K40)</f>
        <v>45044</v>
      </c>
      <c r="I56" s="42">
        <f>WBS!L40</f>
        <v>10</v>
      </c>
      <c r="J56" s="43">
        <f>WBS!M40</f>
        <v>45041</v>
      </c>
      <c r="K56" s="43">
        <f>WBS!N40</f>
        <v>45048</v>
      </c>
      <c r="L56" s="44">
        <f>WBS!P40</f>
        <v>0.7</v>
      </c>
      <c r="M56" s="44"/>
    </row>
    <row r="57" spans="1:13" x14ac:dyDescent="0.3">
      <c r="A57" s="47" t="str">
        <f>WBS!B41</f>
        <v>5.4</v>
      </c>
      <c r="B57" s="47"/>
      <c r="C57" s="41" t="str">
        <f>WBS!F41</f>
        <v>Florin Sansom</v>
      </c>
      <c r="D57" s="41" t="str">
        <f>WBS!G41</f>
        <v>Non assigné</v>
      </c>
      <c r="E57" s="42" t="str">
        <f>WBS!H41</f>
        <v>Basse</v>
      </c>
      <c r="F57" s="42">
        <f>WBS!I41</f>
        <v>3</v>
      </c>
      <c r="G57" s="42">
        <f>WBS!J41</f>
        <v>0</v>
      </c>
      <c r="H57" s="43" t="str">
        <f>IF(ISBLANK(WBS!K41),"",WBS!K41)</f>
        <v>01/01/2023</v>
      </c>
      <c r="I57" s="42">
        <f>WBS!L41</f>
        <v>3</v>
      </c>
      <c r="J57" s="43" t="str">
        <f>WBS!M41</f>
        <v>02/01/2023</v>
      </c>
      <c r="K57" s="43">
        <f>WBS!N41</f>
        <v>44930</v>
      </c>
      <c r="L57" s="44">
        <f>WBS!P41</f>
        <v>1</v>
      </c>
      <c r="M57" s="44"/>
    </row>
    <row r="58" spans="1:13" x14ac:dyDescent="0.3">
      <c r="B58" s="21"/>
      <c r="E58" s="21"/>
      <c r="F58" s="21"/>
      <c r="G58" s="21"/>
      <c r="H58" s="21"/>
      <c r="I58" s="21"/>
      <c r="J58" s="21"/>
      <c r="K58" s="21"/>
      <c r="L58" s="21"/>
      <c r="M58" s="21"/>
    </row>
  </sheetData>
  <dataConsolidate/>
  <mergeCells count="9">
    <mergeCell ref="AB11:AH11"/>
    <mergeCell ref="AI11:AO11"/>
    <mergeCell ref="U11:AA11"/>
    <mergeCell ref="D2:E2"/>
    <mergeCell ref="D6:E6"/>
    <mergeCell ref="D8:E8"/>
    <mergeCell ref="I2:J2"/>
    <mergeCell ref="D4:E4"/>
    <mergeCell ref="N11:T11"/>
  </mergeCells>
  <phoneticPr fontId="4" type="noConversion"/>
  <conditionalFormatting sqref="L14:L19 M14:M57 L21:L57">
    <cfRule type="dataBar" priority="100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{9FEDA2E0-8ABE-42F9-87AC-BEFC78FB8472}</x14:id>
        </ext>
      </extLst>
    </cfRule>
  </conditionalFormatting>
  <conditionalFormatting sqref="N13:AO57">
    <cfRule type="expression" dxfId="548" priority="14" stopIfTrue="1">
      <formula>AND(WEEKDAY(N$12,2)&gt;5,$A13&lt;&gt;"")</formula>
    </cfRule>
  </conditionalFormatting>
  <conditionalFormatting sqref="N14:AO57">
    <cfRule type="expression" dxfId="547" priority="69">
      <formula>AND(N$12&gt;=$J14,WORKDAY.INTL($J14,($I14-$G14),1)-1&gt;=N$12)</formula>
    </cfRule>
    <cfRule type="expression" dxfId="546" priority="101" stopIfTrue="1">
      <formula>AND(N$12&gt;=WORKDAY.INTL($J14,($I14-$G14),1),$L12&gt;0,$L12&lt;1, N$12&lt;=$K14)</formula>
    </cfRule>
    <cfRule type="expression" dxfId="545" priority="103">
      <formula>AND(N$12&gt;=WORKDAY.INTL($J14,($I14-$G14),1), $L12=0, N$12&lt;=$K14)</formula>
    </cfRule>
  </conditionalFormatting>
  <pageMargins left="0.7" right="0.7" top="0.75" bottom="0.75" header="0.3" footer="0.3"/>
  <pageSetup paperSize="9" orientation="portrait" r:id="rId1"/>
  <ignoredErrors>
    <ignoredError sqref="I2" unlockedFormula="1"/>
    <ignoredError sqref="A13:A19 C14:G18 A53:A57 C36:G36 C28:G33 A20:A34 C21:G25 C54:G57 A36 A35 A37:A52 C37:G43 C45:G51 C44:G44 H44:L44 I36:L36 I37:L43 I45:L51 C34:G34 I34:L34 I28:L33 C26:G26 I26:L26 I21:L25 C19:G19 I19:L19 I14:L18 C53:G53 I53:L53 I54:L57 H14:H43 H45:H57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Scroll Bar 27">
              <controlPr defaultSize="0" autoPict="0">
                <anchor moveWithCells="1">
                  <from>
                    <xdr:col>13</xdr:col>
                    <xdr:colOff>7620</xdr:colOff>
                    <xdr:row>8</xdr:row>
                    <xdr:rowOff>7620</xdr:rowOff>
                  </from>
                  <to>
                    <xdr:col>19</xdr:col>
                    <xdr:colOff>259080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EDA2E0-8ABE-42F9-87AC-BEFC78FB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L14:L19 M14:M57 L21:L57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0D9F-4429-485D-A22E-922C40B0850D}">
  <sheetPr codeName="Feuil4"/>
  <dimension ref="A2:AM52"/>
  <sheetViews>
    <sheetView showGridLines="0" zoomScaleNormal="100" workbookViewId="0">
      <pane xSplit="8" ySplit="11" topLeftCell="I27" activePane="bottomRight" state="frozen"/>
      <selection pane="topRight" activeCell="I1" sqref="I1"/>
      <selection pane="bottomLeft" activeCell="A12" sqref="A12"/>
      <selection pane="bottomRight" activeCell="I2" sqref="I2:J2"/>
    </sheetView>
  </sheetViews>
  <sheetFormatPr baseColWidth="10" defaultRowHeight="14.4" x14ac:dyDescent="0.3"/>
  <cols>
    <col min="1" max="1" width="17.109375" customWidth="1"/>
    <col min="2" max="2" width="20.109375" style="6" customWidth="1"/>
    <col min="3" max="3" width="15.109375" customWidth="1"/>
    <col min="4" max="4" width="17.109375" bestFit="1" customWidth="1"/>
    <col min="5" max="5" width="16.88671875" style="4" customWidth="1"/>
    <col min="6" max="6" width="15.6640625" style="4" customWidth="1"/>
    <col min="7" max="7" width="16.5546875" style="4" customWidth="1"/>
    <col min="8" max="8" width="16.6640625" style="4" customWidth="1"/>
    <col min="9" max="9" width="15.88671875" style="4" bestFit="1" customWidth="1"/>
    <col min="10" max="10" width="14.109375" style="4" customWidth="1"/>
    <col min="11" max="11" width="17.6640625" bestFit="1" customWidth="1"/>
    <col min="12" max="37" width="10.21875" customWidth="1"/>
  </cols>
  <sheetData>
    <row r="2" spans="1:39" x14ac:dyDescent="0.3">
      <c r="B2" s="13" t="s">
        <v>9</v>
      </c>
      <c r="C2" s="14"/>
      <c r="D2" s="72" t="s">
        <v>13</v>
      </c>
      <c r="E2" s="73"/>
      <c r="G2" s="13" t="s">
        <v>87</v>
      </c>
      <c r="H2" s="20"/>
      <c r="I2" s="72" t="str">
        <f>TEXT(MIN(G12:G51),"jj/mm/aaaa")&amp;"    à    "&amp;TEXT(MAX(H12:H100),"jj/mm/aaaa")</f>
        <v>04/01/2023    à    31/01/1900</v>
      </c>
      <c r="J2" s="73"/>
    </row>
    <row r="3" spans="1:39" x14ac:dyDescent="0.3">
      <c r="B3" s="11"/>
      <c r="C3" s="2"/>
      <c r="D3" s="1"/>
      <c r="E3" s="9"/>
    </row>
    <row r="4" spans="1:39" x14ac:dyDescent="0.3">
      <c r="B4" s="13" t="s">
        <v>10</v>
      </c>
      <c r="C4" s="14"/>
      <c r="D4" s="72"/>
      <c r="E4" s="73"/>
      <c r="G4" s="17" t="s">
        <v>100</v>
      </c>
      <c r="H4" s="20"/>
      <c r="I4" s="72" t="s">
        <v>101</v>
      </c>
      <c r="J4" s="73"/>
    </row>
    <row r="5" spans="1:39" x14ac:dyDescent="0.3">
      <c r="B5" s="12"/>
      <c r="C5" s="2"/>
      <c r="D5" s="3"/>
      <c r="E5" s="9"/>
    </row>
    <row r="6" spans="1:39" x14ac:dyDescent="0.3">
      <c r="B6" s="13" t="s">
        <v>11</v>
      </c>
      <c r="C6" s="14"/>
      <c r="D6" s="72" t="s">
        <v>14</v>
      </c>
      <c r="E6" s="73"/>
      <c r="I6" s="19"/>
    </row>
    <row r="7" spans="1:39" x14ac:dyDescent="0.3">
      <c r="B7" s="11"/>
      <c r="C7" s="2"/>
      <c r="D7" s="3"/>
      <c r="E7" s="9"/>
      <c r="I7" s="19"/>
    </row>
    <row r="8" spans="1:39" x14ac:dyDescent="0.3">
      <c r="B8" s="13" t="s">
        <v>12</v>
      </c>
      <c r="C8" s="14"/>
      <c r="D8" s="72" t="s">
        <v>15</v>
      </c>
      <c r="E8" s="73"/>
      <c r="I8" s="19"/>
    </row>
    <row r="9" spans="1:39" x14ac:dyDescent="0.3">
      <c r="B9" s="7"/>
      <c r="C9" s="2"/>
      <c r="D9" s="2"/>
      <c r="E9" s="10"/>
    </row>
    <row r="10" spans="1:39" x14ac:dyDescent="0.3">
      <c r="A10" s="54"/>
      <c r="B10" s="55"/>
      <c r="C10" s="54"/>
      <c r="D10" s="54"/>
      <c r="E10" s="56"/>
      <c r="F10" s="56"/>
      <c r="G10" s="56"/>
      <c r="H10" s="56"/>
      <c r="I10" s="56"/>
      <c r="J10" s="56"/>
      <c r="K10" s="54"/>
      <c r="L10" s="66" t="str">
        <f>_xlfn.CONCAT("Semaine ",WEEKNUM(L$11,2))</f>
        <v>Semaine 18</v>
      </c>
      <c r="M10" s="67"/>
      <c r="N10" s="67"/>
      <c r="O10" s="67"/>
      <c r="P10" s="67"/>
      <c r="Q10" s="67"/>
      <c r="R10" s="67"/>
      <c r="S10" s="66" t="str">
        <f>_xlfn.CONCAT("Semaine ",WEEKNUM(S$11,2))</f>
        <v>Semaine 19</v>
      </c>
      <c r="T10" s="67"/>
      <c r="U10" s="67"/>
      <c r="V10" s="67"/>
      <c r="W10" s="67"/>
      <c r="X10" s="67"/>
      <c r="Y10" s="67"/>
      <c r="Z10" s="66" t="str">
        <f>_xlfn.CONCAT("Semaine ",WEEKNUM(Z$11,2))</f>
        <v>Semaine 20</v>
      </c>
      <c r="AA10" s="67"/>
      <c r="AB10" s="67"/>
      <c r="AC10" s="67"/>
      <c r="AD10" s="67"/>
      <c r="AE10" s="67"/>
      <c r="AF10" s="67"/>
      <c r="AG10" s="66" t="str">
        <f>_xlfn.CONCAT("Semaine ",WEEKNUM(AG$11,2))</f>
        <v>Semaine 21</v>
      </c>
      <c r="AH10" s="67"/>
      <c r="AI10" s="67"/>
      <c r="AJ10" s="67"/>
      <c r="AK10" s="67"/>
      <c r="AL10" s="67"/>
      <c r="AM10" s="67"/>
    </row>
    <row r="11" spans="1:39" s="15" customFormat="1" x14ac:dyDescent="0.3">
      <c r="A11" s="74" t="s">
        <v>16</v>
      </c>
      <c r="B11" s="75" t="s">
        <v>7</v>
      </c>
      <c r="C11" s="74" t="s">
        <v>18</v>
      </c>
      <c r="D11" s="74" t="s">
        <v>23</v>
      </c>
      <c r="E11" s="76" t="s">
        <v>46</v>
      </c>
      <c r="F11" s="76" t="s">
        <v>88</v>
      </c>
      <c r="G11" s="76" t="s">
        <v>89</v>
      </c>
      <c r="H11" s="76" t="s">
        <v>91</v>
      </c>
      <c r="I11" s="77" t="s">
        <v>104</v>
      </c>
      <c r="J11" s="76" t="s">
        <v>92</v>
      </c>
      <c r="K11" s="78" t="s">
        <v>49</v>
      </c>
      <c r="L11" s="38" cm="1">
        <f t="array" ref="L11:AM11">_xlfn.SEQUENCE(1,28,MIN(Tableau3[Date début]) - WEEKDAY(MIN(Tableau3[Date début]), 2) + 1+'Données de référence'!D3,1)</f>
        <v>45040</v>
      </c>
      <c r="M11" s="38">
        <v>45041</v>
      </c>
      <c r="N11" s="38">
        <v>45042</v>
      </c>
      <c r="O11" s="38">
        <v>45043</v>
      </c>
      <c r="P11" s="38">
        <v>45044</v>
      </c>
      <c r="Q11" s="38">
        <v>45045</v>
      </c>
      <c r="R11" s="38">
        <v>45046</v>
      </c>
      <c r="S11" s="38">
        <v>45047</v>
      </c>
      <c r="T11" s="38">
        <v>45048</v>
      </c>
      <c r="U11" s="38">
        <v>45049</v>
      </c>
      <c r="V11" s="38">
        <v>45050</v>
      </c>
      <c r="W11" s="38">
        <v>45051</v>
      </c>
      <c r="X11" s="38">
        <v>45052</v>
      </c>
      <c r="Y11" s="38">
        <v>45053</v>
      </c>
      <c r="Z11" s="38">
        <v>45054</v>
      </c>
      <c r="AA11" s="38">
        <v>45055</v>
      </c>
      <c r="AB11" s="38">
        <v>45056</v>
      </c>
      <c r="AC11" s="38">
        <v>45057</v>
      </c>
      <c r="AD11" s="38">
        <v>45058</v>
      </c>
      <c r="AE11" s="38">
        <v>45059</v>
      </c>
      <c r="AF11" s="38">
        <v>45060</v>
      </c>
      <c r="AG11" s="38">
        <v>45061</v>
      </c>
      <c r="AH11" s="38">
        <v>45062</v>
      </c>
      <c r="AI11" s="38">
        <v>45063</v>
      </c>
      <c r="AJ11" s="38">
        <v>45064</v>
      </c>
      <c r="AK11" s="38">
        <v>45065</v>
      </c>
      <c r="AL11" s="38">
        <v>45066</v>
      </c>
      <c r="AM11" s="38">
        <v>45067</v>
      </c>
    </row>
    <row r="12" spans="1:39" x14ac:dyDescent="0.3">
      <c r="A12" s="21" t="s">
        <v>0</v>
      </c>
      <c r="B12" s="35">
        <v>1</v>
      </c>
      <c r="C12" s="21" t="s">
        <v>25</v>
      </c>
      <c r="D12" s="21" t="s">
        <v>5</v>
      </c>
      <c r="E12" s="21" t="s">
        <v>19</v>
      </c>
      <c r="F12" s="57">
        <v>45041</v>
      </c>
      <c r="G12" s="57">
        <v>45050</v>
      </c>
      <c r="H12" s="21">
        <v>10.5</v>
      </c>
      <c r="I12" s="21">
        <v>2.5</v>
      </c>
      <c r="J12" s="21">
        <v>8.5</v>
      </c>
      <c r="K12" s="79">
        <v>0.70588235294117652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54"/>
      <c r="AM12" s="54"/>
    </row>
    <row r="13" spans="1:39" x14ac:dyDescent="0.3">
      <c r="A13" s="21"/>
      <c r="B13" s="35">
        <v>2</v>
      </c>
      <c r="C13" s="21" t="s">
        <v>28</v>
      </c>
      <c r="D13" s="21" t="s">
        <v>6</v>
      </c>
      <c r="E13" s="21" t="s">
        <v>21</v>
      </c>
      <c r="F13" s="57">
        <v>45041</v>
      </c>
      <c r="G13" s="57">
        <v>45049</v>
      </c>
      <c r="H13" s="21">
        <v>7</v>
      </c>
      <c r="I13" s="21">
        <v>3</v>
      </c>
      <c r="J13" s="21">
        <v>7</v>
      </c>
      <c r="K13" s="79">
        <v>0.5714285714285714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54"/>
      <c r="AM13" s="54"/>
    </row>
    <row r="14" spans="1:39" x14ac:dyDescent="0.3">
      <c r="A14" s="21"/>
      <c r="B14" s="35" t="s">
        <v>8</v>
      </c>
      <c r="C14" s="21" t="s">
        <v>26</v>
      </c>
      <c r="D14" s="21" t="s">
        <v>6</v>
      </c>
      <c r="E14" s="21" t="s">
        <v>20</v>
      </c>
      <c r="F14" s="57">
        <v>45041</v>
      </c>
      <c r="G14" s="57">
        <v>45048</v>
      </c>
      <c r="H14" s="21">
        <v>6</v>
      </c>
      <c r="I14" s="21">
        <v>6</v>
      </c>
      <c r="J14" s="21">
        <v>6</v>
      </c>
      <c r="K14" s="79">
        <v>0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54"/>
      <c r="AM14" s="54"/>
    </row>
    <row r="15" spans="1:39" x14ac:dyDescent="0.3">
      <c r="A15" s="21"/>
      <c r="B15" s="35" t="s">
        <v>50</v>
      </c>
      <c r="C15" s="21" t="s">
        <v>25</v>
      </c>
      <c r="D15" s="21" t="s">
        <v>24</v>
      </c>
      <c r="E15" s="21" t="s">
        <v>21</v>
      </c>
      <c r="F15" s="57">
        <v>45041</v>
      </c>
      <c r="G15" s="57">
        <v>45083</v>
      </c>
      <c r="H15" s="21">
        <v>31</v>
      </c>
      <c r="I15" s="21">
        <v>4</v>
      </c>
      <c r="J15" s="21">
        <v>31</v>
      </c>
      <c r="K15" s="79">
        <v>0.87096774193548387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54"/>
      <c r="AM15" s="54"/>
    </row>
    <row r="16" spans="1:39" x14ac:dyDescent="0.3">
      <c r="A16" s="21"/>
      <c r="B16" s="35" t="s">
        <v>51</v>
      </c>
      <c r="C16" s="21" t="s">
        <v>27</v>
      </c>
      <c r="D16" s="21" t="s">
        <v>99</v>
      </c>
      <c r="E16" s="21" t="s">
        <v>22</v>
      </c>
      <c r="F16" s="57">
        <v>45041</v>
      </c>
      <c r="G16" s="57">
        <v>45051</v>
      </c>
      <c r="H16" s="21">
        <v>9</v>
      </c>
      <c r="I16" s="21">
        <v>3</v>
      </c>
      <c r="J16" s="21">
        <v>9</v>
      </c>
      <c r="K16" s="79">
        <v>0.66666666666666663</v>
      </c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54"/>
      <c r="AM16" s="54"/>
    </row>
    <row r="17" spans="1:39" x14ac:dyDescent="0.3">
      <c r="A17" s="21"/>
      <c r="B17" s="35" t="s">
        <v>52</v>
      </c>
      <c r="C17" s="21" t="s">
        <v>27</v>
      </c>
      <c r="D17" s="21" t="s">
        <v>102</v>
      </c>
      <c r="E17" s="21" t="s">
        <v>19</v>
      </c>
      <c r="F17" s="57">
        <v>45041</v>
      </c>
      <c r="G17" s="57">
        <v>45044</v>
      </c>
      <c r="H17" s="21">
        <v>4</v>
      </c>
      <c r="I17" s="21">
        <v>1</v>
      </c>
      <c r="J17" s="21">
        <v>4</v>
      </c>
      <c r="K17" s="79">
        <v>0.75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54"/>
      <c r="AM17" s="54"/>
    </row>
    <row r="18" spans="1:39" x14ac:dyDescent="0.3">
      <c r="A18" s="21"/>
      <c r="B18" s="35" t="s">
        <v>53</v>
      </c>
      <c r="C18" s="21" t="s">
        <v>26</v>
      </c>
      <c r="D18" s="21" t="s">
        <v>5</v>
      </c>
      <c r="E18" s="21" t="s">
        <v>20</v>
      </c>
      <c r="F18" s="57">
        <v>45041</v>
      </c>
      <c r="G18" s="57">
        <v>45048</v>
      </c>
      <c r="H18" s="21">
        <v>6</v>
      </c>
      <c r="I18" s="21">
        <v>0</v>
      </c>
      <c r="J18" s="21">
        <v>6</v>
      </c>
      <c r="K18" s="79">
        <v>1</v>
      </c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54"/>
      <c r="AM18" s="54"/>
    </row>
    <row r="19" spans="1:39" x14ac:dyDescent="0.3">
      <c r="A19" s="21"/>
      <c r="B19" s="35" t="s">
        <v>54</v>
      </c>
      <c r="C19" s="21" t="s">
        <v>29</v>
      </c>
      <c r="D19" s="21" t="s">
        <v>24</v>
      </c>
      <c r="E19" s="21" t="s">
        <v>22</v>
      </c>
      <c r="F19" s="57">
        <v>45041</v>
      </c>
      <c r="G19" s="57">
        <v>45047</v>
      </c>
      <c r="H19" s="21">
        <v>5</v>
      </c>
      <c r="I19" s="21">
        <v>2</v>
      </c>
      <c r="J19" s="21">
        <v>5</v>
      </c>
      <c r="K19" s="79">
        <v>0.6</v>
      </c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54"/>
      <c r="AM19" s="54"/>
    </row>
    <row r="20" spans="1:39" x14ac:dyDescent="0.3">
      <c r="A20" s="21"/>
      <c r="B20" s="35" t="s">
        <v>55</v>
      </c>
      <c r="C20" s="21" t="s">
        <v>28</v>
      </c>
      <c r="D20" s="21" t="s">
        <v>99</v>
      </c>
      <c r="E20" s="21" t="s">
        <v>19</v>
      </c>
      <c r="F20" s="57">
        <v>45052</v>
      </c>
      <c r="G20" s="57">
        <v>45064</v>
      </c>
      <c r="H20" s="21">
        <v>9</v>
      </c>
      <c r="I20" s="21">
        <v>1</v>
      </c>
      <c r="J20" s="21">
        <v>9</v>
      </c>
      <c r="K20" s="79">
        <v>0.88888888888888884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54"/>
      <c r="AM20" s="54"/>
    </row>
    <row r="21" spans="1:39" x14ac:dyDescent="0.3">
      <c r="A21" s="21"/>
      <c r="B21" s="35" t="s">
        <v>56</v>
      </c>
      <c r="C21" s="21" t="s">
        <v>26</v>
      </c>
      <c r="D21" s="21" t="s">
        <v>102</v>
      </c>
      <c r="E21" s="21" t="s">
        <v>20</v>
      </c>
      <c r="F21" s="57">
        <v>45041</v>
      </c>
      <c r="G21" s="57">
        <v>45048</v>
      </c>
      <c r="H21" s="21">
        <v>6</v>
      </c>
      <c r="I21" s="21">
        <v>3</v>
      </c>
      <c r="J21" s="21">
        <v>6</v>
      </c>
      <c r="K21" s="79">
        <v>0.5</v>
      </c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54"/>
      <c r="AM21" s="54"/>
    </row>
    <row r="22" spans="1:39" x14ac:dyDescent="0.3">
      <c r="A22" s="21" t="s">
        <v>1</v>
      </c>
      <c r="B22" s="35">
        <v>3</v>
      </c>
      <c r="C22" s="21" t="s">
        <v>29</v>
      </c>
      <c r="D22" s="21" t="s">
        <v>24</v>
      </c>
      <c r="E22" s="21" t="s">
        <v>19</v>
      </c>
      <c r="F22" s="57">
        <v>45051</v>
      </c>
      <c r="G22" s="57">
        <v>45062</v>
      </c>
      <c r="H22" s="21">
        <v>8</v>
      </c>
      <c r="I22" s="21">
        <v>0</v>
      </c>
      <c r="J22" s="21">
        <v>8</v>
      </c>
      <c r="K22" s="79">
        <v>1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54"/>
      <c r="AM22" s="54"/>
    </row>
    <row r="23" spans="1:39" x14ac:dyDescent="0.3">
      <c r="A23" s="21"/>
      <c r="B23" s="35">
        <v>4</v>
      </c>
      <c r="C23" s="21" t="s">
        <v>35</v>
      </c>
      <c r="D23" s="21" t="s">
        <v>24</v>
      </c>
      <c r="E23" s="21" t="s">
        <v>22</v>
      </c>
      <c r="F23" s="57">
        <v>45041</v>
      </c>
      <c r="G23" s="57">
        <v>45043</v>
      </c>
      <c r="H23" s="21">
        <v>3</v>
      </c>
      <c r="I23" s="21">
        <v>3</v>
      </c>
      <c r="J23" s="21">
        <v>3</v>
      </c>
      <c r="K23" s="79">
        <v>0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54"/>
      <c r="AM23" s="54"/>
    </row>
    <row r="24" spans="1:39" x14ac:dyDescent="0.3">
      <c r="A24" s="21"/>
      <c r="B24" s="35" t="s">
        <v>57</v>
      </c>
      <c r="C24" s="21" t="s">
        <v>30</v>
      </c>
      <c r="D24" s="21" t="s">
        <v>5</v>
      </c>
      <c r="E24" s="21" t="s">
        <v>21</v>
      </c>
      <c r="F24" s="57">
        <v>45041</v>
      </c>
      <c r="G24" s="57">
        <v>45050</v>
      </c>
      <c r="H24" s="21">
        <v>7</v>
      </c>
      <c r="I24" s="21">
        <v>8</v>
      </c>
      <c r="J24" s="21">
        <v>8</v>
      </c>
      <c r="K24" s="79">
        <v>0</v>
      </c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54"/>
      <c r="AM24" s="54"/>
    </row>
    <row r="25" spans="1:39" x14ac:dyDescent="0.3">
      <c r="A25" s="21"/>
      <c r="B25" s="35" t="s">
        <v>58</v>
      </c>
      <c r="C25" s="21" t="s">
        <v>31</v>
      </c>
      <c r="D25" s="21" t="s">
        <v>6</v>
      </c>
      <c r="E25" s="21" t="s">
        <v>22</v>
      </c>
      <c r="F25" s="57">
        <v>45041</v>
      </c>
      <c r="G25" s="57">
        <v>45051</v>
      </c>
      <c r="H25" s="21">
        <v>9</v>
      </c>
      <c r="I25" s="21">
        <v>4</v>
      </c>
      <c r="J25" s="21">
        <v>9</v>
      </c>
      <c r="K25" s="79">
        <v>0.55555555555555558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54"/>
      <c r="AM25" s="54"/>
    </row>
    <row r="26" spans="1:39" x14ac:dyDescent="0.3">
      <c r="A26" s="21"/>
      <c r="B26" s="35" t="s">
        <v>59</v>
      </c>
      <c r="C26" s="21" t="s">
        <v>26</v>
      </c>
      <c r="D26" s="21" t="s">
        <v>99</v>
      </c>
      <c r="E26" s="21" t="s">
        <v>20</v>
      </c>
      <c r="F26" s="57">
        <v>45052</v>
      </c>
      <c r="G26" s="57">
        <v>45062</v>
      </c>
      <c r="H26" s="21">
        <v>7</v>
      </c>
      <c r="I26" s="21">
        <v>3</v>
      </c>
      <c r="J26" s="21">
        <v>7</v>
      </c>
      <c r="K26" s="79">
        <v>0.5714285714285714</v>
      </c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54"/>
      <c r="AM26" s="54"/>
    </row>
    <row r="27" spans="1:39" x14ac:dyDescent="0.3">
      <c r="A27" s="21"/>
      <c r="B27" s="35" t="s">
        <v>60</v>
      </c>
      <c r="C27" s="21" t="s">
        <v>32</v>
      </c>
      <c r="D27" s="21" t="s">
        <v>102</v>
      </c>
      <c r="E27" s="21" t="s">
        <v>21</v>
      </c>
      <c r="F27" s="57">
        <v>45041</v>
      </c>
      <c r="G27" s="57">
        <v>45044</v>
      </c>
      <c r="H27" s="21">
        <v>4</v>
      </c>
      <c r="I27" s="21">
        <v>1</v>
      </c>
      <c r="J27" s="21">
        <v>4</v>
      </c>
      <c r="K27" s="79">
        <v>0.75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54"/>
      <c r="AM27" s="54"/>
    </row>
    <row r="28" spans="1:39" x14ac:dyDescent="0.3">
      <c r="A28" s="21"/>
      <c r="B28" s="35" t="s">
        <v>61</v>
      </c>
      <c r="C28" s="21" t="s">
        <v>33</v>
      </c>
      <c r="D28" s="21" t="s">
        <v>5</v>
      </c>
      <c r="E28" s="21" t="s">
        <v>22</v>
      </c>
      <c r="F28" s="57">
        <v>45041</v>
      </c>
      <c r="G28" s="57">
        <v>45048</v>
      </c>
      <c r="H28" s="21">
        <v>6</v>
      </c>
      <c r="I28" s="21">
        <v>3</v>
      </c>
      <c r="J28" s="21">
        <v>6</v>
      </c>
      <c r="K28" s="79">
        <v>0.5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54"/>
      <c r="AM28" s="54"/>
    </row>
    <row r="29" spans="1:39" x14ac:dyDescent="0.3">
      <c r="A29" s="21"/>
      <c r="B29" s="35" t="s">
        <v>62</v>
      </c>
      <c r="C29" s="21" t="s">
        <v>30</v>
      </c>
      <c r="D29" s="21" t="s">
        <v>6</v>
      </c>
      <c r="E29" s="21" t="s">
        <v>19</v>
      </c>
      <c r="F29" s="57">
        <v>45041</v>
      </c>
      <c r="G29" s="57">
        <v>45048</v>
      </c>
      <c r="H29" s="21">
        <v>6</v>
      </c>
      <c r="I29" s="21">
        <v>5</v>
      </c>
      <c r="J29" s="21">
        <v>6</v>
      </c>
      <c r="K29" s="79">
        <v>0.16666666666666666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54"/>
      <c r="AM29" s="54"/>
    </row>
    <row r="30" spans="1:39" x14ac:dyDescent="0.3">
      <c r="A30" s="21"/>
      <c r="B30" s="35" t="s">
        <v>63</v>
      </c>
      <c r="C30" s="21" t="s">
        <v>26</v>
      </c>
      <c r="D30" s="21" t="s">
        <v>24</v>
      </c>
      <c r="E30" s="21" t="s">
        <v>20</v>
      </c>
      <c r="F30" s="57">
        <v>45041</v>
      </c>
      <c r="G30" s="57">
        <v>45044</v>
      </c>
      <c r="H30" s="21">
        <v>4</v>
      </c>
      <c r="I30" s="21">
        <v>1</v>
      </c>
      <c r="J30" s="21">
        <v>4</v>
      </c>
      <c r="K30" s="79">
        <v>0.75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54"/>
      <c r="AM30" s="54"/>
    </row>
    <row r="31" spans="1:39" x14ac:dyDescent="0.3">
      <c r="A31" s="21"/>
      <c r="B31" s="35" t="s">
        <v>64</v>
      </c>
      <c r="C31" s="21" t="s">
        <v>34</v>
      </c>
      <c r="D31" s="21" t="s">
        <v>99</v>
      </c>
      <c r="E31" s="21" t="s">
        <v>21</v>
      </c>
      <c r="F31" s="57">
        <v>45041</v>
      </c>
      <c r="G31" s="57">
        <v>45049</v>
      </c>
      <c r="H31" s="21">
        <v>7</v>
      </c>
      <c r="I31" s="21">
        <v>3</v>
      </c>
      <c r="J31" s="21">
        <v>7</v>
      </c>
      <c r="K31" s="79">
        <v>0.5714285714285714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54"/>
      <c r="AM31" s="54"/>
    </row>
    <row r="32" spans="1:39" x14ac:dyDescent="0.3">
      <c r="A32" s="21" t="s">
        <v>2</v>
      </c>
      <c r="B32" s="35" t="s">
        <v>65</v>
      </c>
      <c r="C32" s="21" t="s">
        <v>31</v>
      </c>
      <c r="D32" s="21" t="s">
        <v>5</v>
      </c>
      <c r="E32" s="21" t="s">
        <v>19</v>
      </c>
      <c r="F32" s="57">
        <v>45041</v>
      </c>
      <c r="G32" s="57">
        <v>45054</v>
      </c>
      <c r="H32" s="21">
        <v>10</v>
      </c>
      <c r="I32" s="21">
        <v>5</v>
      </c>
      <c r="J32" s="21">
        <v>10</v>
      </c>
      <c r="K32" s="79">
        <v>0.5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54"/>
      <c r="AM32" s="54"/>
    </row>
    <row r="33" spans="1:39" x14ac:dyDescent="0.3">
      <c r="A33" s="21"/>
      <c r="B33" s="35" t="s">
        <v>66</v>
      </c>
      <c r="C33" s="21" t="s">
        <v>26</v>
      </c>
      <c r="D33" s="21" t="s">
        <v>6</v>
      </c>
      <c r="E33" s="21" t="s">
        <v>20</v>
      </c>
      <c r="F33" s="57">
        <v>45041</v>
      </c>
      <c r="G33" s="57">
        <v>45047</v>
      </c>
      <c r="H33" s="21">
        <v>5</v>
      </c>
      <c r="I33" s="21">
        <v>4</v>
      </c>
      <c r="J33" s="21">
        <v>5</v>
      </c>
      <c r="K33" s="79">
        <v>0.2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54"/>
      <c r="AM33" s="54"/>
    </row>
    <row r="34" spans="1:39" x14ac:dyDescent="0.3">
      <c r="A34" s="21"/>
      <c r="B34" s="35" t="s">
        <v>67</v>
      </c>
      <c r="C34" s="21" t="s">
        <v>36</v>
      </c>
      <c r="D34" s="21" t="s">
        <v>24</v>
      </c>
      <c r="E34" s="21" t="s">
        <v>21</v>
      </c>
      <c r="F34" s="57">
        <v>45041</v>
      </c>
      <c r="G34" s="57">
        <v>45049</v>
      </c>
      <c r="H34" s="21">
        <v>7</v>
      </c>
      <c r="I34" s="21">
        <v>3</v>
      </c>
      <c r="J34" s="21">
        <v>7</v>
      </c>
      <c r="K34" s="79">
        <v>0.5714285714285714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54"/>
      <c r="AM34" s="54"/>
    </row>
    <row r="35" spans="1:39" x14ac:dyDescent="0.3">
      <c r="A35" s="21"/>
      <c r="B35" s="35" t="s">
        <v>68</v>
      </c>
      <c r="C35" s="21" t="s">
        <v>37</v>
      </c>
      <c r="D35" s="21" t="s">
        <v>99</v>
      </c>
      <c r="E35" s="21" t="s">
        <v>22</v>
      </c>
      <c r="F35" s="57">
        <v>45041</v>
      </c>
      <c r="G35" s="57">
        <v>45049</v>
      </c>
      <c r="H35" s="21">
        <v>7</v>
      </c>
      <c r="I35" s="21">
        <v>2</v>
      </c>
      <c r="J35" s="21">
        <v>7</v>
      </c>
      <c r="K35" s="79">
        <v>0.7142857142857143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54"/>
      <c r="AM35" s="54"/>
    </row>
    <row r="36" spans="1:39" x14ac:dyDescent="0.3">
      <c r="A36" s="21"/>
      <c r="B36" s="35" t="s">
        <v>69</v>
      </c>
      <c r="C36" s="21" t="s">
        <v>32</v>
      </c>
      <c r="D36" s="21" t="s">
        <v>102</v>
      </c>
      <c r="E36" s="21" t="s">
        <v>19</v>
      </c>
      <c r="F36" s="57">
        <v>45041</v>
      </c>
      <c r="G36" s="57">
        <v>45043</v>
      </c>
      <c r="H36" s="21">
        <v>3</v>
      </c>
      <c r="I36" s="21">
        <v>2</v>
      </c>
      <c r="J36" s="21">
        <v>3</v>
      </c>
      <c r="K36" s="79">
        <v>0.33333333333333331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54"/>
      <c r="AM36" s="54"/>
    </row>
    <row r="37" spans="1:39" x14ac:dyDescent="0.3">
      <c r="A37" s="21" t="s">
        <v>3</v>
      </c>
      <c r="B37" s="35" t="s">
        <v>74</v>
      </c>
      <c r="C37" s="21" t="s">
        <v>26</v>
      </c>
      <c r="D37" s="21" t="s">
        <v>102</v>
      </c>
      <c r="E37" s="21" t="s">
        <v>20</v>
      </c>
      <c r="F37" s="57">
        <v>45041</v>
      </c>
      <c r="G37" s="57">
        <v>45054</v>
      </c>
      <c r="H37" s="21">
        <v>10</v>
      </c>
      <c r="I37" s="21">
        <v>3</v>
      </c>
      <c r="J37" s="21">
        <v>10</v>
      </c>
      <c r="K37" s="79">
        <v>0.7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54"/>
      <c r="AM37" s="54"/>
    </row>
    <row r="38" spans="1:39" x14ac:dyDescent="0.3">
      <c r="A38" s="21"/>
      <c r="B38" s="35" t="s">
        <v>75</v>
      </c>
      <c r="C38" s="21" t="s">
        <v>40</v>
      </c>
      <c r="D38" s="21" t="s">
        <v>5</v>
      </c>
      <c r="E38" s="21" t="s">
        <v>21</v>
      </c>
      <c r="F38" s="57">
        <v>45041</v>
      </c>
      <c r="G38" s="57">
        <v>45048</v>
      </c>
      <c r="H38" s="21">
        <v>6</v>
      </c>
      <c r="I38" s="21">
        <v>3</v>
      </c>
      <c r="J38" s="21">
        <v>6</v>
      </c>
      <c r="K38" s="79">
        <v>0.5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54"/>
      <c r="AM38" s="54"/>
    </row>
    <row r="39" spans="1:39" x14ac:dyDescent="0.3">
      <c r="A39" s="21"/>
      <c r="B39" s="35" t="s">
        <v>76</v>
      </c>
      <c r="C39" s="21" t="s">
        <v>41</v>
      </c>
      <c r="D39" s="21" t="s">
        <v>6</v>
      </c>
      <c r="E39" s="21" t="s">
        <v>22</v>
      </c>
      <c r="F39" s="57">
        <v>45041</v>
      </c>
      <c r="G39" s="57">
        <v>45044</v>
      </c>
      <c r="H39" s="21">
        <v>4</v>
      </c>
      <c r="I39" s="21">
        <v>2</v>
      </c>
      <c r="J39" s="21">
        <v>4</v>
      </c>
      <c r="K39" s="79">
        <v>0.5</v>
      </c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54"/>
      <c r="AM39" s="54"/>
    </row>
    <row r="40" spans="1:39" x14ac:dyDescent="0.3">
      <c r="A40" s="21"/>
      <c r="B40" s="35" t="s">
        <v>70</v>
      </c>
      <c r="C40" s="21" t="s">
        <v>26</v>
      </c>
      <c r="D40" s="21" t="s">
        <v>5</v>
      </c>
      <c r="E40" s="21" t="s">
        <v>20</v>
      </c>
      <c r="F40" s="57">
        <v>45041</v>
      </c>
      <c r="G40" s="57">
        <v>45051</v>
      </c>
      <c r="H40" s="21">
        <v>9</v>
      </c>
      <c r="I40" s="21">
        <v>8</v>
      </c>
      <c r="J40" s="21">
        <v>9</v>
      </c>
      <c r="K40" s="79">
        <v>0.1111111111111111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54"/>
      <c r="AM40" s="54"/>
    </row>
    <row r="41" spans="1:39" x14ac:dyDescent="0.3">
      <c r="A41" s="21"/>
      <c r="B41" s="35" t="s">
        <v>71</v>
      </c>
      <c r="C41" s="21" t="s">
        <v>38</v>
      </c>
      <c r="D41" s="21" t="s">
        <v>6</v>
      </c>
      <c r="E41" s="21" t="s">
        <v>21</v>
      </c>
      <c r="F41" s="57">
        <v>45041</v>
      </c>
      <c r="G41" s="57">
        <v>45054</v>
      </c>
      <c r="H41" s="21">
        <v>10</v>
      </c>
      <c r="I41" s="21">
        <v>2</v>
      </c>
      <c r="J41" s="21">
        <v>10</v>
      </c>
      <c r="K41" s="79">
        <v>0.8</v>
      </c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54"/>
      <c r="AM41" s="54"/>
    </row>
    <row r="42" spans="1:39" x14ac:dyDescent="0.3">
      <c r="A42" s="21"/>
      <c r="B42" s="35" t="s">
        <v>72</v>
      </c>
      <c r="C42" s="21" t="s">
        <v>39</v>
      </c>
      <c r="D42" s="21" t="s">
        <v>24</v>
      </c>
      <c r="E42" s="21" t="s">
        <v>22</v>
      </c>
      <c r="F42" s="57" t="s">
        <v>109</v>
      </c>
      <c r="G42" s="57">
        <v>44931</v>
      </c>
      <c r="H42" s="21">
        <v>4</v>
      </c>
      <c r="I42" s="21">
        <v>0</v>
      </c>
      <c r="J42" s="21">
        <v>4</v>
      </c>
      <c r="K42" s="79">
        <v>1</v>
      </c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54"/>
      <c r="AM42" s="54"/>
    </row>
    <row r="43" spans="1:39" x14ac:dyDescent="0.3">
      <c r="A43" s="21"/>
      <c r="B43" s="35" t="s">
        <v>73</v>
      </c>
      <c r="C43" s="21" t="s">
        <v>33</v>
      </c>
      <c r="D43" s="21" t="s">
        <v>99</v>
      </c>
      <c r="E43" s="21" t="s">
        <v>19</v>
      </c>
      <c r="F43" s="57">
        <v>45041</v>
      </c>
      <c r="G43" s="57">
        <v>45050</v>
      </c>
      <c r="H43" s="21">
        <v>8</v>
      </c>
      <c r="I43" s="21">
        <v>5</v>
      </c>
      <c r="J43" s="21">
        <v>8</v>
      </c>
      <c r="K43" s="79">
        <v>0.375</v>
      </c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54"/>
      <c r="AM43" s="54"/>
    </row>
    <row r="44" spans="1:39" x14ac:dyDescent="0.3">
      <c r="A44" s="58" t="s">
        <v>4</v>
      </c>
      <c r="B44" s="35">
        <v>5</v>
      </c>
      <c r="C44" s="21" t="s">
        <v>43</v>
      </c>
      <c r="D44" s="21" t="s">
        <v>5</v>
      </c>
      <c r="E44" s="21" t="s">
        <v>22</v>
      </c>
      <c r="F44" s="57">
        <v>45041</v>
      </c>
      <c r="G44" s="57">
        <v>45043</v>
      </c>
      <c r="H44" s="21">
        <v>3</v>
      </c>
      <c r="I44" s="21">
        <v>3</v>
      </c>
      <c r="J44" s="21">
        <v>3</v>
      </c>
      <c r="K44" s="79">
        <v>0</v>
      </c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54"/>
      <c r="AM44" s="54"/>
    </row>
    <row r="45" spans="1:39" x14ac:dyDescent="0.3">
      <c r="A45" s="58"/>
      <c r="B45" s="35" t="s">
        <v>77</v>
      </c>
      <c r="C45" s="21" t="s">
        <v>34</v>
      </c>
      <c r="D45" s="21" t="s">
        <v>24</v>
      </c>
      <c r="E45" s="21" t="s">
        <v>19</v>
      </c>
      <c r="F45" s="57">
        <v>45041</v>
      </c>
      <c r="G45" s="57">
        <v>45049</v>
      </c>
      <c r="H45" s="21">
        <v>7</v>
      </c>
      <c r="I45" s="21">
        <v>3</v>
      </c>
      <c r="J45" s="21">
        <v>7</v>
      </c>
      <c r="K45" s="79">
        <v>0.5714285714285714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54"/>
      <c r="AM45" s="54"/>
    </row>
    <row r="46" spans="1:39" x14ac:dyDescent="0.3">
      <c r="A46" s="58"/>
      <c r="B46" s="35" t="s">
        <v>78</v>
      </c>
      <c r="C46" s="21" t="s">
        <v>26</v>
      </c>
      <c r="D46" s="21" t="s">
        <v>99</v>
      </c>
      <c r="E46" s="21" t="s">
        <v>20</v>
      </c>
      <c r="F46" s="57">
        <v>45041</v>
      </c>
      <c r="G46" s="57">
        <v>45051</v>
      </c>
      <c r="H46" s="21">
        <v>9</v>
      </c>
      <c r="I46" s="21">
        <v>4</v>
      </c>
      <c r="J46" s="21">
        <v>9</v>
      </c>
      <c r="K46" s="79">
        <v>0.55555555555555558</v>
      </c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54"/>
      <c r="AM46" s="54"/>
    </row>
    <row r="47" spans="1:39" x14ac:dyDescent="0.3">
      <c r="A47" s="58"/>
      <c r="B47" s="35" t="s">
        <v>79</v>
      </c>
      <c r="C47" s="21" t="s">
        <v>42</v>
      </c>
      <c r="D47" s="21" t="s">
        <v>102</v>
      </c>
      <c r="E47" s="21" t="s">
        <v>21</v>
      </c>
      <c r="F47" s="57">
        <v>45041</v>
      </c>
      <c r="G47" s="57">
        <v>45047</v>
      </c>
      <c r="H47" s="21">
        <v>5</v>
      </c>
      <c r="I47" s="21">
        <v>3</v>
      </c>
      <c r="J47" s="21">
        <v>5</v>
      </c>
      <c r="K47" s="79">
        <v>0.4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54"/>
      <c r="AM47" s="54"/>
    </row>
    <row r="48" spans="1:39" x14ac:dyDescent="0.3">
      <c r="A48" s="58"/>
      <c r="B48" s="35" t="s">
        <v>80</v>
      </c>
      <c r="C48" s="21" t="s">
        <v>35</v>
      </c>
      <c r="D48" s="21" t="s">
        <v>6</v>
      </c>
      <c r="E48" s="21" t="s">
        <v>19</v>
      </c>
      <c r="F48" s="57">
        <v>45041</v>
      </c>
      <c r="G48" s="57">
        <v>45049</v>
      </c>
      <c r="H48" s="21">
        <v>7</v>
      </c>
      <c r="I48" s="21">
        <v>3</v>
      </c>
      <c r="J48" s="21">
        <v>7</v>
      </c>
      <c r="K48" s="79">
        <v>0.5714285714285714</v>
      </c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54"/>
      <c r="AM48" s="54"/>
    </row>
    <row r="49" spans="1:39" x14ac:dyDescent="0.3">
      <c r="A49" s="58"/>
      <c r="B49" s="35" t="s">
        <v>81</v>
      </c>
      <c r="C49" s="21" t="s">
        <v>26</v>
      </c>
      <c r="D49" s="21" t="s">
        <v>24</v>
      </c>
      <c r="E49" s="21" t="s">
        <v>20</v>
      </c>
      <c r="F49" s="57">
        <v>45041</v>
      </c>
      <c r="G49" s="57">
        <v>45054</v>
      </c>
      <c r="H49" s="21">
        <v>10</v>
      </c>
      <c r="I49" s="21">
        <v>7</v>
      </c>
      <c r="J49" s="21">
        <v>10</v>
      </c>
      <c r="K49" s="79">
        <v>0.3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54"/>
      <c r="AM49" s="54"/>
    </row>
    <row r="50" spans="1:39" x14ac:dyDescent="0.3">
      <c r="A50" s="58"/>
      <c r="B50" s="35" t="s">
        <v>82</v>
      </c>
      <c r="C50" s="21" t="s">
        <v>44</v>
      </c>
      <c r="D50" s="21" t="s">
        <v>99</v>
      </c>
      <c r="E50" s="21" t="s">
        <v>21</v>
      </c>
      <c r="F50" s="57">
        <v>45041</v>
      </c>
      <c r="G50" s="57">
        <v>45048</v>
      </c>
      <c r="H50" s="21">
        <v>10</v>
      </c>
      <c r="I50" s="21">
        <v>3</v>
      </c>
      <c r="J50" s="21">
        <v>10</v>
      </c>
      <c r="K50" s="79">
        <v>0.7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54"/>
      <c r="AM50" s="54"/>
    </row>
    <row r="51" spans="1:39" x14ac:dyDescent="0.3">
      <c r="A51" s="58"/>
      <c r="B51" s="35" t="s">
        <v>83</v>
      </c>
      <c r="C51" s="21" t="s">
        <v>45</v>
      </c>
      <c r="D51" s="21" t="s">
        <v>102</v>
      </c>
      <c r="E51" s="21" t="s">
        <v>22</v>
      </c>
      <c r="F51" s="57" t="s">
        <v>109</v>
      </c>
      <c r="G51" s="57">
        <v>44930</v>
      </c>
      <c r="H51" s="21">
        <v>3</v>
      </c>
      <c r="I51" s="21">
        <v>0</v>
      </c>
      <c r="J51" s="21">
        <v>3</v>
      </c>
      <c r="K51" s="79">
        <v>1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54"/>
      <c r="AM51" s="54"/>
    </row>
    <row r="52" spans="1:39" x14ac:dyDescent="0.3">
      <c r="A52" s="21" t="s">
        <v>84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54"/>
      <c r="AM52" s="54"/>
    </row>
  </sheetData>
  <mergeCells count="10">
    <mergeCell ref="L10:R10"/>
    <mergeCell ref="S10:Y10"/>
    <mergeCell ref="Z10:AF10"/>
    <mergeCell ref="AG10:AM10"/>
    <mergeCell ref="D2:E2"/>
    <mergeCell ref="I2:J2"/>
    <mergeCell ref="D4:E4"/>
    <mergeCell ref="I4:J4"/>
    <mergeCell ref="D6:E6"/>
    <mergeCell ref="D8:E8"/>
  </mergeCells>
  <conditionalFormatting sqref="K1:K1048576">
    <cfRule type="dataBar" priority="4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{9577CDB2-B4FF-41A2-BCBA-79BB79B868C9}</x14:id>
        </ext>
      </extLst>
    </cfRule>
  </conditionalFormatting>
  <conditionalFormatting sqref="L12:AK49">
    <cfRule type="expression" dxfId="530" priority="2" stopIfTrue="1">
      <formula>AND(WEEKDAY(L$11,2)&gt;5,$B12&lt;&gt;"")</formula>
    </cfRule>
    <cfRule type="expression" dxfId="529" priority="3">
      <formula>AND(L$11&gt;=$F12,WORKDAY.INTL($F12,($J12-$I12),1)-1&gt;=L$11)</formula>
    </cfRule>
    <cfRule type="expression" dxfId="528" priority="5" stopIfTrue="1">
      <formula>AND(L$11&gt;=WORKDAY.INTL($F12,($J12-$I12),1), $K12=0,L$11&lt;=$G12)</formula>
    </cfRule>
    <cfRule type="expression" dxfId="527" priority="6">
      <formula>AND(L$11&gt;=WORKDAY.INTL($F12, ($J12-$I12),1),$K12&lt;&gt;1,L$11&lt;=$G12)</formula>
    </cfRule>
  </conditionalFormatting>
  <pageMargins left="0.7" right="0.7" top="0.75" bottom="0.75" header="0.3" footer="0.3"/>
  <pageSetup paperSize="9" orientation="portrait" r:id="rId2"/>
  <ignoredErrors>
    <ignoredError sqref="I2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croll Bar 1">
              <controlPr defaultSize="0" autoPict="0">
                <anchor moveWithCells="1">
                  <from>
                    <xdr:col>11</xdr:col>
                    <xdr:colOff>0</xdr:colOff>
                    <xdr:row>6</xdr:row>
                    <xdr:rowOff>160020</xdr:rowOff>
                  </from>
                  <to>
                    <xdr:col>17</xdr:col>
                    <xdr:colOff>243840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7CDB2-B4FF-41A2-BCBA-79BB79B868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9783-F51E-4DA0-87CC-FF97E61657DF}">
  <sheetPr codeName="Feuil1"/>
  <dimension ref="A1:V41"/>
  <sheetViews>
    <sheetView workbookViewId="0">
      <pane xSplit="9" ySplit="1" topLeftCell="N14" activePane="bottomRight" state="frozen"/>
      <selection pane="topRight" activeCell="J1" sqref="J1"/>
      <selection pane="bottomLeft" activeCell="A2" sqref="A2"/>
      <selection pane="bottomRight" activeCell="R10" sqref="R10"/>
    </sheetView>
  </sheetViews>
  <sheetFormatPr baseColWidth="10" defaultRowHeight="14.4" x14ac:dyDescent="0.3"/>
  <cols>
    <col min="3" max="3" width="20.5546875" customWidth="1"/>
    <col min="4" max="4" width="20.6640625" style="4" customWidth="1"/>
    <col min="5" max="5" width="16.109375" bestFit="1" customWidth="1"/>
    <col min="6" max="6" width="30.33203125" customWidth="1"/>
    <col min="7" max="7" width="16.88671875" customWidth="1"/>
    <col min="8" max="8" width="20.6640625" style="4" customWidth="1"/>
    <col min="10" max="10" width="21.21875" style="4" customWidth="1"/>
    <col min="11" max="11" width="12.109375" style="4" customWidth="1"/>
    <col min="12" max="12" width="19" style="4" customWidth="1"/>
    <col min="13" max="13" width="12.6640625" style="4" customWidth="1"/>
    <col min="14" max="14" width="19.33203125" style="4" customWidth="1"/>
    <col min="15" max="15" width="13.77734375" customWidth="1"/>
    <col min="17" max="17" width="21.6640625" style="4" customWidth="1"/>
    <col min="18" max="18" width="16.77734375" customWidth="1"/>
    <col min="19" max="19" width="20.6640625" style="4" customWidth="1"/>
    <col min="21" max="22" width="15" style="4" customWidth="1"/>
  </cols>
  <sheetData>
    <row r="1" spans="1:22" s="5" customFormat="1" ht="43.2" customHeight="1" x14ac:dyDescent="0.3">
      <c r="A1" s="18" t="s">
        <v>16</v>
      </c>
      <c r="B1" s="18" t="s">
        <v>7</v>
      </c>
      <c r="C1" s="18" t="s">
        <v>17</v>
      </c>
      <c r="D1" s="18" t="s">
        <v>98</v>
      </c>
      <c r="E1" s="18" t="s">
        <v>18</v>
      </c>
      <c r="F1" s="18" t="s">
        <v>23</v>
      </c>
      <c r="G1" s="18" t="s">
        <v>46</v>
      </c>
      <c r="H1" s="18" t="s">
        <v>94</v>
      </c>
      <c r="I1" s="18" t="s">
        <v>86</v>
      </c>
      <c r="J1" s="18" t="s">
        <v>104</v>
      </c>
      <c r="K1" s="18" t="s">
        <v>103</v>
      </c>
      <c r="L1" s="18" t="s">
        <v>85</v>
      </c>
      <c r="M1" s="18" t="s">
        <v>47</v>
      </c>
      <c r="N1" s="18" t="s">
        <v>48</v>
      </c>
      <c r="O1" s="18" t="s">
        <v>105</v>
      </c>
      <c r="P1" s="18" t="s">
        <v>49</v>
      </c>
    </row>
    <row r="2" spans="1:22" s="8" customFormat="1" ht="41.4" x14ac:dyDescent="0.3">
      <c r="A2" s="46" t="s">
        <v>0</v>
      </c>
      <c r="B2" s="59">
        <v>1</v>
      </c>
      <c r="C2" s="60" t="s">
        <v>93</v>
      </c>
      <c r="D2" s="42"/>
      <c r="E2" s="46" t="s">
        <v>25</v>
      </c>
      <c r="F2" s="46" t="s">
        <v>5</v>
      </c>
      <c r="G2" s="46" t="s">
        <v>19</v>
      </c>
      <c r="H2" s="42" t="s">
        <v>95</v>
      </c>
      <c r="I2" s="42">
        <v>10.5</v>
      </c>
      <c r="J2" s="42">
        <v>2.5</v>
      </c>
      <c r="K2" s="43">
        <v>45041</v>
      </c>
      <c r="L2" s="42">
        <v>8.5</v>
      </c>
      <c r="M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2" s="43">
        <v>45041</v>
      </c>
      <c r="P2" s="61">
        <f>(Tableau3[[#This Row],[Durée réelle]]-Tableau3[[#This Row],[RAF]])/Tableau3[[#This Row],[Durée réelle]]</f>
        <v>0.70588235294117652</v>
      </c>
      <c r="Q2" s="16"/>
    </row>
    <row r="3" spans="1:22" x14ac:dyDescent="0.3">
      <c r="A3" s="46" t="s">
        <v>0</v>
      </c>
      <c r="B3" s="59" t="s">
        <v>8</v>
      </c>
      <c r="C3" s="46"/>
      <c r="D3" s="42"/>
      <c r="E3" s="46" t="s">
        <v>26</v>
      </c>
      <c r="F3" s="46" t="s">
        <v>6</v>
      </c>
      <c r="G3" s="46" t="s">
        <v>20</v>
      </c>
      <c r="H3" s="42" t="s">
        <v>95</v>
      </c>
      <c r="I3" s="42">
        <v>6</v>
      </c>
      <c r="J3" s="42">
        <v>6</v>
      </c>
      <c r="K3" s="43">
        <v>45041</v>
      </c>
      <c r="L3" s="42">
        <v>6</v>
      </c>
      <c r="M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3" s="43">
        <v>45041</v>
      </c>
      <c r="P3" s="61">
        <f>(Tableau3[[#This Row],[Durée réelle]]-Tableau3[[#This Row],[RAF]])/Tableau3[[#This Row],[Durée réelle]]</f>
        <v>0</v>
      </c>
      <c r="Q3" s="16"/>
      <c r="S3"/>
      <c r="U3"/>
      <c r="V3"/>
    </row>
    <row r="4" spans="1:22" x14ac:dyDescent="0.3">
      <c r="A4" s="46" t="s">
        <v>0</v>
      </c>
      <c r="B4" s="59" t="s">
        <v>50</v>
      </c>
      <c r="C4" s="46"/>
      <c r="D4" s="42"/>
      <c r="E4" s="46" t="s">
        <v>25</v>
      </c>
      <c r="F4" s="46" t="s">
        <v>24</v>
      </c>
      <c r="G4" s="46" t="s">
        <v>21</v>
      </c>
      <c r="H4" s="42" t="s">
        <v>96</v>
      </c>
      <c r="I4" s="42">
        <v>31</v>
      </c>
      <c r="J4" s="42">
        <v>4</v>
      </c>
      <c r="K4" s="43">
        <v>45041</v>
      </c>
      <c r="L4" s="42">
        <v>31</v>
      </c>
      <c r="M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45083</v>
      </c>
      <c r="O4" s="43">
        <v>45041</v>
      </c>
      <c r="P4" s="61">
        <f>(Tableau3[[#This Row],[Durée réelle]]-Tableau3[[#This Row],[RAF]])/Tableau3[[#This Row],[Durée réelle]]</f>
        <v>0.87096774193548387</v>
      </c>
      <c r="Q4" s="16"/>
      <c r="S4"/>
      <c r="U4"/>
      <c r="V4"/>
    </row>
    <row r="5" spans="1:22" x14ac:dyDescent="0.3">
      <c r="A5" s="46" t="s">
        <v>0</v>
      </c>
      <c r="B5" s="59" t="s">
        <v>51</v>
      </c>
      <c r="C5" s="46"/>
      <c r="D5" s="42"/>
      <c r="E5" s="46" t="s">
        <v>27</v>
      </c>
      <c r="F5" s="46" t="s">
        <v>99</v>
      </c>
      <c r="G5" s="46" t="s">
        <v>22</v>
      </c>
      <c r="H5" s="42" t="s">
        <v>97</v>
      </c>
      <c r="I5" s="42">
        <v>9</v>
      </c>
      <c r="J5" s="42">
        <v>3</v>
      </c>
      <c r="K5" s="43">
        <v>45041</v>
      </c>
      <c r="L5" s="42">
        <v>9</v>
      </c>
      <c r="M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5" s="43">
        <v>45041</v>
      </c>
      <c r="P5" s="61">
        <f>(Tableau3[[#This Row],[Durée réelle]]-Tableau3[[#This Row],[RAF]])/Tableau3[[#This Row],[Durée réelle]]</f>
        <v>0.66666666666666663</v>
      </c>
      <c r="Q5" s="16"/>
      <c r="S5"/>
      <c r="U5"/>
      <c r="V5"/>
    </row>
    <row r="6" spans="1:22" x14ac:dyDescent="0.3">
      <c r="A6" s="46" t="s">
        <v>0</v>
      </c>
      <c r="B6" s="59" t="s">
        <v>52</v>
      </c>
      <c r="C6" s="46"/>
      <c r="D6" s="42"/>
      <c r="E6" s="46" t="s">
        <v>27</v>
      </c>
      <c r="F6" s="46" t="s">
        <v>102</v>
      </c>
      <c r="G6" s="46" t="s">
        <v>19</v>
      </c>
      <c r="H6" s="42" t="s">
        <v>95</v>
      </c>
      <c r="I6" s="42">
        <v>4</v>
      </c>
      <c r="J6" s="42">
        <v>1</v>
      </c>
      <c r="K6" s="43">
        <v>45041</v>
      </c>
      <c r="L6" s="42">
        <v>4</v>
      </c>
      <c r="M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6" s="43">
        <v>45041</v>
      </c>
      <c r="P6" s="61">
        <f>(Tableau3[[#This Row],[Durée réelle]]-Tableau3[[#This Row],[RAF]])/Tableau3[[#This Row],[Durée réelle]]</f>
        <v>0.75</v>
      </c>
      <c r="Q6" s="16"/>
      <c r="S6"/>
      <c r="U6"/>
      <c r="V6"/>
    </row>
    <row r="7" spans="1:22" x14ac:dyDescent="0.3">
      <c r="A7" s="46" t="s">
        <v>0</v>
      </c>
      <c r="B7" s="59" t="s">
        <v>53</v>
      </c>
      <c r="C7" s="46"/>
      <c r="D7" s="42"/>
      <c r="E7" s="46" t="s">
        <v>26</v>
      </c>
      <c r="F7" s="46" t="s">
        <v>5</v>
      </c>
      <c r="G7" s="46" t="s">
        <v>20</v>
      </c>
      <c r="H7" s="42" t="s">
        <v>96</v>
      </c>
      <c r="I7" s="42">
        <v>6</v>
      </c>
      <c r="J7" s="42">
        <v>0</v>
      </c>
      <c r="K7" s="43">
        <v>45041</v>
      </c>
      <c r="L7" s="42">
        <v>6</v>
      </c>
      <c r="M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7" s="43">
        <v>45041</v>
      </c>
      <c r="P7" s="61">
        <f>(Tableau3[[#This Row],[Durée réelle]]-Tableau3[[#This Row],[RAF]])/Tableau3[[#This Row],[Durée réelle]]</f>
        <v>1</v>
      </c>
      <c r="Q7" s="16"/>
      <c r="S7"/>
      <c r="U7"/>
      <c r="V7"/>
    </row>
    <row r="8" spans="1:22" x14ac:dyDescent="0.3">
      <c r="A8" s="46" t="s">
        <v>0</v>
      </c>
      <c r="B8" s="59">
        <v>2</v>
      </c>
      <c r="C8" s="46"/>
      <c r="D8" s="42"/>
      <c r="E8" s="46" t="s">
        <v>28</v>
      </c>
      <c r="F8" s="46" t="s">
        <v>6</v>
      </c>
      <c r="G8" s="46" t="s">
        <v>21</v>
      </c>
      <c r="H8" s="42" t="s">
        <v>97</v>
      </c>
      <c r="I8" s="42">
        <v>7</v>
      </c>
      <c r="J8" s="42">
        <v>3</v>
      </c>
      <c r="K8" s="43">
        <v>45041</v>
      </c>
      <c r="L8" s="42">
        <v>7</v>
      </c>
      <c r="M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8" s="43">
        <v>45041</v>
      </c>
      <c r="P8" s="61">
        <f>(Tableau3[[#This Row],[Durée réelle]]-Tableau3[[#This Row],[RAF]])/Tableau3[[#This Row],[Durée réelle]]</f>
        <v>0.5714285714285714</v>
      </c>
      <c r="Q8" s="16"/>
      <c r="S8"/>
      <c r="U8"/>
      <c r="V8"/>
    </row>
    <row r="9" spans="1:22" x14ac:dyDescent="0.3">
      <c r="A9" s="46" t="s">
        <v>0</v>
      </c>
      <c r="B9" s="59" t="s">
        <v>54</v>
      </c>
      <c r="C9" s="46"/>
      <c r="D9" s="42"/>
      <c r="E9" s="46" t="s">
        <v>29</v>
      </c>
      <c r="F9" s="46" t="s">
        <v>24</v>
      </c>
      <c r="G9" s="46" t="s">
        <v>22</v>
      </c>
      <c r="H9" s="42" t="s">
        <v>95</v>
      </c>
      <c r="I9" s="42">
        <v>5</v>
      </c>
      <c r="J9" s="42">
        <v>2</v>
      </c>
      <c r="K9" s="43">
        <v>45040</v>
      </c>
      <c r="L9" s="42">
        <v>5</v>
      </c>
      <c r="M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9" s="43">
        <v>45041</v>
      </c>
      <c r="P9" s="61">
        <f>(Tableau3[[#This Row],[Durée réelle]]-Tableau3[[#This Row],[RAF]])/Tableau3[[#This Row],[Durée réelle]]</f>
        <v>0.6</v>
      </c>
      <c r="Q9" s="16"/>
      <c r="S9"/>
      <c r="U9"/>
      <c r="V9"/>
    </row>
    <row r="10" spans="1:22" x14ac:dyDescent="0.3">
      <c r="A10" s="46" t="s">
        <v>0</v>
      </c>
      <c r="B10" s="59" t="s">
        <v>55</v>
      </c>
      <c r="C10" s="46"/>
      <c r="D10" s="42" t="s">
        <v>51</v>
      </c>
      <c r="E10" s="46" t="s">
        <v>28</v>
      </c>
      <c r="F10" s="46" t="s">
        <v>99</v>
      </c>
      <c r="G10" s="46" t="s">
        <v>19</v>
      </c>
      <c r="H10" s="42" t="s">
        <v>96</v>
      </c>
      <c r="I10" s="42">
        <v>9</v>
      </c>
      <c r="J10" s="42">
        <v>1</v>
      </c>
      <c r="K10" s="43">
        <v>45041</v>
      </c>
      <c r="L10" s="42">
        <v>9</v>
      </c>
      <c r="M1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45052</v>
      </c>
      <c r="N1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45064</v>
      </c>
      <c r="O10" s="43">
        <v>45041</v>
      </c>
      <c r="P10" s="61">
        <f>(Tableau3[[#This Row],[Durée réelle]]-Tableau3[[#This Row],[RAF]])/Tableau3[[#This Row],[Durée réelle]]</f>
        <v>0.88888888888888884</v>
      </c>
      <c r="Q10" s="16"/>
      <c r="S10"/>
      <c r="U10"/>
      <c r="V10"/>
    </row>
    <row r="11" spans="1:22" x14ac:dyDescent="0.3">
      <c r="A11" s="46" t="s">
        <v>0</v>
      </c>
      <c r="B11" s="59" t="s">
        <v>56</v>
      </c>
      <c r="C11" s="46"/>
      <c r="D11" s="42"/>
      <c r="E11" s="46" t="s">
        <v>26</v>
      </c>
      <c r="F11" s="46" t="s">
        <v>102</v>
      </c>
      <c r="G11" s="46" t="s">
        <v>20</v>
      </c>
      <c r="H11" s="42" t="s">
        <v>97</v>
      </c>
      <c r="I11" s="42">
        <v>6</v>
      </c>
      <c r="J11" s="42">
        <v>3</v>
      </c>
      <c r="K11" s="43">
        <v>45041</v>
      </c>
      <c r="L11" s="42">
        <v>6</v>
      </c>
      <c r="M1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1" s="43">
        <v>45041</v>
      </c>
      <c r="P11" s="61">
        <f>(Tableau3[[#This Row],[Durée réelle]]-Tableau3[[#This Row],[RAF]])/Tableau3[[#This Row],[Durée réelle]]</f>
        <v>0.5</v>
      </c>
      <c r="Q11" s="16"/>
      <c r="S11"/>
      <c r="U11"/>
      <c r="V11"/>
    </row>
    <row r="12" spans="1:22" x14ac:dyDescent="0.3">
      <c r="A12" s="46" t="s">
        <v>1</v>
      </c>
      <c r="B12" s="59" t="s">
        <v>57</v>
      </c>
      <c r="C12" s="46"/>
      <c r="D12" s="42"/>
      <c r="E12" s="46" t="s">
        <v>30</v>
      </c>
      <c r="F12" s="46" t="s">
        <v>5</v>
      </c>
      <c r="G12" s="46" t="s">
        <v>21</v>
      </c>
      <c r="H12" s="42" t="s">
        <v>95</v>
      </c>
      <c r="I12" s="42">
        <v>7</v>
      </c>
      <c r="J12" s="42">
        <v>8</v>
      </c>
      <c r="K12" s="43">
        <v>45041</v>
      </c>
      <c r="L12" s="42">
        <v>8</v>
      </c>
      <c r="M1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12" s="43">
        <v>45041</v>
      </c>
      <c r="P12" s="61">
        <f>(Tableau3[[#This Row],[Durée réelle]]-Tableau3[[#This Row],[RAF]])/Tableau3[[#This Row],[Durée réelle]]</f>
        <v>0</v>
      </c>
      <c r="Q12" s="16"/>
      <c r="S12"/>
      <c r="U12"/>
      <c r="V12"/>
    </row>
    <row r="13" spans="1:22" x14ac:dyDescent="0.3">
      <c r="A13" s="46" t="s">
        <v>1</v>
      </c>
      <c r="B13" s="59" t="s">
        <v>58</v>
      </c>
      <c r="C13" s="46"/>
      <c r="D13" s="42"/>
      <c r="E13" s="46" t="s">
        <v>31</v>
      </c>
      <c r="F13" s="46" t="s">
        <v>6</v>
      </c>
      <c r="G13" s="46" t="s">
        <v>22</v>
      </c>
      <c r="H13" s="42" t="s">
        <v>96</v>
      </c>
      <c r="I13" s="42">
        <v>9</v>
      </c>
      <c r="J13" s="42">
        <v>4</v>
      </c>
      <c r="K13" s="43">
        <v>45041</v>
      </c>
      <c r="L13" s="42">
        <v>9</v>
      </c>
      <c r="M1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13" s="43">
        <v>45041</v>
      </c>
      <c r="P13" s="61">
        <f>(Tableau3[[#This Row],[Durée réelle]]-Tableau3[[#This Row],[RAF]])/Tableau3[[#This Row],[Durée réelle]]</f>
        <v>0.55555555555555558</v>
      </c>
      <c r="Q13" s="16"/>
      <c r="S13"/>
      <c r="U13"/>
      <c r="V13"/>
    </row>
    <row r="14" spans="1:22" x14ac:dyDescent="0.3">
      <c r="A14" s="46" t="s">
        <v>1</v>
      </c>
      <c r="B14" s="59">
        <v>3</v>
      </c>
      <c r="C14" s="46"/>
      <c r="D14" s="42" t="s">
        <v>57</v>
      </c>
      <c r="E14" s="46" t="s">
        <v>29</v>
      </c>
      <c r="F14" s="46" t="s">
        <v>24</v>
      </c>
      <c r="G14" s="46" t="s">
        <v>19</v>
      </c>
      <c r="H14" s="42" t="s">
        <v>97</v>
      </c>
      <c r="I14" s="42">
        <v>8</v>
      </c>
      <c r="J14" s="42">
        <v>0</v>
      </c>
      <c r="K14" s="43">
        <v>44927</v>
      </c>
      <c r="L14" s="42">
        <v>8</v>
      </c>
      <c r="M1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45051</v>
      </c>
      <c r="N1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45062</v>
      </c>
      <c r="O14" s="43"/>
      <c r="P14" s="61">
        <f>(Tableau3[[#This Row],[Durée réelle]]-Tableau3[[#This Row],[RAF]])/Tableau3[[#This Row],[Durée réelle]]</f>
        <v>1</v>
      </c>
      <c r="Q14" s="16"/>
      <c r="S14"/>
      <c r="U14"/>
      <c r="V14"/>
    </row>
    <row r="15" spans="1:22" x14ac:dyDescent="0.3">
      <c r="A15" s="46" t="s">
        <v>1</v>
      </c>
      <c r="B15" s="59" t="s">
        <v>59</v>
      </c>
      <c r="C15" s="46"/>
      <c r="D15" s="42" t="s">
        <v>51</v>
      </c>
      <c r="E15" s="46" t="s">
        <v>26</v>
      </c>
      <c r="F15" s="46" t="s">
        <v>99</v>
      </c>
      <c r="G15" s="46" t="s">
        <v>20</v>
      </c>
      <c r="H15" s="42" t="s">
        <v>95</v>
      </c>
      <c r="I15" s="42">
        <v>7</v>
      </c>
      <c r="J15" s="42">
        <v>3</v>
      </c>
      <c r="K15" s="43"/>
      <c r="L15" s="42">
        <v>7</v>
      </c>
      <c r="M1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45052</v>
      </c>
      <c r="N1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45062</v>
      </c>
      <c r="O15" s="43">
        <v>45041</v>
      </c>
      <c r="P15" s="61">
        <f>(Tableau3[[#This Row],[Durée réelle]]-Tableau3[[#This Row],[RAF]])/Tableau3[[#This Row],[Durée réelle]]</f>
        <v>0.5714285714285714</v>
      </c>
      <c r="Q15" s="16"/>
      <c r="S15"/>
      <c r="U15"/>
      <c r="V15"/>
    </row>
    <row r="16" spans="1:22" x14ac:dyDescent="0.3">
      <c r="A16" s="46" t="s">
        <v>1</v>
      </c>
      <c r="B16" s="59" t="s">
        <v>60</v>
      </c>
      <c r="C16" s="46"/>
      <c r="D16" s="42"/>
      <c r="E16" s="46" t="s">
        <v>32</v>
      </c>
      <c r="F16" s="46" t="s">
        <v>102</v>
      </c>
      <c r="G16" s="46" t="s">
        <v>21</v>
      </c>
      <c r="H16" s="42" t="s">
        <v>96</v>
      </c>
      <c r="I16" s="42">
        <v>4</v>
      </c>
      <c r="J16" s="42">
        <v>1</v>
      </c>
      <c r="K16" s="43">
        <v>45041</v>
      </c>
      <c r="L16" s="42">
        <v>4</v>
      </c>
      <c r="M1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16" s="43">
        <v>45041</v>
      </c>
      <c r="P16" s="61">
        <f>(Tableau3[[#This Row],[Durée réelle]]-Tableau3[[#This Row],[RAF]])/Tableau3[[#This Row],[Durée réelle]]</f>
        <v>0.75</v>
      </c>
      <c r="Q16" s="16"/>
      <c r="S16"/>
      <c r="U16"/>
      <c r="V16"/>
    </row>
    <row r="17" spans="1:22" x14ac:dyDescent="0.3">
      <c r="A17" s="46" t="s">
        <v>1</v>
      </c>
      <c r="B17" s="59" t="s">
        <v>61</v>
      </c>
      <c r="C17" s="46"/>
      <c r="D17" s="42"/>
      <c r="E17" s="46" t="s">
        <v>33</v>
      </c>
      <c r="F17" s="46" t="s">
        <v>5</v>
      </c>
      <c r="G17" s="46" t="s">
        <v>22</v>
      </c>
      <c r="H17" s="42" t="s">
        <v>97</v>
      </c>
      <c r="I17" s="42">
        <v>6</v>
      </c>
      <c r="J17" s="42">
        <v>3</v>
      </c>
      <c r="K17" s="43">
        <v>45041</v>
      </c>
      <c r="L17" s="42">
        <v>6</v>
      </c>
      <c r="M1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7" s="43">
        <v>45041</v>
      </c>
      <c r="P17" s="61">
        <f>(Tableau3[[#This Row],[Durée réelle]]-Tableau3[[#This Row],[RAF]])/Tableau3[[#This Row],[Durée réelle]]</f>
        <v>0.5</v>
      </c>
      <c r="Q17" s="16"/>
      <c r="S17"/>
      <c r="U17"/>
      <c r="V17"/>
    </row>
    <row r="18" spans="1:22" x14ac:dyDescent="0.3">
      <c r="A18" s="46" t="s">
        <v>1</v>
      </c>
      <c r="B18" s="59" t="s">
        <v>62</v>
      </c>
      <c r="C18" s="46"/>
      <c r="D18" s="42"/>
      <c r="E18" s="46" t="s">
        <v>30</v>
      </c>
      <c r="F18" s="46" t="s">
        <v>6</v>
      </c>
      <c r="G18" s="46" t="s">
        <v>19</v>
      </c>
      <c r="H18" s="42" t="s">
        <v>95</v>
      </c>
      <c r="I18" s="42">
        <v>6</v>
      </c>
      <c r="J18" s="42">
        <v>5</v>
      </c>
      <c r="K18" s="43">
        <v>45041</v>
      </c>
      <c r="L18" s="42">
        <v>6</v>
      </c>
      <c r="M1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8" s="43">
        <v>45041</v>
      </c>
      <c r="P18" s="61">
        <f>(Tableau3[[#This Row],[Durée réelle]]-Tableau3[[#This Row],[RAF]])/Tableau3[[#This Row],[Durée réelle]]</f>
        <v>0.16666666666666666</v>
      </c>
      <c r="Q18" s="16"/>
      <c r="S18"/>
      <c r="U18"/>
      <c r="V18"/>
    </row>
    <row r="19" spans="1:22" x14ac:dyDescent="0.3">
      <c r="A19" s="46" t="s">
        <v>1</v>
      </c>
      <c r="B19" s="59" t="s">
        <v>63</v>
      </c>
      <c r="C19" s="46"/>
      <c r="D19" s="42"/>
      <c r="E19" s="46" t="s">
        <v>26</v>
      </c>
      <c r="F19" s="46" t="s">
        <v>24</v>
      </c>
      <c r="G19" s="46" t="s">
        <v>20</v>
      </c>
      <c r="H19" s="42" t="s">
        <v>96</v>
      </c>
      <c r="I19" s="42">
        <v>4</v>
      </c>
      <c r="J19" s="42">
        <v>1</v>
      </c>
      <c r="K19" s="43">
        <v>45041</v>
      </c>
      <c r="L19" s="42">
        <v>4</v>
      </c>
      <c r="M1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19" s="43">
        <v>45041</v>
      </c>
      <c r="P19" s="61">
        <f>(Tableau3[[#This Row],[Durée réelle]]-Tableau3[[#This Row],[RAF]])/Tableau3[[#This Row],[Durée réelle]]</f>
        <v>0.75</v>
      </c>
      <c r="Q19" s="16"/>
      <c r="S19"/>
      <c r="U19"/>
      <c r="V19"/>
    </row>
    <row r="20" spans="1:22" x14ac:dyDescent="0.3">
      <c r="A20" s="46" t="s">
        <v>1</v>
      </c>
      <c r="B20" s="59" t="s">
        <v>64</v>
      </c>
      <c r="C20" s="46"/>
      <c r="D20" s="42"/>
      <c r="E20" s="46" t="s">
        <v>34</v>
      </c>
      <c r="F20" s="46" t="s">
        <v>99</v>
      </c>
      <c r="G20" s="46" t="s">
        <v>21</v>
      </c>
      <c r="H20" s="42" t="s">
        <v>97</v>
      </c>
      <c r="I20" s="42">
        <v>7</v>
      </c>
      <c r="J20" s="42">
        <v>3</v>
      </c>
      <c r="K20" s="43">
        <v>45041</v>
      </c>
      <c r="L20" s="42">
        <v>7</v>
      </c>
      <c r="M2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0" s="43">
        <v>45041</v>
      </c>
      <c r="P20" s="61">
        <f>(Tableau3[[#This Row],[Durée réelle]]-Tableau3[[#This Row],[RAF]])/Tableau3[[#This Row],[Durée réelle]]</f>
        <v>0.5714285714285714</v>
      </c>
      <c r="Q20" s="16"/>
      <c r="S20"/>
      <c r="U20"/>
      <c r="V20"/>
    </row>
    <row r="21" spans="1:22" x14ac:dyDescent="0.3">
      <c r="A21" s="46" t="s">
        <v>1</v>
      </c>
      <c r="B21" s="59">
        <v>4</v>
      </c>
      <c r="C21" s="46"/>
      <c r="D21" s="42"/>
      <c r="E21" s="46" t="s">
        <v>35</v>
      </c>
      <c r="F21" s="46" t="s">
        <v>24</v>
      </c>
      <c r="G21" s="46" t="s">
        <v>22</v>
      </c>
      <c r="H21" s="42" t="s">
        <v>95</v>
      </c>
      <c r="I21" s="42">
        <v>3</v>
      </c>
      <c r="J21" s="42">
        <v>3</v>
      </c>
      <c r="K21" s="43">
        <v>45041</v>
      </c>
      <c r="L21" s="42">
        <v>3</v>
      </c>
      <c r="M2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21" s="43">
        <v>45041</v>
      </c>
      <c r="P21" s="61">
        <f>(Tableau3[[#This Row],[Durée réelle]]-Tableau3[[#This Row],[RAF]])/Tableau3[[#This Row],[Durée réelle]]</f>
        <v>0</v>
      </c>
      <c r="Q21" s="16"/>
      <c r="S21"/>
      <c r="U21"/>
      <c r="V21"/>
    </row>
    <row r="22" spans="1:22" x14ac:dyDescent="0.3">
      <c r="A22" s="46" t="s">
        <v>2</v>
      </c>
      <c r="B22" s="59" t="s">
        <v>65</v>
      </c>
      <c r="C22" s="46"/>
      <c r="D22" s="42"/>
      <c r="E22" s="46" t="s">
        <v>31</v>
      </c>
      <c r="F22" s="46" t="s">
        <v>5</v>
      </c>
      <c r="G22" s="46" t="s">
        <v>19</v>
      </c>
      <c r="H22" s="42" t="s">
        <v>96</v>
      </c>
      <c r="I22" s="42">
        <v>10</v>
      </c>
      <c r="J22" s="42">
        <v>5</v>
      </c>
      <c r="K22" s="43">
        <v>45041</v>
      </c>
      <c r="L22" s="42">
        <v>10</v>
      </c>
      <c r="M2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22" s="43">
        <v>45041</v>
      </c>
      <c r="P22" s="61">
        <f>(Tableau3[[#This Row],[Durée réelle]]-Tableau3[[#This Row],[RAF]])/Tableau3[[#This Row],[Durée réelle]]</f>
        <v>0.5</v>
      </c>
      <c r="Q22" s="16"/>
      <c r="S22"/>
      <c r="U22"/>
      <c r="V22"/>
    </row>
    <row r="23" spans="1:22" x14ac:dyDescent="0.3">
      <c r="A23" s="46" t="s">
        <v>2</v>
      </c>
      <c r="B23" s="59" t="s">
        <v>66</v>
      </c>
      <c r="C23" s="46"/>
      <c r="D23" s="42"/>
      <c r="E23" s="46" t="s">
        <v>26</v>
      </c>
      <c r="F23" s="46" t="s">
        <v>6</v>
      </c>
      <c r="G23" s="46" t="s">
        <v>20</v>
      </c>
      <c r="H23" s="42" t="s">
        <v>97</v>
      </c>
      <c r="I23" s="42">
        <v>5</v>
      </c>
      <c r="J23" s="42">
        <v>4</v>
      </c>
      <c r="K23" s="43">
        <v>45041</v>
      </c>
      <c r="L23" s="42">
        <v>5</v>
      </c>
      <c r="M2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23" s="43">
        <v>45041</v>
      </c>
      <c r="P23" s="61">
        <f>(Tableau3[[#This Row],[Durée réelle]]-Tableau3[[#This Row],[RAF]])/Tableau3[[#This Row],[Durée réelle]]</f>
        <v>0.2</v>
      </c>
      <c r="Q23" s="16"/>
      <c r="S23"/>
      <c r="U23"/>
      <c r="V23"/>
    </row>
    <row r="24" spans="1:22" x14ac:dyDescent="0.3">
      <c r="A24" s="46" t="s">
        <v>2</v>
      </c>
      <c r="B24" s="59" t="s">
        <v>67</v>
      </c>
      <c r="C24" s="46"/>
      <c r="D24" s="42"/>
      <c r="E24" s="46" t="s">
        <v>36</v>
      </c>
      <c r="F24" s="46" t="s">
        <v>24</v>
      </c>
      <c r="G24" s="46" t="s">
        <v>21</v>
      </c>
      <c r="H24" s="42" t="s">
        <v>95</v>
      </c>
      <c r="I24" s="42">
        <v>7</v>
      </c>
      <c r="J24" s="42">
        <v>3</v>
      </c>
      <c r="K24" s="43">
        <v>45041</v>
      </c>
      <c r="L24" s="42">
        <v>7</v>
      </c>
      <c r="M2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4" s="43">
        <v>45041</v>
      </c>
      <c r="P24" s="61">
        <f>(Tableau3[[#This Row],[Durée réelle]]-Tableau3[[#This Row],[RAF]])/Tableau3[[#This Row],[Durée réelle]]</f>
        <v>0.5714285714285714</v>
      </c>
      <c r="Q24" s="16"/>
      <c r="S24"/>
      <c r="U24"/>
      <c r="V24"/>
    </row>
    <row r="25" spans="1:22" x14ac:dyDescent="0.3">
      <c r="A25" s="46" t="s">
        <v>2</v>
      </c>
      <c r="B25" s="59" t="s">
        <v>68</v>
      </c>
      <c r="C25" s="46"/>
      <c r="D25" s="42"/>
      <c r="E25" s="46" t="s">
        <v>37</v>
      </c>
      <c r="F25" s="46" t="s">
        <v>99</v>
      </c>
      <c r="G25" s="46" t="s">
        <v>22</v>
      </c>
      <c r="H25" s="42" t="s">
        <v>96</v>
      </c>
      <c r="I25" s="42">
        <v>7</v>
      </c>
      <c r="J25" s="42">
        <v>2</v>
      </c>
      <c r="K25" s="43">
        <v>45041</v>
      </c>
      <c r="L25" s="42">
        <v>7</v>
      </c>
      <c r="M2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5" s="43">
        <v>45041</v>
      </c>
      <c r="P25" s="61">
        <f>(Tableau3[[#This Row],[Durée réelle]]-Tableau3[[#This Row],[RAF]])/Tableau3[[#This Row],[Durée réelle]]</f>
        <v>0.7142857142857143</v>
      </c>
      <c r="Q25" s="16"/>
      <c r="S25"/>
      <c r="U25"/>
      <c r="V25"/>
    </row>
    <row r="26" spans="1:22" x14ac:dyDescent="0.3">
      <c r="A26" s="46" t="s">
        <v>2</v>
      </c>
      <c r="B26" s="59" t="s">
        <v>69</v>
      </c>
      <c r="C26" s="46"/>
      <c r="D26" s="42"/>
      <c r="E26" s="46" t="s">
        <v>32</v>
      </c>
      <c r="F26" s="46" t="s">
        <v>102</v>
      </c>
      <c r="G26" s="46" t="s">
        <v>19</v>
      </c>
      <c r="H26" s="42" t="s">
        <v>97</v>
      </c>
      <c r="I26" s="42">
        <v>3</v>
      </c>
      <c r="J26" s="42">
        <v>2</v>
      </c>
      <c r="K26" s="43">
        <v>45041</v>
      </c>
      <c r="L26" s="42">
        <v>3</v>
      </c>
      <c r="M2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26" s="43">
        <v>45041</v>
      </c>
      <c r="P26" s="61">
        <f>(Tableau3[[#This Row],[Durée réelle]]-Tableau3[[#This Row],[RAF]])/Tableau3[[#This Row],[Durée réelle]]</f>
        <v>0.33333333333333331</v>
      </c>
      <c r="Q26" s="16"/>
      <c r="S26"/>
      <c r="U26"/>
      <c r="V26"/>
    </row>
    <row r="27" spans="1:22" x14ac:dyDescent="0.3">
      <c r="A27" s="46" t="s">
        <v>3</v>
      </c>
      <c r="B27" s="59" t="s">
        <v>70</v>
      </c>
      <c r="C27" s="46"/>
      <c r="D27" s="42"/>
      <c r="E27" s="46" t="s">
        <v>26</v>
      </c>
      <c r="F27" s="46" t="s">
        <v>5</v>
      </c>
      <c r="G27" s="46" t="s">
        <v>20</v>
      </c>
      <c r="H27" s="42" t="s">
        <v>95</v>
      </c>
      <c r="I27" s="42">
        <v>9</v>
      </c>
      <c r="J27" s="42">
        <v>8</v>
      </c>
      <c r="K27" s="43">
        <v>45041</v>
      </c>
      <c r="L27" s="42">
        <v>9</v>
      </c>
      <c r="M2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27" s="43">
        <v>45041</v>
      </c>
      <c r="P27" s="61">
        <f>(Tableau3[[#This Row],[Durée réelle]]-Tableau3[[#This Row],[RAF]])/Tableau3[[#This Row],[Durée réelle]]</f>
        <v>0.1111111111111111</v>
      </c>
      <c r="Q27" s="16"/>
      <c r="S27"/>
      <c r="U27"/>
      <c r="V27"/>
    </row>
    <row r="28" spans="1:22" x14ac:dyDescent="0.3">
      <c r="A28" s="46" t="s">
        <v>3</v>
      </c>
      <c r="B28" s="59" t="s">
        <v>71</v>
      </c>
      <c r="C28" s="46"/>
      <c r="D28" s="42"/>
      <c r="E28" s="46" t="s">
        <v>38</v>
      </c>
      <c r="F28" s="46" t="s">
        <v>6</v>
      </c>
      <c r="G28" s="46" t="s">
        <v>21</v>
      </c>
      <c r="H28" s="42" t="s">
        <v>96</v>
      </c>
      <c r="I28" s="42">
        <v>10</v>
      </c>
      <c r="J28" s="42">
        <v>2</v>
      </c>
      <c r="K28" s="43">
        <v>45041</v>
      </c>
      <c r="L28" s="42">
        <v>10</v>
      </c>
      <c r="M2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28" s="43">
        <v>45041</v>
      </c>
      <c r="P28" s="61">
        <f>(Tableau3[[#This Row],[Durée réelle]]-Tableau3[[#This Row],[RAF]])/Tableau3[[#This Row],[Durée réelle]]</f>
        <v>0.8</v>
      </c>
      <c r="Q28" s="16"/>
      <c r="S28"/>
      <c r="U28"/>
      <c r="V28"/>
    </row>
    <row r="29" spans="1:22" s="54" customFormat="1" ht="13.8" x14ac:dyDescent="0.3">
      <c r="A29" s="46" t="s">
        <v>3</v>
      </c>
      <c r="B29" s="59" t="s">
        <v>72</v>
      </c>
      <c r="C29" s="46"/>
      <c r="D29" s="42"/>
      <c r="E29" s="46" t="s">
        <v>39</v>
      </c>
      <c r="F29" s="46" t="s">
        <v>24</v>
      </c>
      <c r="G29" s="46" t="s">
        <v>22</v>
      </c>
      <c r="H29" s="42" t="s">
        <v>97</v>
      </c>
      <c r="I29" s="42">
        <v>4</v>
      </c>
      <c r="J29" s="42">
        <v>0</v>
      </c>
      <c r="K29" s="43"/>
      <c r="L29" s="42">
        <v>4</v>
      </c>
      <c r="M29" s="43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02/01/2023</v>
      </c>
      <c r="N2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44931</v>
      </c>
      <c r="O29" s="43"/>
      <c r="P29" s="61">
        <f>(Tableau3[[#This Row],[Durée réelle]]-Tableau3[[#This Row],[RAF]])/Tableau3[[#This Row],[Durée réelle]]</f>
        <v>1</v>
      </c>
      <c r="Q29" s="65"/>
    </row>
    <row r="30" spans="1:22" x14ac:dyDescent="0.3">
      <c r="A30" s="46" t="s">
        <v>3</v>
      </c>
      <c r="B30" s="59" t="s">
        <v>73</v>
      </c>
      <c r="C30" s="46"/>
      <c r="D30" s="42"/>
      <c r="E30" s="46" t="s">
        <v>33</v>
      </c>
      <c r="F30" s="46" t="s">
        <v>99</v>
      </c>
      <c r="G30" s="46" t="s">
        <v>19</v>
      </c>
      <c r="H30" s="42" t="s">
        <v>95</v>
      </c>
      <c r="I30" s="42">
        <v>8</v>
      </c>
      <c r="J30" s="42">
        <v>5</v>
      </c>
      <c r="K30" s="43">
        <v>45041</v>
      </c>
      <c r="L30" s="42">
        <v>8</v>
      </c>
      <c r="M3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30" s="43">
        <v>45041</v>
      </c>
      <c r="P30" s="61">
        <f>(Tableau3[[#This Row],[Durée réelle]]-Tableau3[[#This Row],[RAF]])/Tableau3[[#This Row],[Durée réelle]]</f>
        <v>0.375</v>
      </c>
      <c r="Q30" s="16"/>
      <c r="S30"/>
      <c r="U30"/>
      <c r="V30"/>
    </row>
    <row r="31" spans="1:22" x14ac:dyDescent="0.3">
      <c r="A31" s="46" t="s">
        <v>3</v>
      </c>
      <c r="B31" s="59" t="s">
        <v>74</v>
      </c>
      <c r="C31" s="46"/>
      <c r="D31" s="42"/>
      <c r="E31" s="46" t="s">
        <v>26</v>
      </c>
      <c r="F31" s="46" t="s">
        <v>102</v>
      </c>
      <c r="G31" s="46" t="s">
        <v>20</v>
      </c>
      <c r="H31" s="42" t="s">
        <v>96</v>
      </c>
      <c r="I31" s="42">
        <v>10</v>
      </c>
      <c r="J31" s="42">
        <v>3</v>
      </c>
      <c r="K31" s="43">
        <v>45041</v>
      </c>
      <c r="L31" s="42">
        <v>10</v>
      </c>
      <c r="M3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31" s="43">
        <v>45041</v>
      </c>
      <c r="P31" s="61">
        <f>(Tableau3[[#This Row],[Durée réelle]]-Tableau3[[#This Row],[RAF]])/Tableau3[[#This Row],[Durée réelle]]</f>
        <v>0.7</v>
      </c>
      <c r="Q31" s="16"/>
      <c r="S31"/>
      <c r="U31"/>
      <c r="V31"/>
    </row>
    <row r="32" spans="1:22" x14ac:dyDescent="0.3">
      <c r="A32" s="46" t="s">
        <v>3</v>
      </c>
      <c r="B32" s="59" t="s">
        <v>75</v>
      </c>
      <c r="C32" s="46"/>
      <c r="D32" s="42"/>
      <c r="E32" s="46" t="s">
        <v>40</v>
      </c>
      <c r="F32" s="46" t="s">
        <v>5</v>
      </c>
      <c r="G32" s="46" t="s">
        <v>21</v>
      </c>
      <c r="H32" s="42" t="s">
        <v>97</v>
      </c>
      <c r="I32" s="42">
        <v>6</v>
      </c>
      <c r="J32" s="42">
        <v>3</v>
      </c>
      <c r="K32" s="43">
        <v>45041</v>
      </c>
      <c r="L32" s="42">
        <v>6</v>
      </c>
      <c r="M3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32" s="43">
        <v>45041</v>
      </c>
      <c r="P32" s="61">
        <f>(Tableau3[[#This Row],[Durée réelle]]-Tableau3[[#This Row],[RAF]])/Tableau3[[#This Row],[Durée réelle]]</f>
        <v>0.5</v>
      </c>
      <c r="Q32" s="16"/>
      <c r="S32"/>
      <c r="U32"/>
      <c r="V32"/>
    </row>
    <row r="33" spans="1:22" x14ac:dyDescent="0.3">
      <c r="A33" s="46" t="s">
        <v>3</v>
      </c>
      <c r="B33" s="59" t="s">
        <v>76</v>
      </c>
      <c r="C33" s="46"/>
      <c r="D33" s="42"/>
      <c r="E33" s="46" t="s">
        <v>41</v>
      </c>
      <c r="F33" s="46" t="s">
        <v>6</v>
      </c>
      <c r="G33" s="46" t="s">
        <v>22</v>
      </c>
      <c r="H33" s="42" t="s">
        <v>95</v>
      </c>
      <c r="I33" s="42">
        <v>4</v>
      </c>
      <c r="J33" s="42">
        <v>2</v>
      </c>
      <c r="K33" s="43">
        <v>45041</v>
      </c>
      <c r="L33" s="42">
        <v>4</v>
      </c>
      <c r="M3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33" s="43">
        <v>45041</v>
      </c>
      <c r="P33" s="61">
        <f>(Tableau3[[#This Row],[Durée réelle]]-Tableau3[[#This Row],[RAF]])/Tableau3[[#This Row],[Durée réelle]]</f>
        <v>0.5</v>
      </c>
      <c r="Q33" s="16"/>
      <c r="S33"/>
      <c r="U33"/>
      <c r="V33"/>
    </row>
    <row r="34" spans="1:22" x14ac:dyDescent="0.3">
      <c r="A34" s="46" t="s">
        <v>4</v>
      </c>
      <c r="B34" s="59" t="s">
        <v>77</v>
      </c>
      <c r="C34" s="46"/>
      <c r="D34" s="42"/>
      <c r="E34" s="46" t="s">
        <v>34</v>
      </c>
      <c r="F34" s="46" t="s">
        <v>24</v>
      </c>
      <c r="G34" s="46" t="s">
        <v>19</v>
      </c>
      <c r="H34" s="42" t="s">
        <v>96</v>
      </c>
      <c r="I34" s="42">
        <v>7</v>
      </c>
      <c r="J34" s="42">
        <v>3</v>
      </c>
      <c r="K34" s="43">
        <v>45041</v>
      </c>
      <c r="L34" s="42">
        <v>7</v>
      </c>
      <c r="M3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34" s="43">
        <v>45041</v>
      </c>
      <c r="P34" s="61">
        <f>(Tableau3[[#This Row],[Durée réelle]]-Tableau3[[#This Row],[RAF]])/Tableau3[[#This Row],[Durée réelle]]</f>
        <v>0.5714285714285714</v>
      </c>
      <c r="Q34" s="16"/>
      <c r="S34"/>
      <c r="U34"/>
      <c r="V34"/>
    </row>
    <row r="35" spans="1:22" x14ac:dyDescent="0.3">
      <c r="A35" s="46" t="s">
        <v>4</v>
      </c>
      <c r="B35" s="59" t="s">
        <v>78</v>
      </c>
      <c r="C35" s="46"/>
      <c r="D35" s="42"/>
      <c r="E35" s="46" t="s">
        <v>26</v>
      </c>
      <c r="F35" s="46" t="s">
        <v>99</v>
      </c>
      <c r="G35" s="46" t="s">
        <v>20</v>
      </c>
      <c r="H35" s="42" t="s">
        <v>97</v>
      </c>
      <c r="I35" s="42">
        <v>9</v>
      </c>
      <c r="J35" s="42">
        <v>4</v>
      </c>
      <c r="K35" s="43">
        <v>45041</v>
      </c>
      <c r="L35" s="42">
        <v>9</v>
      </c>
      <c r="M3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35" s="43">
        <v>45041</v>
      </c>
      <c r="P35" s="61">
        <f>(Tableau3[[#This Row],[Durée réelle]]-Tableau3[[#This Row],[RAF]])/Tableau3[[#This Row],[Durée réelle]]</f>
        <v>0.55555555555555558</v>
      </c>
      <c r="Q35" s="16"/>
      <c r="S35"/>
      <c r="U35"/>
      <c r="V35"/>
    </row>
    <row r="36" spans="1:22" x14ac:dyDescent="0.3">
      <c r="A36" s="46" t="s">
        <v>4</v>
      </c>
      <c r="B36" s="59" t="s">
        <v>79</v>
      </c>
      <c r="C36" s="46"/>
      <c r="D36" s="42"/>
      <c r="E36" s="46" t="s">
        <v>42</v>
      </c>
      <c r="F36" s="46" t="s">
        <v>102</v>
      </c>
      <c r="G36" s="46" t="s">
        <v>21</v>
      </c>
      <c r="H36" s="42" t="s">
        <v>95</v>
      </c>
      <c r="I36" s="42">
        <v>5</v>
      </c>
      <c r="J36" s="42">
        <v>3</v>
      </c>
      <c r="K36" s="43">
        <v>45041</v>
      </c>
      <c r="L36" s="42">
        <v>5</v>
      </c>
      <c r="M3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36" s="43">
        <v>45041</v>
      </c>
      <c r="P36" s="61">
        <f>(Tableau3[[#This Row],[Durée réelle]]-Tableau3[[#This Row],[RAF]])/Tableau3[[#This Row],[Durée réelle]]</f>
        <v>0.4</v>
      </c>
      <c r="Q36" s="16"/>
      <c r="S36"/>
      <c r="U36"/>
      <c r="V36"/>
    </row>
    <row r="37" spans="1:22" x14ac:dyDescent="0.3">
      <c r="A37" s="46" t="s">
        <v>4</v>
      </c>
      <c r="B37" s="59">
        <v>5</v>
      </c>
      <c r="C37" s="46"/>
      <c r="D37" s="42"/>
      <c r="E37" s="46" t="s">
        <v>43</v>
      </c>
      <c r="F37" s="46" t="s">
        <v>5</v>
      </c>
      <c r="G37" s="46" t="s">
        <v>22</v>
      </c>
      <c r="H37" s="42" t="s">
        <v>96</v>
      </c>
      <c r="I37" s="42">
        <v>3</v>
      </c>
      <c r="J37" s="42">
        <v>3</v>
      </c>
      <c r="K37" s="43">
        <v>45041</v>
      </c>
      <c r="L37" s="42">
        <v>3</v>
      </c>
      <c r="M3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37" s="43">
        <v>45041</v>
      </c>
      <c r="P37" s="61">
        <f>(Tableau3[[#This Row],[Durée réelle]]-Tableau3[[#This Row],[RAF]])/Tableau3[[#This Row],[Durée réelle]]</f>
        <v>0</v>
      </c>
      <c r="Q37" s="16"/>
      <c r="S37"/>
      <c r="U37"/>
      <c r="V37"/>
    </row>
    <row r="38" spans="1:22" x14ac:dyDescent="0.3">
      <c r="A38" s="46" t="s">
        <v>4</v>
      </c>
      <c r="B38" s="59" t="s">
        <v>80</v>
      </c>
      <c r="C38" s="46"/>
      <c r="D38" s="42"/>
      <c r="E38" s="46" t="s">
        <v>35</v>
      </c>
      <c r="F38" s="46" t="s">
        <v>6</v>
      </c>
      <c r="G38" s="46" t="s">
        <v>19</v>
      </c>
      <c r="H38" s="42" t="s">
        <v>97</v>
      </c>
      <c r="I38" s="42">
        <v>7</v>
      </c>
      <c r="J38" s="42">
        <v>3</v>
      </c>
      <c r="K38" s="43">
        <v>45041</v>
      </c>
      <c r="L38" s="42">
        <v>7</v>
      </c>
      <c r="M3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38" s="43">
        <v>45041</v>
      </c>
      <c r="P38" s="61">
        <f>(Tableau3[[#This Row],[Durée réelle]]-Tableau3[[#This Row],[RAF]])/Tableau3[[#This Row],[Durée réelle]]</f>
        <v>0.5714285714285714</v>
      </c>
      <c r="Q38" s="16"/>
      <c r="S38"/>
      <c r="U38"/>
      <c r="V38"/>
    </row>
    <row r="39" spans="1:22" x14ac:dyDescent="0.3">
      <c r="A39" s="46" t="s">
        <v>4</v>
      </c>
      <c r="B39" s="59" t="s">
        <v>81</v>
      </c>
      <c r="C39" s="46"/>
      <c r="D39" s="42"/>
      <c r="E39" s="46" t="s">
        <v>26</v>
      </c>
      <c r="F39" s="46" t="s">
        <v>24</v>
      </c>
      <c r="G39" s="46" t="s">
        <v>20</v>
      </c>
      <c r="H39" s="42" t="s">
        <v>95</v>
      </c>
      <c r="I39" s="42">
        <v>10</v>
      </c>
      <c r="J39" s="42">
        <v>7</v>
      </c>
      <c r="K39" s="43">
        <v>45044</v>
      </c>
      <c r="L39" s="42">
        <v>10</v>
      </c>
      <c r="M3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39" s="43">
        <v>45041</v>
      </c>
      <c r="P39" s="61">
        <f>(Tableau3[[#This Row],[Durée réelle]]-Tableau3[[#This Row],[RAF]])/Tableau3[[#This Row],[Durée réelle]]</f>
        <v>0.3</v>
      </c>
      <c r="Q39" s="16"/>
      <c r="S39"/>
      <c r="U39"/>
      <c r="V39"/>
    </row>
    <row r="40" spans="1:22" x14ac:dyDescent="0.3">
      <c r="A40" s="46" t="s">
        <v>4</v>
      </c>
      <c r="B40" s="59" t="s">
        <v>82</v>
      </c>
      <c r="C40" s="46"/>
      <c r="D40" s="42"/>
      <c r="E40" s="46" t="s">
        <v>44</v>
      </c>
      <c r="F40" s="46" t="s">
        <v>99</v>
      </c>
      <c r="G40" s="46" t="s">
        <v>21</v>
      </c>
      <c r="H40" s="42" t="s">
        <v>96</v>
      </c>
      <c r="I40" s="42">
        <v>10</v>
      </c>
      <c r="J40" s="42">
        <v>3</v>
      </c>
      <c r="K40" s="43">
        <v>45044</v>
      </c>
      <c r="L40" s="42">
        <v>10</v>
      </c>
      <c r="M4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40" s="43">
        <v>45041</v>
      </c>
      <c r="P40" s="61">
        <f>(Tableau3[[#This Row],[Durée réelle]]-Tableau3[[#This Row],[RAF]])/Tableau3[[#This Row],[Durée réelle]]</f>
        <v>0.7</v>
      </c>
      <c r="Q40" s="16"/>
      <c r="S40"/>
      <c r="U40"/>
      <c r="V40"/>
    </row>
    <row r="41" spans="1:22" x14ac:dyDescent="0.3">
      <c r="A41" s="46" t="s">
        <v>4</v>
      </c>
      <c r="B41" s="59" t="s">
        <v>83</v>
      </c>
      <c r="C41" s="46"/>
      <c r="D41" s="42"/>
      <c r="E41" s="46" t="s">
        <v>45</v>
      </c>
      <c r="F41" s="46" t="s">
        <v>102</v>
      </c>
      <c r="G41" s="46" t="s">
        <v>22</v>
      </c>
      <c r="H41" s="42" t="s">
        <v>97</v>
      </c>
      <c r="I41" s="42">
        <v>3</v>
      </c>
      <c r="J41" s="42">
        <v>0</v>
      </c>
      <c r="K41" s="43" t="s">
        <v>101</v>
      </c>
      <c r="L41" s="42">
        <v>3</v>
      </c>
      <c r="M41" s="43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02/01/2023</v>
      </c>
      <c r="N4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44930</v>
      </c>
      <c r="O41" s="43"/>
      <c r="P41" s="61">
        <f>(Tableau3[[#This Row],[Durée réelle]]-Tableau3[[#This Row],[RAF]])/Tableau3[[#This Row],[Durée réelle]]</f>
        <v>1</v>
      </c>
      <c r="Q41" s="16"/>
      <c r="S41"/>
      <c r="U41"/>
      <c r="V4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ulDependancesTaches">
                <anchor moveWithCells="1" sizeWithCells="1">
                  <from>
                    <xdr:col>17</xdr:col>
                    <xdr:colOff>38100</xdr:colOff>
                    <xdr:row>1</xdr:row>
                    <xdr:rowOff>403860</xdr:rowOff>
                  </from>
                  <to>
                    <xdr:col>18</xdr:col>
                    <xdr:colOff>868680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7C4D-DBDB-4498-8941-39112381E510}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2999-9719-467A-AF66-3D3CB24184F7}">
  <sheetPr codeName="Feuil3"/>
  <dimension ref="B2:E11"/>
  <sheetViews>
    <sheetView workbookViewId="0">
      <selection activeCell="E11" sqref="A1:XFD1048576"/>
    </sheetView>
  </sheetViews>
  <sheetFormatPr baseColWidth="10" defaultRowHeight="13.8" x14ac:dyDescent="0.3"/>
  <cols>
    <col min="1" max="3" width="11.5546875" style="21"/>
    <col min="4" max="4" width="31" style="21" bestFit="1" customWidth="1"/>
    <col min="5" max="5" width="28.21875" style="21" customWidth="1"/>
    <col min="6" max="16384" width="11.5546875" style="21"/>
  </cols>
  <sheetData>
    <row r="2" spans="2:5" x14ac:dyDescent="0.3">
      <c r="B2" s="62" t="s">
        <v>46</v>
      </c>
      <c r="D2" s="58" t="s">
        <v>90</v>
      </c>
    </row>
    <row r="3" spans="2:5" x14ac:dyDescent="0.3">
      <c r="B3" s="63" t="s">
        <v>19</v>
      </c>
      <c r="D3" s="21">
        <v>0</v>
      </c>
    </row>
    <row r="4" spans="2:5" x14ac:dyDescent="0.3">
      <c r="B4" s="64" t="s">
        <v>20</v>
      </c>
    </row>
    <row r="5" spans="2:5" x14ac:dyDescent="0.3">
      <c r="B5" s="63" t="s">
        <v>21</v>
      </c>
    </row>
    <row r="6" spans="2:5" x14ac:dyDescent="0.3">
      <c r="B6" s="64" t="s">
        <v>22</v>
      </c>
    </row>
    <row r="11" spans="2:5" x14ac:dyDescent="0.3">
      <c r="E11" s="57">
        <f ca="1">TODAY()</f>
        <v>45061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Gantt</vt:lpstr>
      <vt:lpstr>Gantt avec tab croise dyn</vt:lpstr>
      <vt:lpstr>WBS</vt:lpstr>
      <vt:lpstr>Congés</vt:lpstr>
      <vt:lpstr>Données de référence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 David</dc:creator>
  <cp:lastModifiedBy>Tonton David</cp:lastModifiedBy>
  <dcterms:created xsi:type="dcterms:W3CDTF">2023-04-19T14:30:02Z</dcterms:created>
  <dcterms:modified xsi:type="dcterms:W3CDTF">2023-05-16T04:43:13Z</dcterms:modified>
</cp:coreProperties>
</file>