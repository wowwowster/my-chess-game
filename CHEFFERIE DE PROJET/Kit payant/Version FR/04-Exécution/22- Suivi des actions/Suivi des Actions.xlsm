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AE6600E7-7A62-396C-DE95-9942FA9DD81E}"/>
  <workbookPr codeName="ThisWorkbook" autoCompressPictures="0"/>
  <mc:AlternateContent xmlns:mc="http://schemas.openxmlformats.org/markup-compatibility/2006">
    <mc:Choice Requires="x15">
      <x15ac:absPath xmlns:x15ac="http://schemas.microsoft.com/office/spreadsheetml/2010/11/ac" url="C:\Users\HP\Downloads\Kit de Mangement de Projet 131222\"/>
    </mc:Choice>
  </mc:AlternateContent>
  <xr:revisionPtr revIDLastSave="0" documentId="13_ncr:1_{2C26B1D5-F562-488C-B7CA-FC1B3F2BB4D8}" xr6:coauthVersionLast="47" xr6:coauthVersionMax="47" xr10:uidLastSave="{00000000-0000-0000-0000-000000000000}"/>
  <bookViews>
    <workbookView xWindow="-120" yWindow="-120" windowWidth="20730" windowHeight="11160" tabRatio="698" firstSheet="4" activeTab="5" xr2:uid="{00000000-000D-0000-FFFF-FFFF00000000}"/>
  </bookViews>
  <sheets>
    <sheet name="Suivi evolution" sheetId="6" state="hidden" r:id="rId1"/>
    <sheet name="Courbes" sheetId="7" state="hidden" r:id="rId2"/>
    <sheet name="Paramètres" sheetId="5" state="hidden" r:id="rId3"/>
    <sheet name="Garantie  Stabilisation" sheetId="9" state="hidden" r:id="rId4"/>
    <sheet name="Guide d'utilisation" sheetId="14" r:id="rId5"/>
    <sheet name="Actions" sheetId="13" r:id="rId6"/>
    <sheet name="Parametres" sheetId="12" r:id="rId7"/>
  </sheets>
  <definedNames>
    <definedName name="_xlnm._FilterDatabase" localSheetId="5" hidden="1">Actions!$A$15:$K$46</definedName>
    <definedName name="Etats">Table1[Etat]</definedName>
    <definedName name="Priorité">Table13[Priorité]</definedName>
    <definedName name="Réalisation">Tableau2[Réalisation]</definedName>
  </definedNames>
  <calcPr calcId="191029"/>
</workbook>
</file>

<file path=xl/calcChain.xml><?xml version="1.0" encoding="utf-8"?>
<calcChain xmlns="http://schemas.openxmlformats.org/spreadsheetml/2006/main">
  <c r="B4" i="9" l="1"/>
  <c r="B5" i="9" s="1"/>
  <c r="B6" i="9" s="1"/>
  <c r="B7" i="9" s="1"/>
  <c r="B8" i="9" s="1"/>
  <c r="B9" i="9" s="1"/>
  <c r="B10" i="9" s="1"/>
  <c r="B11" i="9" s="1"/>
  <c r="B12" i="9" s="1"/>
  <c r="B13" i="9" s="1"/>
  <c r="B14" i="9" s="1"/>
  <c r="B15" i="9" s="1"/>
  <c r="B16" i="9" s="1"/>
  <c r="B17" i="9" s="1"/>
  <c r="B18" i="9" s="1"/>
  <c r="B19" i="9" s="1"/>
  <c r="B20" i="9" s="1"/>
  <c r="B21" i="9" s="1"/>
  <c r="B22" i="9" s="1"/>
  <c r="B23" i="9" s="1"/>
  <c r="B24" i="9" s="1"/>
  <c r="B25" i="9" s="1"/>
  <c r="B26" i="9" s="1"/>
  <c r="B27" i="9" s="1"/>
  <c r="B28" i="9" s="1"/>
  <c r="B29" i="9" s="1"/>
  <c r="B30" i="9" s="1"/>
  <c r="B31" i="9" s="1"/>
  <c r="B32" i="9" s="1"/>
  <c r="B33" i="9" s="1"/>
  <c r="B34" i="9" s="1"/>
  <c r="B35" i="9" s="1"/>
  <c r="B36" i="9" s="1"/>
  <c r="B37" i="9" s="1"/>
  <c r="B38" i="9" s="1"/>
  <c r="B39" i="9" s="1"/>
  <c r="B40" i="9" s="1"/>
  <c r="B41" i="9" s="1"/>
  <c r="B42" i="9" s="1"/>
  <c r="B43" i="9" s="1"/>
  <c r="B44" i="9" s="1"/>
  <c r="B45" i="9" s="1"/>
  <c r="B46" i="9" s="1"/>
  <c r="B47" i="9" s="1"/>
  <c r="B48" i="9" s="1"/>
  <c r="B49" i="9" s="1"/>
  <c r="B50" i="9" s="1"/>
  <c r="B51" i="9" s="1"/>
  <c r="B52" i="9" s="1"/>
  <c r="B53" i="9" s="1"/>
  <c r="B54" i="9" s="1"/>
  <c r="B55" i="9" s="1"/>
  <c r="B56" i="9" s="1"/>
  <c r="B57" i="9" s="1"/>
  <c r="B58" i="9" s="1"/>
  <c r="B59" i="9" s="1"/>
  <c r="B60" i="9" s="1"/>
  <c r="B61" i="9" s="1"/>
  <c r="B62" i="9" s="1"/>
  <c r="B63" i="9" s="1"/>
  <c r="B64" i="9" s="1"/>
  <c r="B65" i="9" s="1"/>
  <c r="B66" i="9" s="1"/>
  <c r="B67" i="9" s="1"/>
  <c r="B68" i="9" s="1"/>
  <c r="B69" i="9" s="1"/>
  <c r="B70" i="9" s="1"/>
  <c r="B71" i="9" s="1"/>
  <c r="B72" i="9" s="1"/>
  <c r="B73" i="9" s="1"/>
  <c r="B74" i="9" s="1"/>
  <c r="B75" i="9" s="1"/>
  <c r="B76" i="9" s="1"/>
  <c r="B77" i="9" s="1"/>
  <c r="B78" i="9" s="1"/>
  <c r="B79" i="9" s="1"/>
  <c r="B80" i="9" s="1"/>
  <c r="B81" i="9" s="1"/>
  <c r="B82" i="9" s="1"/>
  <c r="B83" i="9" s="1"/>
  <c r="B3" i="9"/>
  <c r="BQ30" i="6"/>
  <c r="BP30" i="6"/>
  <c r="BO30" i="6"/>
  <c r="BN30" i="6"/>
  <c r="BM30" i="6"/>
  <c r="BL30" i="6"/>
  <c r="BK30" i="6"/>
  <c r="BJ30" i="6"/>
  <c r="BI30" i="6"/>
  <c r="BH30" i="6"/>
  <c r="BG30" i="6"/>
  <c r="BF30" i="6"/>
  <c r="BE30" i="6"/>
  <c r="BD30" i="6"/>
  <c r="BC30" i="6"/>
  <c r="BB30" i="6"/>
  <c r="BA30" i="6"/>
  <c r="AZ30" i="6"/>
  <c r="AY30" i="6"/>
  <c r="AX30" i="6"/>
  <c r="AW30" i="6"/>
  <c r="AV30" i="6"/>
  <c r="AU30" i="6"/>
  <c r="AT30" i="6"/>
  <c r="AS30" i="6"/>
  <c r="AR30" i="6"/>
  <c r="AQ30" i="6"/>
  <c r="AP30" i="6"/>
  <c r="AO30" i="6"/>
  <c r="AN30" i="6"/>
  <c r="AM30" i="6"/>
  <c r="AL30" i="6"/>
  <c r="AK30" i="6"/>
  <c r="AJ30" i="6"/>
  <c r="AI30" i="6"/>
  <c r="AH30" i="6"/>
  <c r="AG30" i="6"/>
  <c r="AF30" i="6"/>
  <c r="AE30" i="6"/>
  <c r="AD30" i="6"/>
  <c r="AC30" i="6"/>
  <c r="AB30" i="6"/>
  <c r="AA30" i="6"/>
  <c r="Z30" i="6"/>
  <c r="Y30" i="6"/>
  <c r="X30" i="6"/>
  <c r="W30" i="6"/>
  <c r="V30" i="6"/>
  <c r="U30" i="6"/>
  <c r="T30" i="6"/>
  <c r="S30" i="6"/>
  <c r="R30" i="6"/>
  <c r="Q30" i="6"/>
  <c r="P30" i="6"/>
  <c r="O30" i="6"/>
  <c r="N30" i="6"/>
  <c r="M30" i="6"/>
  <c r="L30" i="6"/>
  <c r="K30" i="6"/>
  <c r="J30" i="6"/>
  <c r="I30" i="6"/>
  <c r="H30" i="6"/>
  <c r="G30" i="6"/>
  <c r="F30" i="6"/>
  <c r="E30" i="6"/>
  <c r="B29" i="6"/>
  <c r="B28" i="6"/>
  <c r="B27" i="6"/>
  <c r="B26" i="6"/>
  <c r="B25" i="6"/>
  <c r="B24" i="6"/>
  <c r="C23" i="6"/>
  <c r="B23" i="6"/>
  <c r="B22" i="6"/>
  <c r="B21" i="6"/>
  <c r="B20" i="6"/>
  <c r="X19" i="6"/>
  <c r="E19" i="6"/>
  <c r="C19" i="6"/>
  <c r="B19" i="6"/>
  <c r="BQ15" i="6"/>
  <c r="BP15" i="6"/>
  <c r="BO15" i="6"/>
  <c r="BN15" i="6"/>
  <c r="BM15" i="6"/>
  <c r="BL15" i="6"/>
  <c r="BK15" i="6"/>
  <c r="BJ15" i="6"/>
  <c r="BI15" i="6"/>
  <c r="BH15" i="6"/>
  <c r="BG15" i="6"/>
  <c r="BF15" i="6"/>
  <c r="BE15" i="6"/>
  <c r="BD15" i="6"/>
  <c r="BC15" i="6"/>
  <c r="BB15" i="6"/>
  <c r="BA15" i="6"/>
  <c r="AZ15" i="6"/>
  <c r="AY15" i="6"/>
  <c r="AX15" i="6"/>
  <c r="AW15" i="6"/>
  <c r="AV15" i="6"/>
  <c r="AU15" i="6"/>
  <c r="AT15" i="6"/>
  <c r="AS15" i="6"/>
  <c r="AR15" i="6"/>
  <c r="AQ15" i="6"/>
  <c r="AP15" i="6"/>
  <c r="AO15" i="6"/>
  <c r="AN15" i="6"/>
  <c r="AM15" i="6"/>
  <c r="AL15" i="6"/>
  <c r="AK15" i="6"/>
  <c r="AJ15" i="6"/>
  <c r="AI15" i="6"/>
  <c r="AH15" i="6"/>
  <c r="AG15" i="6"/>
  <c r="AF15" i="6"/>
  <c r="AE15" i="6"/>
  <c r="AD15" i="6"/>
  <c r="AC15" i="6"/>
  <c r="AB15" i="6"/>
  <c r="AA15" i="6"/>
  <c r="Z15" i="6"/>
  <c r="Y15" i="6"/>
  <c r="X15" i="6"/>
  <c r="W15" i="6"/>
  <c r="V15" i="6"/>
  <c r="U15" i="6"/>
  <c r="T15" i="6"/>
  <c r="S15" i="6"/>
  <c r="R15" i="6"/>
  <c r="Q15" i="6"/>
  <c r="P15" i="6"/>
  <c r="O15" i="6"/>
  <c r="N15" i="6"/>
  <c r="M15" i="6"/>
  <c r="L15" i="6"/>
  <c r="K15" i="6"/>
  <c r="J15" i="6"/>
  <c r="I15" i="6"/>
  <c r="H15" i="6"/>
  <c r="G15" i="6"/>
  <c r="F15" i="6"/>
  <c r="E15" i="6"/>
  <c r="B14" i="6"/>
  <c r="C14" i="6" s="1"/>
  <c r="B13" i="6"/>
  <c r="B12" i="6"/>
  <c r="C12" i="6" s="1"/>
  <c r="B11" i="6"/>
  <c r="C26" i="6" s="1"/>
  <c r="B10" i="6"/>
  <c r="C10" i="6" s="1"/>
  <c r="B9" i="6"/>
  <c r="B8" i="6"/>
  <c r="C8" i="6" s="1"/>
  <c r="B7" i="6"/>
  <c r="C22" i="6" s="1"/>
  <c r="B6" i="6"/>
  <c r="C6" i="6" s="1"/>
  <c r="B5" i="6"/>
  <c r="Y4" i="6"/>
  <c r="Y19" i="6" s="1"/>
  <c r="F4" i="6"/>
  <c r="G4" i="6" s="1"/>
  <c r="C4" i="6"/>
  <c r="B4" i="6"/>
  <c r="C27" i="6" l="1"/>
  <c r="C21" i="6"/>
  <c r="C29" i="6"/>
  <c r="C11" i="6"/>
  <c r="Z4" i="6"/>
  <c r="C25" i="6"/>
  <c r="H4" i="6"/>
  <c r="G19" i="6"/>
  <c r="C24" i="6"/>
  <c r="C9" i="6"/>
  <c r="C28" i="6"/>
  <c r="C13" i="6"/>
  <c r="C7" i="6"/>
  <c r="C20" i="6"/>
  <c r="C30" i="6" s="1"/>
  <c r="C5" i="6"/>
  <c r="C15" i="6" s="1"/>
  <c r="F19" i="6"/>
  <c r="Z19" i="6" l="1"/>
  <c r="AA4" i="6"/>
  <c r="H19" i="6"/>
  <c r="I4" i="6"/>
  <c r="AA19" i="6" l="1"/>
  <c r="AB4" i="6"/>
  <c r="I19" i="6"/>
  <c r="J4" i="6"/>
  <c r="AC4" i="6" l="1"/>
  <c r="AB19" i="6"/>
  <c r="K4" i="6"/>
  <c r="J19" i="6"/>
  <c r="AD4" i="6" l="1"/>
  <c r="AC19" i="6"/>
  <c r="L4" i="6"/>
  <c r="K19" i="6"/>
  <c r="AD19" i="6" l="1"/>
  <c r="AE4" i="6"/>
  <c r="L19" i="6"/>
  <c r="M4" i="6"/>
  <c r="AE19" i="6" l="1"/>
  <c r="AF4" i="6"/>
  <c r="N4" i="6"/>
  <c r="M19" i="6"/>
  <c r="AF19" i="6" l="1"/>
  <c r="AG4" i="6"/>
  <c r="O4" i="6"/>
  <c r="N19" i="6"/>
  <c r="AG19" i="6" l="1"/>
  <c r="AH4" i="6"/>
  <c r="P4" i="6"/>
  <c r="O19" i="6"/>
  <c r="AH19" i="6" l="1"/>
  <c r="AI4" i="6"/>
  <c r="P19" i="6"/>
  <c r="Q4" i="6"/>
  <c r="AI19" i="6" l="1"/>
  <c r="AJ4" i="6"/>
  <c r="Q19" i="6"/>
  <c r="R4" i="6"/>
  <c r="AK4" i="6" l="1"/>
  <c r="AJ19" i="6"/>
  <c r="S4" i="6"/>
  <c r="R19" i="6"/>
  <c r="AL4" i="6" l="1"/>
  <c r="AK19" i="6"/>
  <c r="T4" i="6"/>
  <c r="S19" i="6"/>
  <c r="AM4" i="6" l="1"/>
  <c r="AL19" i="6"/>
  <c r="T19" i="6"/>
  <c r="U4" i="6"/>
  <c r="AM19" i="6" l="1"/>
  <c r="AN4" i="6"/>
  <c r="V4" i="6"/>
  <c r="U19" i="6"/>
  <c r="AN19" i="6" l="1"/>
  <c r="AO4" i="6"/>
  <c r="W4" i="6"/>
  <c r="W19" i="6" s="1"/>
  <c r="V19" i="6"/>
  <c r="AP4" i="6" l="1"/>
  <c r="AO19" i="6"/>
  <c r="AP19" i="6" l="1"/>
  <c r="AQ4" i="6"/>
  <c r="AQ19" i="6" l="1"/>
  <c r="AR4" i="6"/>
  <c r="AR19" i="6" l="1"/>
  <c r="AS4" i="6"/>
  <c r="AS19" i="6" l="1"/>
  <c r="AT4" i="6"/>
  <c r="AU4" i="6" l="1"/>
  <c r="AT19" i="6"/>
  <c r="AU19" i="6" l="1"/>
  <c r="AV4" i="6"/>
  <c r="AV19" i="6" l="1"/>
  <c r="AW4" i="6"/>
  <c r="AW19" i="6" l="1"/>
  <c r="AX4" i="6"/>
  <c r="AY4" i="6" l="1"/>
  <c r="AX19" i="6"/>
  <c r="AY19" i="6" l="1"/>
  <c r="AZ4" i="6"/>
  <c r="AZ19" i="6" l="1"/>
  <c r="BA4" i="6"/>
  <c r="BB4" i="6" l="1"/>
  <c r="BA19" i="6"/>
  <c r="BB19" i="6" l="1"/>
  <c r="BC4" i="6"/>
  <c r="BC19" i="6" l="1"/>
  <c r="BD4" i="6"/>
  <c r="BD19" i="6" l="1"/>
  <c r="BE4" i="6"/>
  <c r="BE19" i="6" l="1"/>
  <c r="BF4" i="6"/>
  <c r="BF19" i="6" l="1"/>
  <c r="BG4" i="6"/>
  <c r="BG19" i="6" l="1"/>
  <c r="BH4" i="6"/>
  <c r="BH19" i="6" l="1"/>
  <c r="BI4" i="6"/>
  <c r="BJ4" i="6" l="1"/>
  <c r="BI19" i="6"/>
  <c r="BJ19" i="6" l="1"/>
  <c r="BK4" i="6"/>
  <c r="BK19" i="6" l="1"/>
  <c r="BL4" i="6"/>
  <c r="BL19" i="6" l="1"/>
  <c r="BM4" i="6"/>
  <c r="BN4" i="6" l="1"/>
  <c r="BM19" i="6"/>
  <c r="BN19" i="6" l="1"/>
  <c r="BO4" i="6"/>
  <c r="BO19" i="6" l="1"/>
  <c r="BP4" i="6"/>
  <c r="BP19" i="6" l="1"/>
  <c r="BQ4" i="6"/>
  <c r="BQ19" i="6" s="1"/>
</calcChain>
</file>

<file path=xl/sharedStrings.xml><?xml version="1.0" encoding="utf-8"?>
<sst xmlns="http://schemas.openxmlformats.org/spreadsheetml/2006/main" count="538" uniqueCount="287">
  <si>
    <t>Actions ouvertes</t>
  </si>
  <si>
    <t>Total</t>
  </si>
  <si>
    <t>Actions en retard</t>
  </si>
  <si>
    <t>Département</t>
  </si>
  <si>
    <t>DSI</t>
  </si>
  <si>
    <t>MOE</t>
  </si>
  <si>
    <t>AMO</t>
  </si>
  <si>
    <t>DPM</t>
  </si>
  <si>
    <t>DNTE</t>
  </si>
  <si>
    <t>SRP</t>
  </si>
  <si>
    <t>Sources</t>
  </si>
  <si>
    <t>Rédaction</t>
  </si>
  <si>
    <t>ITG</t>
  </si>
  <si>
    <t>Infra</t>
  </si>
  <si>
    <t>N°</t>
  </si>
  <si>
    <t>P</t>
  </si>
  <si>
    <t>Action</t>
  </si>
  <si>
    <t>Origine</t>
  </si>
  <si>
    <t>Acteur</t>
  </si>
  <si>
    <t>Échéance</t>
  </si>
  <si>
    <t>Réalisation</t>
  </si>
  <si>
    <t>Priorité</t>
  </si>
  <si>
    <t>Etat</t>
  </si>
  <si>
    <t>Commentaire</t>
  </si>
  <si>
    <t>P1</t>
  </si>
  <si>
    <t>Réalisé</t>
  </si>
  <si>
    <t>En attente</t>
  </si>
  <si>
    <t>P2</t>
  </si>
  <si>
    <t>Erwin</t>
  </si>
  <si>
    <t>???</t>
  </si>
  <si>
    <t>P3</t>
  </si>
  <si>
    <t>A faire</t>
  </si>
  <si>
    <t>En cours</t>
  </si>
  <si>
    <t>Annulé</t>
  </si>
  <si>
    <t>Estimation</t>
  </si>
  <si>
    <t>COPRO</t>
  </si>
  <si>
    <t>Agnes</t>
  </si>
  <si>
    <t>Matthieu</t>
  </si>
  <si>
    <t>Loic / Matthieu</t>
  </si>
  <si>
    <t>Epiphane</t>
  </si>
  <si>
    <t>Actions Garantie</t>
  </si>
  <si>
    <t>Programme REFDOC</t>
  </si>
  <si>
    <t>5 Jiras en attente</t>
  </si>
  <si>
    <t>Définir les messages d'erreur de prodControle + Affecter tout aux produceurs</t>
  </si>
  <si>
    <t>Organiser une réunion de travail avec la DPM sur le sujet 
Désigner un référent / garant des workflows en PROD après déploiement par la DSI</t>
  </si>
  <si>
    <t>Amélioration de la saisie des renvois</t>
  </si>
  <si>
    <t>Sebastien / Tristan</t>
  </si>
  <si>
    <r>
      <t xml:space="preserve">Modifs à faire faire dans une PCR Serna
Important pour la conduite du changement : Les champs sont dans l'ordre inverse de l'ordre de saisie actuel
</t>
    </r>
    <r>
      <rPr>
        <b/>
        <sz val="8"/>
        <color rgb="FFC00000"/>
        <rFont val="Arial"/>
        <family val="2"/>
      </rPr>
      <t>A suivre dans Jira</t>
    </r>
  </si>
  <si>
    <t>Mise à jour des PDF pour les Textes</t>
  </si>
  <si>
    <t>Jira à créer</t>
  </si>
  <si>
    <t>Mettre en place un nouvel environement de RECETTE à l'image de la PREPROD</t>
  </si>
  <si>
    <t>RECETTE devient INTEGRATION</t>
  </si>
  <si>
    <t>Envoi auto entre Framework / prodPubli et plateforme de publication (BU ou Chaine Actus)</t>
  </si>
  <si>
    <t>A suivre dans Jira</t>
  </si>
  <si>
    <t>Mise à jour des defpubs</t>
  </si>
  <si>
    <t>Gestion des référentiels REFDOC</t>
  </si>
  <si>
    <r>
      <t xml:space="preserve">Réunion réalisée le </t>
    </r>
    <r>
      <rPr>
        <b/>
        <sz val="8"/>
        <color rgb="FF00B0F0"/>
        <rFont val="Arial"/>
        <family val="2"/>
      </rPr>
      <t>04/02</t>
    </r>
    <r>
      <rPr>
        <sz val="8"/>
        <rFont val="Arial"/>
        <family val="2"/>
      </rPr>
      <t xml:space="preserve"> et CR diffusé le </t>
    </r>
    <r>
      <rPr>
        <b/>
        <sz val="8"/>
        <color rgb="FF00B0F0"/>
        <rFont val="Arial"/>
        <family val="2"/>
      </rPr>
      <t>05/02</t>
    </r>
    <r>
      <rPr>
        <sz val="8"/>
        <rFont val="Arial"/>
        <family val="2"/>
      </rPr>
      <t>.
De nouveaux ateliers récurrents sont planifiés tous les mardi sur le sujet jusqu'à Avril
Annulé par l'action #19</t>
    </r>
  </si>
  <si>
    <t>Il faudrait mieux représenter les niveaux de titres dans la feuille de style de Serna, avec autres chose que juste un code couleur</t>
  </si>
  <si>
    <t>Erwin / Florent</t>
  </si>
  <si>
    <t>Conception traitemen,t des images</t>
  </si>
  <si>
    <t>Benjamin / Loic</t>
  </si>
  <si>
    <t xml:space="preserve">Au 01/07 : 
SFD livrée par Loic, sans remarque à ce jour 
•  Non encore lue / validée par Agnes
• Nous pouvons tout de même lancer les développements car il y a très peu de risque qu’Agnes ai quelque chose à en redire
• Jerome vient de démarrer les développements
Reste à définir la partie nommage des images -&gt; Atelier à organiser -&gt; Action Agnes
</t>
  </si>
  <si>
    <t xml:space="preserve"> </t>
  </si>
  <si>
    <t xml:space="preserve">Vérifier auprès de Florence qu’il y a les sources dans le DVD MTIS </t>
  </si>
  <si>
    <t>Erwn</t>
  </si>
  <si>
    <t>Non, iil n'y a pas besoin des Sources</t>
  </si>
  <si>
    <t>Nouvelle webapp via PUMA: il faut étudier le fait d’avoir une webapp PUMA (qui serait donc compatible à tous OS Windows) -&gt; Contacter Pablo Delgado pour voir le coût d’une telle solution</t>
  </si>
  <si>
    <t>Reunion Arret DVD</t>
  </si>
  <si>
    <t>Fabien</t>
  </si>
  <si>
    <t xml:space="preserve">Solution non envisageable pour fin T2 2015
Il faudrait éviter d’avoir un frontal de plus à maintenir et discuter de l’architecture d’une telle solution par rapport à la plateforme PUMA existante avec Pablo
</t>
  </si>
  <si>
    <t xml:space="preserve">Proposition de tablette pour permettre au client d’utiliser la plateforme PUMA </t>
  </si>
  <si>
    <t>Christophe DERIOT</t>
  </si>
  <si>
    <t>Il faut étudier le délai de migration des mémentos (et des abonnés) d’iMémento dans PUMA avant de savoir s’il est envisageable d’avoir terminé cette migration fin T2 2015</t>
  </si>
  <si>
    <t>Specification détaillée des Controles et Traitements (Retro-doc)</t>
  </si>
  <si>
    <t>Sebastien / Loic</t>
  </si>
  <si>
    <t>Repartager le smartsheet à Agnes, Florence et Benjamin</t>
  </si>
  <si>
    <t>Partagé à Agnes. Expliquer à la Florence et Benjamin comment ca marche</t>
  </si>
  <si>
    <t>Organiser une petite présentation du Workflow CXF avec les différents interlocuteurs projets qui en auraient besoin</t>
  </si>
  <si>
    <t>Organiser de nouvelles instances de COPRO en fonction des agendas respectifs de V. Maugeri et DPM.</t>
  </si>
  <si>
    <t>Reflexion elargie  à mener sur la gestions organisationnelle autour des refdocs</t>
  </si>
  <si>
    <t>Epiphane / Banjamin / Sebastien / Users Sources / Redactions</t>
  </si>
  <si>
    <t>Atelier recurrrent sur la problematique refdoc</t>
  </si>
  <si>
    <t>Faire monter en compétence la DPM (Benjamin + Pole montage UIs) sur le Framework + Serna</t>
  </si>
  <si>
    <t>Benjamin doit prendre le relai la dessus vis-à-vis de Epiphane pour des parties plus technique : Stand-by pendant quelques semaines
Ressenti de 2 mois necessaires à continuer avec Epiphane comme cela.
Organiser des points systématiques entre Benjamin, Epiphane et Denis.
Suggestion de mettre en place des niveaux de support avec Benjamin en niveau 1. Benjamin n'a pas la bande passante pour le moment (delai à voir).
Faire faire une doc par Epiphane des sujets les plus recurrents
Benjamin doit participer aux ateliers du Mardi avec les utilisateurs, pour rencontrer les difficultés et monter en compétence sur la solution.</t>
  </si>
  <si>
    <t>Faire monter en compétence l'Infra sur Xdb</t>
  </si>
  <si>
    <t>Erwin / Philippe</t>
  </si>
  <si>
    <t>Amélioration stabilité et performances framework / xdb</t>
  </si>
  <si>
    <t>Erwin / Infra / FlatIron</t>
  </si>
  <si>
    <t>Analyse des deadLocks. Creation d'indexs, Configs serveurs, Patchs applicatifs</t>
  </si>
  <si>
    <t xml:space="preserve">Solution de saisie rapide de refdoc avec fichier Excel absorbé par le système </t>
  </si>
  <si>
    <t>Risques FR</t>
  </si>
  <si>
    <t>A concevoir / chiffrer</t>
  </si>
  <si>
    <t>Mise en place d'un plateforme de secours pour la PROD</t>
  </si>
  <si>
    <t>Erwin / Hervé / Infra</t>
  </si>
  <si>
    <t>Installation du patch en PROD (optim abonnement)</t>
  </si>
  <si>
    <t>Comité perf</t>
  </si>
  <si>
    <t>Infra (Jimmy)</t>
  </si>
  <si>
    <t>Installation de sondes</t>
  </si>
  <si>
    <t>Infra (Philippe)</t>
  </si>
  <si>
    <t>Cette action va prendre plusieurs semaines car des questions budgétaires restent à traiter : Qui paye ?</t>
  </si>
  <si>
    <t>Métriques tomcat</t>
  </si>
  <si>
    <t>Hervé / infra (Mickael) / FlatIron</t>
  </si>
  <si>
    <t>Hervé a fait une étude.
FlatIron nous a proposé des métriques
Il reste à mettre cela en place sous Nagios avec Mikael
Nous aimerions aussi un netstat pour le nombre d'utilisateurs physiques connectés au front</t>
  </si>
  <si>
    <t>Fournir les environnements à FlatIron</t>
  </si>
  <si>
    <t>Analyse et mise en place d’indexs</t>
  </si>
  <si>
    <t>FlatIron</t>
  </si>
  <si>
    <t>Patch livré, cf action #40</t>
  </si>
  <si>
    <t xml:space="preserve">Optimiser les requêtes sans namespace </t>
  </si>
  <si>
    <t xml:space="preserve">Appliquer les précos de l’Audit Genigraph. </t>
  </si>
  <si>
    <t>Notamment sur le serveur de discovery.
Reduction des logs</t>
  </si>
  <si>
    <t>Redauction des pubmanagers</t>
  </si>
  <si>
    <t>Infra (Philippe) / FlatIron</t>
  </si>
  <si>
    <t xml:space="preserve">Revoir le paramétrage du serveur XDB de manière optimale avec FlatIron </t>
  </si>
  <si>
    <t>il faudrait peut-être baisser la mémoire du serveur XDB. Aujourd’hui la mémoire est largement surdimensionnée et cela peut peut-être avoir des effets pervers.
Le CPU comme la mémoire du serveur XDB ne semblent pas arriver à saturation . Un meilleur paramétrage au niveau serveur est certainement possible.</t>
  </si>
  <si>
    <t>Devis en cours pour la séparation des fils d’attente de prodControle et prodPubli</t>
  </si>
  <si>
    <t>120h de boulot</t>
  </si>
  <si>
    <t>Analyse des deadlocks</t>
  </si>
  <si>
    <t>Ils n'arrivent pas à reproduire
Ouverture des acces JMX en VPN sur notre plateforme (cf action #44)</t>
  </si>
  <si>
    <t>Cleaning job</t>
  </si>
  <si>
    <t>Devis pour eviter les jobs concurrents sur le meme contenu</t>
  </si>
  <si>
    <t>30h -&gt; Trop couteux</t>
  </si>
  <si>
    <t>Ficiers temporaire XDB</t>
  </si>
  <si>
    <t>FlatIron / ITG</t>
  </si>
  <si>
    <r>
      <t>The Core team will have the patch ready by EOD on April 14th.  Ashish will load the patch into the Flatirons test environment and run a smoke test before delivering it to EFL by Monday, April 20th.</t>
    </r>
    <r>
      <rPr>
        <b/>
        <sz val="8"/>
        <color rgb="FFFF0000"/>
        <rFont val="Arial"/>
        <family val="2"/>
      </rPr>
      <t xml:space="preserve">
Patch installé en PROD le 23/04</t>
    </r>
  </si>
  <si>
    <t>Flag Setting Libraries in the xDB Rrepository</t>
  </si>
  <si>
    <r>
      <t xml:space="preserve">Test the effect / benefit of changing the flag for the concurrent libraries.  This will be Gareth’s focus for the majority of the week.
</t>
    </r>
    <r>
      <rPr>
        <b/>
        <sz val="8"/>
        <color rgb="FFFF0000"/>
        <rFont val="Arial"/>
        <family val="2"/>
      </rPr>
      <t>Procédure déroulée en PROD le 27/04</t>
    </r>
  </si>
  <si>
    <t>Installation patch du 24/03</t>
  </si>
  <si>
    <t>Epiphane / Infra (jimmy)</t>
  </si>
  <si>
    <t>Indexs refdoc + Cleanup job</t>
  </si>
  <si>
    <t>Pipeline XSLT</t>
  </si>
  <si>
    <t>Tirs de tests en situation reelle sur la PROD à organiser</t>
  </si>
  <si>
    <t>A faire avant mi-Avril pour garantir la robustesse pour le FR
Agnes revient vers nous le 02/04 pour l'organisation de ces tests.
Voir pour la saisie d'un FR. Diversifier les scenarii et ne pas ecarter les fils d'infos</t>
  </si>
  <si>
    <t>Tirs de perfs avec v-users</t>
  </si>
  <si>
    <t>Sebastien / Erwin</t>
  </si>
  <si>
    <t>Ouverture Jconsole en VPN</t>
  </si>
  <si>
    <t>Infra (Maxime)</t>
  </si>
  <si>
    <r>
      <t xml:space="preserve">Ouvrir le port 7004 ne suffit pas.
Il a fallu ouvrir tous les ports pour que ca marche. </t>
    </r>
    <r>
      <rPr>
        <b/>
        <sz val="8"/>
        <color rgb="FFFF0000"/>
        <rFont val="Arial"/>
        <family val="2"/>
      </rPr>
      <t>A revoir</t>
    </r>
    <r>
      <rPr>
        <sz val="8"/>
        <rFont val="Arial"/>
        <family val="2"/>
      </rPr>
      <t>.</t>
    </r>
  </si>
  <si>
    <t>Stabilisation BPIM</t>
  </si>
  <si>
    <r>
      <rPr>
        <b/>
        <sz val="8"/>
        <color rgb="FF0070C0"/>
        <rFont val="Arial"/>
        <family val="2"/>
      </rPr>
      <t>Action Agnes</t>
    </r>
    <r>
      <rPr>
        <sz val="8"/>
        <rFont val="Arial"/>
        <family val="2"/>
      </rPr>
      <t xml:space="preserve"> : Formaliser les demandes de Bruno MM
Au 22/06 : CXF-1203 à  CXF-1210</t>
    </r>
  </si>
  <si>
    <t>Stabilisation de la plateforme de PREPROD</t>
  </si>
  <si>
    <t>IT Ops / FlatIron</t>
  </si>
  <si>
    <t>Il faut appeler le 2951 quand cela arrive, pour analyses IT Ops. Analyses en cours côté FlatIron
Iau 24/06 : Cela s'est de nouveau dégradé cette semaine, de facon assez permanente</t>
  </si>
  <si>
    <t>Problème de Marie-Anne avec le fil Affaires depuis la sortie de La Quotidienne</t>
  </si>
  <si>
    <t>Epiphane / FlatIron</t>
  </si>
  <si>
    <t>Les UIs étant dupliquées pour La Quotidienne, Marie-Anne voit 2x plus d’UIs (dont la moitié inutile) dans son filtre de fil d’info
Evol Fmk nécessaire -&gt; Ajouter produitCX aux critères de filtre</t>
  </si>
  <si>
    <t>Recette du flux MADA</t>
  </si>
  <si>
    <t>Carine</t>
  </si>
  <si>
    <t xml:space="preserve"> Doit marcher en flux automatique
 Les Sources RJF ne seront pas dans EJP avant Fin octobre
 Il faut s’assurer que le flux MADA fonctionne bien -&gt; Recette à organiser avec service sources
 Voir si il faut industrialiser le flux provenant de base JP (avec le suivi entre refdocs)
</t>
  </si>
  <si>
    <t>#</t>
  </si>
  <si>
    <t>Commentaires</t>
  </si>
  <si>
    <t>Date de création</t>
  </si>
  <si>
    <t>Chef de projet</t>
  </si>
  <si>
    <t>Date de la version</t>
  </si>
  <si>
    <t>Numéro de version</t>
  </si>
  <si>
    <t>Nom / Code projet</t>
  </si>
  <si>
    <t xml:space="preserve">Action JC au 24/10 : Philipe cherche un exemple de tableau sur les codes  pour montrer le rendu de la différence avec des tableaux
Au 06/11 ; Limitation émise sur le sujet, pour le bilan
Prérequis JC =&gt; Charger des contenus </t>
  </si>
  <si>
    <t>Référence</t>
  </si>
  <si>
    <t>Programme PG01/Portfolio PF02</t>
  </si>
  <si>
    <t>Mme.Dupont</t>
  </si>
  <si>
    <t>Service/Organisation</t>
  </si>
  <si>
    <t>Marketing/ Société XY</t>
  </si>
  <si>
    <t>Échéance planifiée</t>
  </si>
  <si>
    <t>Date de fin réelle</t>
  </si>
  <si>
    <t>P4</t>
  </si>
  <si>
    <t>Chantal Dupont</t>
  </si>
  <si>
    <t>Estimation charge de travail SAP30</t>
  </si>
  <si>
    <t>Etude d'opportunité</t>
  </si>
  <si>
    <t>Centre de compétence SAP</t>
  </si>
  <si>
    <t xml:space="preserve">Estimation des ressources nécessaires
</t>
  </si>
  <si>
    <t>Daniel Château</t>
  </si>
  <si>
    <t>Estimation des coûts infrastructure</t>
  </si>
  <si>
    <t xml:space="preserve">Peut impacter le budget
</t>
  </si>
  <si>
    <t>Estimation des coût de licences</t>
  </si>
  <si>
    <t>Besoin pour l'estimation budgétaire</t>
  </si>
  <si>
    <t>Estimation coûts salariaux</t>
  </si>
  <si>
    <t>Ressources Humaines</t>
  </si>
  <si>
    <t>Complète les besoins du budget</t>
  </si>
  <si>
    <t>Rédaction de la Charte Projet</t>
  </si>
  <si>
    <t>Approbation de la Charte Projet</t>
  </si>
  <si>
    <t>Préparation de la charte projet</t>
  </si>
  <si>
    <t>Charte</t>
  </si>
  <si>
    <t>Template et recueil des besoins d'informations</t>
  </si>
  <si>
    <t>Estimation coûts/délais fonctionnels Finances</t>
  </si>
  <si>
    <t>Monique Davant</t>
  </si>
  <si>
    <t>Besoins fonctionnels estimés</t>
  </si>
  <si>
    <t>Estimation coûts/délais fonctionnels Ventes</t>
  </si>
  <si>
    <t>Denise Attali</t>
  </si>
  <si>
    <t>Estimation coûts/délais fonctionnels Achats</t>
  </si>
  <si>
    <t>Jean Albert</t>
  </si>
  <si>
    <t>Estimation coûts/délais fonctionnels Logistique</t>
  </si>
  <si>
    <t>Eric Duteil</t>
  </si>
  <si>
    <t>Chantal Dupont / Olivier Robespierre</t>
  </si>
  <si>
    <t>Comité de direction</t>
  </si>
  <si>
    <t>Revue et corrigée. Envoi par mail le 29-04-21 au comité de direction pour préparation à la réunion du 30-04-21.</t>
  </si>
  <si>
    <t>Macro planning</t>
  </si>
  <si>
    <t>Support réunion de lancement</t>
  </si>
  <si>
    <t>Expression des besoins</t>
  </si>
  <si>
    <t>Matrice des exigences</t>
  </si>
  <si>
    <t>Cahier des charges</t>
  </si>
  <si>
    <t>Plan de projet</t>
  </si>
  <si>
    <t>Plan de charge</t>
  </si>
  <si>
    <t>Registre des problèmes et risques</t>
  </si>
  <si>
    <t>Registre des parties prenantes</t>
  </si>
  <si>
    <t>Approbation de l'Etude d'opportunité</t>
  </si>
  <si>
    <t>Approbation unanime</t>
  </si>
  <si>
    <t>Gestion Projet</t>
  </si>
  <si>
    <t>Chantal Dupont / Coordinateurs SAP</t>
  </si>
  <si>
    <t>Chantal Dupont / Olivier Robespierre / Coordinateurs SAP</t>
  </si>
  <si>
    <t>Conception générale  Finances</t>
  </si>
  <si>
    <t>Conception générale Ventes</t>
  </si>
  <si>
    <t>Conception générale  Achats</t>
  </si>
  <si>
    <t>Conception générale  Logistique</t>
  </si>
  <si>
    <t>Conception générale  Infrastructure</t>
  </si>
  <si>
    <t>Conception générale  Production</t>
  </si>
  <si>
    <t>Rédaction du cahier des charges</t>
  </si>
  <si>
    <t>Etablissement du Planning</t>
  </si>
  <si>
    <t>Etablissement Plan de Communication</t>
  </si>
  <si>
    <t>Planification</t>
  </si>
  <si>
    <t>Jacques Meunier</t>
  </si>
  <si>
    <t>Bernard Dupuis</t>
  </si>
  <si>
    <t>Approbation Cahier des charges et Planning</t>
  </si>
  <si>
    <t>Selon estimation des experts</t>
  </si>
  <si>
    <t>Réunion planifiée et confirmée</t>
  </si>
  <si>
    <t>V1.2</t>
  </si>
  <si>
    <t>Assurez-vous que les macros sont activées pour le bon fonctionnement du template.</t>
  </si>
  <si>
    <t>ID :</t>
  </si>
  <si>
    <t>Priorité:</t>
  </si>
  <si>
    <t>Utilisation du template du suivi des actions</t>
  </si>
  <si>
    <t>Actions:</t>
  </si>
  <si>
    <t>Origine:</t>
  </si>
  <si>
    <t>Échéance planifiée:</t>
  </si>
  <si>
    <t>Réalisation:</t>
  </si>
  <si>
    <t>Date de fin réelle:</t>
  </si>
  <si>
    <t>Etat:</t>
  </si>
  <si>
    <t>Commentaires:</t>
  </si>
  <si>
    <t>Notez vos commentaires</t>
  </si>
  <si>
    <t>Suivez la numérotation des ID dans l'ordre chronologique</t>
  </si>
  <si>
    <t xml:space="preserve">Seuil de la zone d'avertissement orange (en jours) </t>
  </si>
  <si>
    <t>I. Exploitation du fichier</t>
  </si>
  <si>
    <t>Rendez-vous dans la feuille "Actions", et remplissez les colonnes suivantes :</t>
  </si>
  <si>
    <t>Commencez par lister les actions à suivre et marquez en gras les jalons. Par exemple ici le premier jalon est "approbation de la charte".</t>
  </si>
  <si>
    <t>Mettez un ordre de priorité: entre 1 et 4. La liste des priorités est consultables depuis la feuille "paramètres".</t>
  </si>
  <si>
    <t>Mettez à jour le statut de traitement que vous pouvez consulter depuis la feuille "paramètres".
Notez que le changement de statut sur la feuille"Actions" se reflète par une couleur, pour le distinguer.</t>
  </si>
  <si>
    <t>A quoi sert le code couleur ?</t>
  </si>
  <si>
    <t>Vert</t>
  </si>
  <si>
    <t>La ligne est automatiquement coloriée en vert lorsque le statut passe en "réalisé".
Lorsqu'une action passe au statut "réalisé", la ligne prend la couleur verte. Si dans ce cas, le pourcentage de réalisation était à moins de 100%, il sera mis à 100% automatiquement dès que vous passez au statut "réalisé".
Et à contrario, si vous repassez du statut "réalisé" à un autre statut, le pourcentage de réalisation passe à 0%.</t>
  </si>
  <si>
    <t>Rouge</t>
  </si>
  <si>
    <r>
      <t xml:space="preserve">Deux champs peuvent passer au rouge : la date planifiée, et la date de fin réelle.
</t>
    </r>
    <r>
      <rPr>
        <b/>
        <sz val="12"/>
        <color theme="1"/>
        <rFont val="Candara"/>
        <family val="2"/>
      </rPr>
      <t>Date planifiée</t>
    </r>
    <r>
      <rPr>
        <sz val="12"/>
        <color theme="1"/>
        <rFont val="Candara"/>
        <family val="2"/>
      </rPr>
      <t xml:space="preserve"> : cette date est en rouge lorsqu'elle est antérieure à la date du jour
</t>
    </r>
    <r>
      <rPr>
        <b/>
        <sz val="12"/>
        <color theme="1"/>
        <rFont val="Candara"/>
        <family val="2"/>
      </rPr>
      <t xml:space="preserve">Date de fin réelle </t>
    </r>
    <r>
      <rPr>
        <sz val="12"/>
        <color theme="1"/>
        <rFont val="Candara"/>
        <family val="2"/>
      </rPr>
      <t>: cette date passe au rouge lorsqu'elle a dépassé la date planifiée. Elle reste au rouge même si elle a été réalisée en retard.</t>
    </r>
  </si>
  <si>
    <t>Orange</t>
  </si>
  <si>
    <r>
      <t xml:space="preserve">La date planifiée passe à la couleur orange lorsqu'elle se rapproche de la date du jour. Ici le seuil d'avertissement pris en compte est de 5 jours.
Ainsi, si par exemple </t>
    </r>
    <r>
      <rPr>
        <b/>
        <sz val="12"/>
        <color theme="1"/>
        <rFont val="Candara"/>
        <family val="2"/>
      </rPr>
      <t>Date planifiée</t>
    </r>
    <r>
      <rPr>
        <sz val="12"/>
        <color theme="1"/>
        <rFont val="Candara"/>
        <family val="2"/>
      </rPr>
      <t xml:space="preserve"> = 22/10/2021 sachant que la </t>
    </r>
    <r>
      <rPr>
        <b/>
        <sz val="12"/>
        <color theme="1"/>
        <rFont val="Candara"/>
        <family val="2"/>
      </rPr>
      <t>Date du jour</t>
    </r>
    <r>
      <rPr>
        <sz val="12"/>
        <color theme="1"/>
        <rFont val="Candara"/>
        <family val="2"/>
      </rPr>
      <t xml:space="preserve"> (date d'aujourd'hui) = 18/10/2021. La date planifiée passera en orange.</t>
    </r>
  </si>
  <si>
    <t>II. Personnalisation du fichier</t>
  </si>
  <si>
    <t>Ajout, suppression, ou modification d'un élément</t>
  </si>
  <si>
    <t>Toute modification est possible depuis la feuille "Paramétres".</t>
  </si>
  <si>
    <t>Modification du seuil d'avertissement</t>
  </si>
  <si>
    <t>Vous pouvez définir votre propre seuil d'avertissement dans les paramètres. Pour ce faire, procédez comme suit :</t>
  </si>
  <si>
    <t>1. Rendez-vous dans la feuille des paramétres
2. Remplacez la valeur existante par la nouvelle valeur</t>
  </si>
  <si>
    <t>Notez l'origine de l'action. Cela peut être en relation avec un livrable précis comme l'étude d'opportunité, ou en relation avec la gestion globale du projet.</t>
  </si>
  <si>
    <t>Nommez la personne en charge de l'exécution de l'action.</t>
  </si>
  <si>
    <t>Mettez une deadline prévisionnelle pour l'achèvement de l'action.</t>
  </si>
  <si>
    <t>Mettez à jour le pourcentage de réalisation de l'action en choisissant un pourcentage dans la liste déroulante (0%, 25%, 50%, 75%, 100%).</t>
  </si>
  <si>
    <t>Notez la date de fin réelle de l'action suite à son achèvement effectif.</t>
  </si>
  <si>
    <t>Responsable</t>
  </si>
  <si>
    <t>Responsable :</t>
  </si>
  <si>
    <t>Déverouiller la feuille à l'aide du mot de passe fourni</t>
  </si>
  <si>
    <t>Si vous souhaitez modifier un élément dans le paramètrage, il faut utiliser le mot de passe fourni, comme montré dans la capture ci-après.</t>
  </si>
  <si>
    <t>Feuille "Actions"</t>
  </si>
  <si>
    <t>Pour ajouter une ligne à la fin du tableau, il suffit de copier la dernière ligne et la coller juste en-dessous.</t>
  </si>
  <si>
    <t>Feuille "Paramétres"</t>
  </si>
  <si>
    <t>Pour ajouter un nouvel élément, il suffit de taper le nouveau libellé juste en dessous de la dernière ligne, comme montré dans la capture ci-dessous :</t>
  </si>
  <si>
    <t>Pour supprimer un élément, il suffit de sélectionner la cellule à supprimer. Ensuite cliquez sur le bouton de suppression en rouge, comme montré dans la capture ci-dessous :</t>
  </si>
  <si>
    <t>Pour simplement changer un libellé, il suffit de remplacer le libellé existant par le nouveau.</t>
  </si>
  <si>
    <t>Numéro de la Colonne "Échéance planifiée"</t>
  </si>
  <si>
    <t>Numéro de la Colonne "Réalisation"</t>
  </si>
  <si>
    <t>Numéro de la Colonne "Date de fin réelle"</t>
  </si>
  <si>
    <t>Numéro de la Colonne "Etat"</t>
  </si>
  <si>
    <t>Numéro de la Premiere Colonne</t>
  </si>
  <si>
    <t>Numéro de la Derniere Colonne</t>
  </si>
  <si>
    <t>Numéro de la Premiere Ligne des En-têtes</t>
  </si>
  <si>
    <t>Ajout ou suppression d'une colonne</t>
  </si>
  <si>
    <t>&gt; Alors vous pouvez le faire directement sans rien changer dans les paramètres.</t>
  </si>
  <si>
    <t>&gt; Alors il faut d'abord dans la feuille "paramètres" pour ajuster l'ordre des colonnes mentionnées.
Cet ajustement de l'ordre des colonnes est nécessaire pour le bon fonctionnement des macros. Voici comment procéder :</t>
  </si>
  <si>
    <r>
      <t xml:space="preserve">Par contre, si vous souhaitez ajouter une nouvelle colonne ou supprimer une colonne qui se trouve </t>
    </r>
    <r>
      <rPr>
        <b/>
        <u/>
        <sz val="12"/>
        <rFont val="Candara"/>
        <family val="2"/>
      </rPr>
      <t>avant la colonne "Etat"</t>
    </r>
    <r>
      <rPr>
        <sz val="12"/>
        <rFont val="Candara"/>
        <family val="2"/>
      </rPr>
      <t xml:space="preserve">, </t>
    </r>
  </si>
  <si>
    <r>
      <t xml:space="preserve">Si vous souhaitez ajouter ou supprimer une colonne qui se trouve </t>
    </r>
    <r>
      <rPr>
        <b/>
        <u/>
        <sz val="12"/>
        <rFont val="Candara"/>
        <family val="2"/>
      </rPr>
      <t>après la colonne "Etat",</t>
    </r>
  </si>
  <si>
    <r>
      <rPr>
        <u/>
        <sz val="12"/>
        <rFont val="Candara"/>
        <family val="2"/>
      </rPr>
      <t>Dans la feuille des actions</t>
    </r>
    <r>
      <rPr>
        <sz val="12"/>
        <rFont val="Candara"/>
        <family val="2"/>
      </rPr>
      <t xml:space="preserve"> :</t>
    </r>
  </si>
  <si>
    <r>
      <rPr>
        <u/>
        <sz val="12"/>
        <rFont val="Candara"/>
        <family val="2"/>
      </rPr>
      <t>Dans les paramètres</t>
    </r>
    <r>
      <rPr>
        <sz val="12"/>
        <rFont val="Candara"/>
        <family val="2"/>
      </rPr>
      <t xml:space="preserve"> :
</t>
    </r>
    <r>
      <rPr>
        <i/>
        <sz val="12"/>
        <color theme="3"/>
        <rFont val="Candara"/>
        <family val="2"/>
      </rPr>
      <t xml:space="preserve">Exemple : Ajout d'une colonne juste avant la colonne "Priorité" </t>
    </r>
    <r>
      <rPr>
        <sz val="12"/>
        <rFont val="Candara"/>
        <family val="2"/>
      </rPr>
      <t xml:space="preserve">
Mettre le chiffre 11 au lieu de 10 pour la colonne "Date de fin réelle"
Puis 12 au lieu de 10 pour la colonne "Etat"
Et enfin, 13 au lieu de 12 pour la colonne "Derniere colonne"</t>
    </r>
  </si>
  <si>
    <t>SAP30/CMRL</t>
  </si>
  <si>
    <t>28/11/2022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</si>
</sst>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8" x14ac:knownFonts="1">
    <font>
      <sz val="10"/>
      <name val="Arial"/>
    </font>
    <font>
      <sz val="11"/>
      <color theme="1"/>
      <name val="Calibri"/>
      <family val="2"/>
      <scheme val="minor"/>
    </font>
    <font>
      <sz val="11"/>
      <color theme="1"/>
      <name val="Calibri"/>
      <family val="2"/>
      <scheme val="minor"/>
    </font>
    <font>
      <sz val="8"/>
      <name val="Arial"/>
      <family val="2"/>
    </font>
    <font>
      <b/>
      <sz val="10"/>
      <name val="Arial"/>
      <family val="2"/>
    </font>
    <font>
      <sz val="10"/>
      <name val="Arial"/>
      <family val="2"/>
    </font>
    <font>
      <b/>
      <sz val="36"/>
      <name val="Arial"/>
      <family val="2"/>
    </font>
    <font>
      <sz val="10"/>
      <color theme="0"/>
      <name val="Arial"/>
      <family val="2"/>
    </font>
    <font>
      <b/>
      <sz val="10"/>
      <color theme="4" tint="0.79998168889431442"/>
      <name val="Arial"/>
      <family val="2"/>
    </font>
    <font>
      <b/>
      <sz val="10"/>
      <color theme="3"/>
      <name val="Arial"/>
      <family val="2"/>
    </font>
    <font>
      <b/>
      <sz val="8"/>
      <color rgb="FFC00000"/>
      <name val="Arial"/>
      <family val="2"/>
    </font>
    <font>
      <b/>
      <sz val="10"/>
      <color theme="0"/>
      <name val="Arial"/>
      <family val="2"/>
    </font>
    <font>
      <b/>
      <sz val="8"/>
      <color rgb="FF0070C0"/>
      <name val="Arial"/>
      <family val="2"/>
    </font>
    <font>
      <b/>
      <sz val="8"/>
      <color rgb="FFFF0000"/>
      <name val="Arial"/>
      <family val="2"/>
    </font>
    <font>
      <b/>
      <sz val="8"/>
      <color rgb="FF00B0F0"/>
      <name val="Arial"/>
      <family val="2"/>
    </font>
    <font>
      <u/>
      <sz val="10"/>
      <color theme="10"/>
      <name val="Arial"/>
      <family val="2"/>
    </font>
    <font>
      <u/>
      <sz val="10"/>
      <color theme="11"/>
      <name val="Arial"/>
      <family val="2"/>
    </font>
    <font>
      <b/>
      <sz val="11"/>
      <color theme="1"/>
      <name val="Candara"/>
      <family val="2"/>
    </font>
    <font>
      <sz val="11"/>
      <color theme="1"/>
      <name val="Candara"/>
      <family val="2"/>
    </font>
    <font>
      <b/>
      <sz val="20"/>
      <color rgb="FF62BD8A"/>
      <name val="Candara"/>
      <family val="2"/>
    </font>
    <font>
      <b/>
      <sz val="18"/>
      <color rgb="FF62BD8A"/>
      <name val="Candara"/>
      <family val="2"/>
    </font>
    <font>
      <b/>
      <sz val="13.5"/>
      <color rgb="FF00B050"/>
      <name val="Candara"/>
      <family val="2"/>
    </font>
    <font>
      <sz val="13.5"/>
      <color rgb="FF00B050"/>
      <name val="Candara"/>
      <family val="2"/>
    </font>
    <font>
      <sz val="11"/>
      <color rgb="FFFF0000"/>
      <name val="Candara"/>
      <family val="2"/>
    </font>
    <font>
      <sz val="14"/>
      <color rgb="FFFF0000"/>
      <name val="Calibri"/>
      <family val="2"/>
    </font>
    <font>
      <b/>
      <sz val="11"/>
      <color rgb="FF000000"/>
      <name val="Calibri"/>
      <family val="2"/>
    </font>
    <font>
      <sz val="11"/>
      <name val="Candara"/>
      <family val="2"/>
    </font>
    <font>
      <sz val="11"/>
      <color rgb="FF000000"/>
      <name val="Calibri"/>
      <family val="2"/>
    </font>
    <font>
      <b/>
      <sz val="11"/>
      <color rgb="FF439B69"/>
      <name val="Candara"/>
      <family val="2"/>
    </font>
    <font>
      <sz val="11"/>
      <color rgb="FF439B69"/>
      <name val="Candara"/>
      <family val="2"/>
    </font>
    <font>
      <sz val="10"/>
      <name val="Arial"/>
      <family val="2"/>
    </font>
    <font>
      <b/>
      <i/>
      <sz val="11"/>
      <color rgb="FF000000"/>
      <name val="Calibri"/>
      <family val="2"/>
    </font>
    <font>
      <sz val="12"/>
      <color theme="1"/>
      <name val="Candara"/>
      <family val="2"/>
    </font>
    <font>
      <b/>
      <sz val="12"/>
      <color theme="1"/>
      <name val="Candara"/>
      <family val="2"/>
    </font>
    <font>
      <sz val="10"/>
      <color theme="1"/>
      <name val="Arial"/>
      <family val="2"/>
    </font>
    <font>
      <b/>
      <sz val="11"/>
      <color rgb="FF00AF50"/>
      <name val="Calibri"/>
      <family val="2"/>
    </font>
    <font>
      <b/>
      <sz val="11"/>
      <color rgb="FFBE0000"/>
      <name val="Calibri"/>
      <family val="2"/>
    </font>
    <font>
      <b/>
      <sz val="16"/>
      <color theme="1"/>
      <name val="Candara"/>
      <family val="2"/>
    </font>
    <font>
      <sz val="10"/>
      <name val="Candara"/>
      <family val="2"/>
    </font>
    <font>
      <sz val="12"/>
      <name val="Candara"/>
      <family val="2"/>
    </font>
    <font>
      <b/>
      <sz val="12"/>
      <name val="Candara"/>
      <family val="2"/>
    </font>
    <font>
      <b/>
      <sz val="14"/>
      <color theme="1"/>
      <name val="Candara"/>
      <family val="2"/>
    </font>
    <font>
      <strike/>
      <sz val="11"/>
      <color rgb="FF000000"/>
      <name val="Calibri"/>
      <family val="2"/>
    </font>
    <font>
      <b/>
      <strike/>
      <sz val="11"/>
      <color rgb="FF000000"/>
      <name val="Calibri"/>
      <family val="2"/>
    </font>
    <font>
      <b/>
      <u/>
      <sz val="12"/>
      <name val="Candara"/>
      <family val="2"/>
    </font>
    <font>
      <u/>
      <sz val="12"/>
      <name val="Candara"/>
      <family val="2"/>
    </font>
    <font>
      <i/>
      <sz val="12"/>
      <color theme="3"/>
      <name val="Candara"/>
      <family val="2"/>
    </font>
    <font>
      <b/>
      <sz val="11"/>
      <color rgb="FF006EBE"/>
      <name val="Calibri"/>
      <family val="2"/>
    </font>
  </fonts>
  <fills count="20">
    <fill>
      <patternFill patternType="none"/>
    </fill>
    <fill>
      <patternFill patternType="gray125"/>
    </fill>
    <fill>
      <patternFill patternType="solid">
        <fgColor theme="4"/>
        <bgColor indexed="64"/>
      </patternFill>
    </fill>
    <fill>
      <patternFill patternType="solid">
        <fgColor theme="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
      <patternFill patternType="solid">
        <fgColor theme="6" tint="0.79998168889431442"/>
        <bgColor indexed="64"/>
      </patternFill>
    </fill>
    <fill>
      <patternFill patternType="solid">
        <fgColor rgb="FFFFFFFF"/>
        <bgColor indexed="64"/>
      </patternFill>
    </fill>
    <fill>
      <patternFill patternType="solid">
        <fgColor rgb="FF62BD8A"/>
        <bgColor indexed="64"/>
      </patternFill>
    </fill>
    <fill>
      <patternFill patternType="solid">
        <fgColor rgb="FF43A569"/>
        <bgColor indexed="64"/>
      </patternFill>
    </fill>
    <fill>
      <patternFill patternType="solid">
        <fgColor theme="6" tint="0.79998168889431442"/>
        <bgColor theme="6" tint="0.79998168889431442"/>
      </patternFill>
    </fill>
    <fill>
      <patternFill patternType="solid">
        <fgColor rgb="FFD7E6B9"/>
        <bgColor indexed="64"/>
      </patternFill>
    </fill>
    <fill>
      <patternFill patternType="solid">
        <fgColor rgb="FFE6B9B9"/>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rgb="FFFFC000"/>
        <bgColor indexed="64"/>
      </patternFill>
    </fill>
    <fill>
      <patternFill patternType="solid">
        <fgColor rgb="FFBEBEBE"/>
        <bgColor indexed="64"/>
      </patternFill>
    </fill>
    <fill>
      <patternFill patternType="solid">
        <fgColor rgb="FFFFBE00"/>
        <bgColor indexed="64"/>
      </patternFill>
    </fill>
  </fills>
  <borders count="27">
    <border>
      <left/>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bottom style="thick">
        <color auto="1"/>
      </bottom>
      <diagonal/>
    </border>
    <border>
      <left style="thin">
        <color auto="1"/>
      </left>
      <right style="thin">
        <color auto="1"/>
      </right>
      <top/>
      <bottom style="thick">
        <color auto="1"/>
      </bottom>
      <diagonal/>
    </border>
    <border>
      <left style="thin">
        <color auto="1"/>
      </left>
      <right/>
      <top/>
      <bottom style="thick">
        <color auto="1"/>
      </bottom>
      <diagonal/>
    </border>
    <border>
      <left style="thin">
        <color auto="1"/>
      </left>
      <right style="thin">
        <color auto="1"/>
      </right>
      <top style="thin">
        <color auto="1"/>
      </top>
      <bottom/>
      <diagonal/>
    </border>
    <border>
      <left/>
      <right style="thin">
        <color auto="1"/>
      </right>
      <top/>
      <bottom/>
      <diagonal/>
    </border>
    <border>
      <left style="thin">
        <color auto="1"/>
      </left>
      <right style="thin">
        <color auto="1"/>
      </right>
      <top/>
      <bottom/>
      <diagonal/>
    </border>
    <border>
      <left/>
      <right style="thin">
        <color rgb="FF62BD8A"/>
      </right>
      <top/>
      <bottom style="thin">
        <color rgb="FF62BD8A"/>
      </bottom>
      <diagonal/>
    </border>
    <border>
      <left style="thin">
        <color rgb="FF62BD8A"/>
      </left>
      <right/>
      <top style="thin">
        <color rgb="FF62BD8A"/>
      </top>
      <bottom style="thin">
        <color rgb="FF62BD8A"/>
      </bottom>
      <diagonal/>
    </border>
    <border>
      <left/>
      <right style="thin">
        <color rgb="FF62BD8A"/>
      </right>
      <top style="thin">
        <color rgb="FF62BD8A"/>
      </top>
      <bottom style="thin">
        <color rgb="FF62BD8A"/>
      </bottom>
      <diagonal/>
    </border>
    <border>
      <left style="thin">
        <color rgb="FF62BD8A"/>
      </left>
      <right style="thin">
        <color rgb="FF62BD8A"/>
      </right>
      <top style="thin">
        <color rgb="FF62BD8A"/>
      </top>
      <bottom style="thin">
        <color rgb="FF62BD8A"/>
      </bottom>
      <diagonal/>
    </border>
    <border>
      <left style="thin">
        <color rgb="FF43A569"/>
      </left>
      <right style="thin">
        <color theme="0"/>
      </right>
      <top style="thin">
        <color rgb="FF43A569"/>
      </top>
      <bottom style="thin">
        <color rgb="FF43A569"/>
      </bottom>
      <diagonal/>
    </border>
    <border>
      <left style="thin">
        <color theme="0"/>
      </left>
      <right style="thin">
        <color theme="0"/>
      </right>
      <top style="thin">
        <color rgb="FF43A569"/>
      </top>
      <bottom style="thin">
        <color rgb="FF43A569"/>
      </bottom>
      <diagonal/>
    </border>
    <border>
      <left style="thin">
        <color rgb="FF62BD8A"/>
      </left>
      <right style="thin">
        <color rgb="FF62BD8A"/>
      </right>
      <top/>
      <bottom style="thin">
        <color rgb="FF62BD8A"/>
      </bottom>
      <diagonal/>
    </border>
    <border>
      <left/>
      <right/>
      <top/>
      <bottom style="thin">
        <color rgb="FF62BD8A"/>
      </bottom>
      <diagonal/>
    </border>
    <border>
      <left style="thin">
        <color theme="0"/>
      </left>
      <right/>
      <top style="thin">
        <color rgb="FF43A569"/>
      </top>
      <bottom style="thin">
        <color rgb="FF43A569"/>
      </bottom>
      <diagonal/>
    </border>
    <border>
      <left style="thin">
        <color rgb="FF43A569"/>
      </left>
      <right style="thin">
        <color rgb="FF43A569"/>
      </right>
      <top style="thin">
        <color rgb="FF43A569"/>
      </top>
      <bottom style="thin">
        <color rgb="FF43A569"/>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style="thin">
        <color theme="6" tint="0.39997558519241921"/>
      </top>
      <bottom style="thin">
        <color theme="6" tint="0.39997558519241921"/>
      </bottom>
      <diagonal/>
    </border>
    <border>
      <left/>
      <right/>
      <top/>
      <bottom style="thin">
        <color theme="6" tint="0.39997558519241921"/>
      </bottom>
      <diagonal/>
    </border>
    <border>
      <left/>
      <right/>
      <top style="thin">
        <color theme="6" tint="0.39997558519241921"/>
      </top>
      <bottom/>
      <diagonal/>
    </border>
    <border>
      <left style="thin">
        <color theme="0"/>
      </left>
      <right style="thin">
        <color indexed="64"/>
      </right>
      <top style="thin">
        <color rgb="FF43A569"/>
      </top>
      <bottom style="thin">
        <color rgb="FF43A569"/>
      </bottom>
      <diagonal/>
    </border>
    <border>
      <left style="thin">
        <color rgb="FF62BD8A"/>
      </left>
      <right style="thin">
        <color indexed="64"/>
      </right>
      <top style="thin">
        <color rgb="FF43A569"/>
      </top>
      <bottom style="thin">
        <color rgb="FF62BD8A"/>
      </bottom>
      <diagonal/>
    </border>
    <border>
      <left style="thin">
        <color rgb="FF62BD8A"/>
      </left>
      <right style="thin">
        <color indexed="64"/>
      </right>
      <top style="thin">
        <color rgb="FF43A569"/>
      </top>
      <bottom style="thin">
        <color rgb="FF43A569"/>
      </bottom>
      <diagonal/>
    </border>
  </borders>
  <cellStyleXfs count="54">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2" fillId="0" borderId="0"/>
    <xf numFmtId="0" fontId="1" fillId="0" borderId="0"/>
    <xf numFmtId="9" fontId="30" fillId="0" borderId="0" applyFont="0" applyFill="0" applyBorder="0" applyAlignment="0" applyProtection="0"/>
  </cellStyleXfs>
  <cellXfs count="142">
    <xf numFmtId="0" fontId="0" fillId="0" borderId="0" xfId="0"/>
    <xf numFmtId="0" fontId="0" fillId="0" borderId="0" xfId="0" applyAlignment="1">
      <alignment vertical="top"/>
    </xf>
    <xf numFmtId="0" fontId="3" fillId="0" borderId="1" xfId="0" applyFont="1" applyBorder="1" applyAlignment="1">
      <alignment vertical="top" wrapText="1"/>
    </xf>
    <xf numFmtId="0" fontId="0" fillId="0" borderId="1" xfId="0" applyBorder="1" applyAlignment="1">
      <alignment horizontal="center" vertical="center" wrapText="1"/>
    </xf>
    <xf numFmtId="0" fontId="6" fillId="0" borderId="0" xfId="0" applyFont="1" applyAlignment="1">
      <alignment vertical="top"/>
    </xf>
    <xf numFmtId="0" fontId="7" fillId="2" borderId="2" xfId="0" applyFont="1" applyFill="1" applyBorder="1"/>
    <xf numFmtId="0" fontId="5" fillId="0" borderId="2" xfId="0" applyFont="1" applyBorder="1"/>
    <xf numFmtId="0" fontId="4" fillId="0" borderId="0" xfId="0" applyFont="1"/>
    <xf numFmtId="0" fontId="7" fillId="3" borderId="2" xfId="0" applyFont="1" applyFill="1" applyBorder="1"/>
    <xf numFmtId="0" fontId="5" fillId="2" borderId="2" xfId="0" applyFont="1" applyFill="1" applyBorder="1"/>
    <xf numFmtId="14" fontId="8" fillId="4" borderId="2" xfId="0" applyNumberFormat="1" applyFont="1" applyFill="1" applyBorder="1" applyAlignment="1">
      <alignment horizontal="center"/>
    </xf>
    <xf numFmtId="0" fontId="0" fillId="3" borderId="2" xfId="0" applyFill="1" applyBorder="1"/>
    <xf numFmtId="14" fontId="9" fillId="5" borderId="2" xfId="0" applyNumberFormat="1" applyFont="1" applyFill="1" applyBorder="1" applyAlignment="1">
      <alignment horizontal="center"/>
    </xf>
    <xf numFmtId="0" fontId="0" fillId="0" borderId="2" xfId="0" applyBorder="1"/>
    <xf numFmtId="0" fontId="4" fillId="0" borderId="2" xfId="0" applyFont="1" applyBorder="1" applyAlignment="1">
      <alignment horizontal="center"/>
    </xf>
    <xf numFmtId="0" fontId="4" fillId="5" borderId="2" xfId="0" applyFont="1" applyFill="1" applyBorder="1" applyAlignment="1">
      <alignment horizontal="center"/>
    </xf>
    <xf numFmtId="1" fontId="8" fillId="4" borderId="2" xfId="0" applyNumberFormat="1" applyFont="1" applyFill="1" applyBorder="1" applyAlignment="1">
      <alignment horizontal="center"/>
    </xf>
    <xf numFmtId="1" fontId="9" fillId="5" borderId="2" xfId="0" applyNumberFormat="1" applyFont="1" applyFill="1" applyBorder="1" applyAlignment="1">
      <alignment horizontal="center"/>
    </xf>
    <xf numFmtId="0" fontId="3" fillId="0" borderId="3" xfId="0" applyFont="1" applyBorder="1" applyAlignment="1">
      <alignment vertical="top" wrapText="1"/>
    </xf>
    <xf numFmtId="0" fontId="11" fillId="3" borderId="4" xfId="0" applyFont="1" applyFill="1" applyBorder="1" applyAlignment="1">
      <alignment horizontal="center" vertical="top"/>
    </xf>
    <xf numFmtId="0" fontId="11" fillId="3" borderId="5" xfId="0" applyFont="1" applyFill="1" applyBorder="1" applyAlignment="1">
      <alignment horizontal="center" vertical="top"/>
    </xf>
    <xf numFmtId="0" fontId="11" fillId="3" borderId="6" xfId="0" applyFont="1" applyFill="1" applyBorder="1" applyAlignment="1">
      <alignment horizontal="center" vertical="top"/>
    </xf>
    <xf numFmtId="14" fontId="3" fillId="0" borderId="1" xfId="0" applyNumberFormat="1" applyFont="1" applyBorder="1" applyAlignment="1">
      <alignment horizontal="center" vertical="center"/>
    </xf>
    <xf numFmtId="0" fontId="3" fillId="0" borderId="1" xfId="0" applyFont="1" applyBorder="1" applyAlignment="1">
      <alignment horizontal="center" vertical="center"/>
    </xf>
    <xf numFmtId="2" fontId="0" fillId="0" borderId="0" xfId="0" applyNumberFormat="1"/>
    <xf numFmtId="2" fontId="11" fillId="3" borderId="5" xfId="0" applyNumberFormat="1" applyFont="1" applyFill="1" applyBorder="1" applyAlignment="1">
      <alignment horizontal="center" vertical="top"/>
    </xf>
    <xf numFmtId="2" fontId="3" fillId="0" borderId="1" xfId="0" applyNumberFormat="1" applyFont="1" applyBorder="1" applyAlignment="1">
      <alignment horizontal="center" vertical="center"/>
    </xf>
    <xf numFmtId="2" fontId="3" fillId="0" borderId="2" xfId="0" applyNumberFormat="1" applyFont="1" applyBorder="1" applyAlignment="1">
      <alignment horizontal="center" vertical="center"/>
    </xf>
    <xf numFmtId="0" fontId="10" fillId="0" borderId="3" xfId="0" applyFont="1" applyBorder="1" applyAlignment="1">
      <alignment vertical="top" wrapText="1"/>
    </xf>
    <xf numFmtId="0" fontId="0" fillId="0" borderId="9" xfId="0" applyBorder="1" applyAlignment="1">
      <alignment horizontal="center" vertical="center" wrapText="1"/>
    </xf>
    <xf numFmtId="0" fontId="3" fillId="0" borderId="9" xfId="0" applyFont="1" applyBorder="1" applyAlignment="1">
      <alignment vertical="top" wrapText="1"/>
    </xf>
    <xf numFmtId="14" fontId="3" fillId="0" borderId="9" xfId="0" applyNumberFormat="1" applyFont="1" applyBorder="1" applyAlignment="1">
      <alignment horizontal="center" vertical="center"/>
    </xf>
    <xf numFmtId="0" fontId="3" fillId="0" borderId="2" xfId="0" applyFont="1" applyBorder="1" applyAlignment="1">
      <alignment vertical="top" wrapText="1"/>
    </xf>
    <xf numFmtId="14" fontId="3" fillId="0" borderId="2" xfId="0" applyNumberFormat="1" applyFont="1" applyBorder="1" applyAlignment="1">
      <alignment horizontal="center" vertical="center"/>
    </xf>
    <xf numFmtId="0" fontId="3" fillId="0" borderId="2" xfId="0" applyFont="1" applyBorder="1" applyAlignment="1">
      <alignment horizontal="center" vertical="center"/>
    </xf>
    <xf numFmtId="0" fontId="0" fillId="0" borderId="8" xfId="0" applyBorder="1"/>
    <xf numFmtId="16" fontId="3" fillId="0" borderId="2" xfId="0" applyNumberFormat="1" applyFont="1" applyBorder="1" applyAlignment="1">
      <alignment vertical="top" wrapText="1"/>
    </xf>
    <xf numFmtId="0" fontId="0" fillId="6" borderId="7" xfId="0" applyFill="1" applyBorder="1"/>
    <xf numFmtId="0" fontId="0" fillId="6" borderId="8" xfId="0" applyFill="1" applyBorder="1"/>
    <xf numFmtId="0" fontId="18" fillId="7" borderId="0" xfId="51" applyFont="1" applyFill="1"/>
    <xf numFmtId="0" fontId="19" fillId="7" borderId="0" xfId="51" applyFont="1" applyFill="1" applyAlignment="1">
      <alignment vertical="center"/>
    </xf>
    <xf numFmtId="0" fontId="20" fillId="7" borderId="0" xfId="51" applyFont="1" applyFill="1" applyAlignment="1">
      <alignment horizontal="center"/>
    </xf>
    <xf numFmtId="0" fontId="18" fillId="7" borderId="0" xfId="51" applyFont="1" applyFill="1" applyAlignment="1">
      <alignment vertical="center"/>
    </xf>
    <xf numFmtId="0" fontId="21" fillId="7" borderId="0" xfId="51" applyFont="1" applyFill="1" applyAlignment="1">
      <alignment vertical="center"/>
    </xf>
    <xf numFmtId="0" fontId="18" fillId="9" borderId="0" xfId="51" applyFont="1" applyFill="1" applyAlignment="1">
      <alignment vertical="center"/>
    </xf>
    <xf numFmtId="0" fontId="22" fillId="7" borderId="0" xfId="51" applyFont="1" applyFill="1" applyAlignment="1">
      <alignment vertical="center"/>
    </xf>
    <xf numFmtId="0" fontId="23" fillId="7" borderId="0" xfId="51" applyFont="1" applyFill="1"/>
    <xf numFmtId="0" fontId="24" fillId="7" borderId="0" xfId="51" applyFont="1" applyFill="1" applyAlignment="1">
      <alignment horizontal="center" vertical="center" wrapText="1" readingOrder="1"/>
    </xf>
    <xf numFmtId="0" fontId="23" fillId="7" borderId="0" xfId="51" applyFont="1" applyFill="1" applyAlignment="1">
      <alignment wrapText="1"/>
    </xf>
    <xf numFmtId="0" fontId="25" fillId="10" borderId="14" xfId="51" applyFont="1" applyFill="1" applyBorder="1" applyAlignment="1">
      <alignment horizontal="center" vertical="center" wrapText="1"/>
    </xf>
    <xf numFmtId="0" fontId="25" fillId="10" borderId="15" xfId="51" applyFont="1" applyFill="1" applyBorder="1" applyAlignment="1">
      <alignment horizontal="center" vertical="center" wrapText="1"/>
    </xf>
    <xf numFmtId="0" fontId="18" fillId="7" borderId="0" xfId="51" applyFont="1" applyFill="1" applyAlignment="1">
      <alignment wrapText="1"/>
    </xf>
    <xf numFmtId="0" fontId="26" fillId="7" borderId="0" xfId="51" applyFont="1" applyFill="1"/>
    <xf numFmtId="0" fontId="28" fillId="7" borderId="10" xfId="0" applyFont="1" applyFill="1" applyBorder="1" applyAlignment="1">
      <alignment vertical="center"/>
    </xf>
    <xf numFmtId="0" fontId="28" fillId="7" borderId="0" xfId="0" applyFont="1" applyFill="1" applyAlignment="1">
      <alignment vertical="center"/>
    </xf>
    <xf numFmtId="0" fontId="29" fillId="7" borderId="0" xfId="0" applyFont="1" applyFill="1" applyAlignment="1">
      <alignment vertical="center"/>
    </xf>
    <xf numFmtId="0" fontId="17" fillId="7" borderId="0" xfId="0" applyFont="1" applyFill="1" applyAlignment="1">
      <alignment vertical="center"/>
    </xf>
    <xf numFmtId="0" fontId="28" fillId="7" borderId="17" xfId="0" applyFont="1" applyFill="1" applyBorder="1" applyAlignment="1">
      <alignment vertical="center"/>
    </xf>
    <xf numFmtId="14" fontId="17" fillId="9" borderId="12" xfId="52" applyNumberFormat="1" applyFont="1" applyFill="1" applyBorder="1" applyAlignment="1" applyProtection="1">
      <alignment horizontal="center" vertical="center"/>
      <protection locked="0"/>
    </xf>
    <xf numFmtId="49" fontId="17" fillId="9" borderId="12" xfId="52" applyNumberFormat="1" applyFont="1" applyFill="1" applyBorder="1" applyAlignment="1" applyProtection="1">
      <alignment horizontal="center" vertical="center"/>
      <protection locked="0"/>
    </xf>
    <xf numFmtId="14" fontId="17" fillId="8" borderId="13" xfId="52" applyNumberFormat="1" applyFont="1" applyFill="1" applyBorder="1" applyAlignment="1" applyProtection="1">
      <alignment horizontal="center" vertical="center"/>
      <protection locked="0"/>
    </xf>
    <xf numFmtId="0" fontId="17" fillId="8" borderId="13" xfId="52" applyFont="1" applyFill="1" applyBorder="1" applyAlignment="1" applyProtection="1">
      <alignment horizontal="center" vertical="center"/>
      <protection locked="0"/>
    </xf>
    <xf numFmtId="0" fontId="18" fillId="7" borderId="0" xfId="0" applyFont="1" applyFill="1" applyAlignment="1">
      <alignment vertical="top"/>
    </xf>
    <xf numFmtId="0" fontId="32" fillId="7" borderId="0" xfId="0" applyFont="1" applyFill="1"/>
    <xf numFmtId="0" fontId="33" fillId="7" borderId="0" xfId="0" applyFont="1" applyFill="1"/>
    <xf numFmtId="0" fontId="33" fillId="7" borderId="0" xfId="0" applyFont="1" applyFill="1" applyAlignment="1">
      <alignment vertical="top"/>
    </xf>
    <xf numFmtId="0" fontId="23" fillId="7" borderId="0" xfId="0" applyFont="1" applyFill="1" applyAlignment="1">
      <alignment vertical="top"/>
    </xf>
    <xf numFmtId="0" fontId="25" fillId="9" borderId="16" xfId="51" applyFont="1" applyFill="1" applyBorder="1" applyAlignment="1">
      <alignment horizontal="center" vertical="center" wrapText="1"/>
    </xf>
    <xf numFmtId="0" fontId="27" fillId="9" borderId="13" xfId="51" applyFont="1" applyFill="1" applyBorder="1" applyAlignment="1">
      <alignment horizontal="center" vertical="center" wrapText="1"/>
    </xf>
    <xf numFmtId="14" fontId="25" fillId="9" borderId="13" xfId="51" applyNumberFormat="1" applyFont="1" applyFill="1" applyBorder="1" applyAlignment="1">
      <alignment horizontal="center" vertical="center" wrapText="1"/>
    </xf>
    <xf numFmtId="9" fontId="25" fillId="9" borderId="13" xfId="53" applyFont="1" applyFill="1" applyBorder="1" applyAlignment="1">
      <alignment horizontal="center" vertical="center" wrapText="1"/>
    </xf>
    <xf numFmtId="14" fontId="25" fillId="14" borderId="13" xfId="51" applyNumberFormat="1" applyFont="1" applyFill="1" applyBorder="1" applyAlignment="1">
      <alignment horizontal="center" vertical="center" wrapText="1"/>
    </xf>
    <xf numFmtId="0" fontId="36" fillId="9" borderId="13" xfId="51" applyFont="1" applyFill="1" applyBorder="1" applyAlignment="1">
      <alignment horizontal="center" vertical="center" wrapText="1"/>
    </xf>
    <xf numFmtId="0" fontId="27" fillId="9" borderId="13" xfId="51" applyFont="1" applyFill="1" applyBorder="1" applyAlignment="1">
      <alignment horizontal="center" vertical="center"/>
    </xf>
    <xf numFmtId="14" fontId="25" fillId="9" borderId="13" xfId="51" applyNumberFormat="1" applyFont="1" applyFill="1" applyBorder="1" applyAlignment="1">
      <alignment horizontal="center" vertical="center"/>
    </xf>
    <xf numFmtId="0" fontId="36" fillId="9" borderId="13" xfId="51" applyFont="1" applyFill="1" applyBorder="1" applyAlignment="1">
      <alignment horizontal="center" vertical="center"/>
    </xf>
    <xf numFmtId="0" fontId="18" fillId="7" borderId="0" xfId="51" applyFont="1" applyFill="1" applyAlignment="1">
      <alignment horizontal="center" vertical="center"/>
    </xf>
    <xf numFmtId="0" fontId="18" fillId="9" borderId="0" xfId="51" applyFont="1" applyFill="1" applyAlignment="1">
      <alignment horizontal="center" vertical="center"/>
    </xf>
    <xf numFmtId="0" fontId="20" fillId="7" borderId="0" xfId="51" applyFont="1" applyFill="1" applyAlignment="1">
      <alignment horizontal="center" vertical="center"/>
    </xf>
    <xf numFmtId="0" fontId="25" fillId="10" borderId="24" xfId="51" applyFont="1" applyFill="1" applyBorder="1" applyAlignment="1">
      <alignment horizontal="center" vertical="center" wrapText="1"/>
    </xf>
    <xf numFmtId="0" fontId="27" fillId="13" borderId="25" xfId="51" applyFont="1" applyFill="1" applyBorder="1" applyAlignment="1">
      <alignment horizontal="center" vertical="center" wrapText="1"/>
    </xf>
    <xf numFmtId="0" fontId="27" fillId="9" borderId="25" xfId="51" applyFont="1" applyFill="1" applyBorder="1" applyAlignment="1">
      <alignment horizontal="center" vertical="center" wrapText="1"/>
    </xf>
    <xf numFmtId="0" fontId="27" fillId="9" borderId="26" xfId="51" applyFont="1" applyFill="1" applyBorder="1" applyAlignment="1">
      <alignment horizontal="center" vertical="center" wrapText="1"/>
    </xf>
    <xf numFmtId="0" fontId="27" fillId="13" borderId="26" xfId="51" applyFont="1" applyFill="1" applyBorder="1" applyAlignment="1">
      <alignment horizontal="center" vertical="center" wrapText="1"/>
    </xf>
    <xf numFmtId="0" fontId="37" fillId="7" borderId="0" xfId="0" applyFont="1" applyFill="1"/>
    <xf numFmtId="0" fontId="38" fillId="7" borderId="0" xfId="0" applyFont="1" applyFill="1"/>
    <xf numFmtId="0" fontId="39" fillId="7" borderId="0" xfId="0" applyFont="1" applyFill="1"/>
    <xf numFmtId="0" fontId="32" fillId="7" borderId="0" xfId="0" applyFont="1" applyFill="1" applyAlignment="1">
      <alignment horizontal="left" wrapText="1"/>
    </xf>
    <xf numFmtId="0" fontId="33" fillId="7" borderId="0" xfId="0" applyFont="1" applyFill="1" applyAlignment="1">
      <alignment vertical="center"/>
    </xf>
    <xf numFmtId="0" fontId="40" fillId="15" borderId="0" xfId="0" applyFont="1" applyFill="1" applyAlignment="1">
      <alignment horizontal="center" vertical="center"/>
    </xf>
    <xf numFmtId="0" fontId="33" fillId="16" borderId="0" xfId="0" applyFont="1" applyFill="1" applyAlignment="1">
      <alignment horizontal="center" vertical="center"/>
    </xf>
    <xf numFmtId="0" fontId="33" fillId="17" borderId="0" xfId="0" applyFont="1" applyFill="1" applyAlignment="1">
      <alignment horizontal="center" vertical="center"/>
    </xf>
    <xf numFmtId="0" fontId="37" fillId="7" borderId="0" xfId="0" applyFont="1" applyFill="1" applyAlignment="1">
      <alignment horizontal="left" vertical="top"/>
    </xf>
    <xf numFmtId="0" fontId="39" fillId="7" borderId="0" xfId="0" applyFont="1" applyFill="1" applyAlignment="1">
      <alignment horizontal="left" wrapText="1"/>
    </xf>
    <xf numFmtId="0" fontId="33" fillId="7" borderId="0" xfId="0" applyFont="1" applyFill="1" applyAlignment="1">
      <alignment horizontal="left" vertical="center"/>
    </xf>
    <xf numFmtId="0" fontId="7" fillId="11" borderId="0" xfId="0" applyFont="1" applyFill="1" applyAlignment="1" applyProtection="1">
      <alignment horizontal="center" vertical="center"/>
      <protection locked="0"/>
    </xf>
    <xf numFmtId="0" fontId="5" fillId="0" borderId="0" xfId="0" applyFont="1" applyAlignment="1" applyProtection="1">
      <alignment horizontal="center" vertical="center"/>
      <protection locked="0"/>
    </xf>
    <xf numFmtId="0" fontId="0" fillId="0" borderId="0" xfId="0" applyProtection="1">
      <protection locked="0"/>
    </xf>
    <xf numFmtId="0" fontId="11" fillId="11" borderId="22" xfId="0" applyFont="1" applyFill="1" applyBorder="1" applyAlignment="1" applyProtection="1">
      <alignment horizontal="center" vertical="center"/>
      <protection locked="0"/>
    </xf>
    <xf numFmtId="9" fontId="34" fillId="12" borderId="21" xfId="53" applyFont="1" applyFill="1" applyBorder="1" applyAlignment="1" applyProtection="1">
      <alignment horizontal="center" vertical="center"/>
      <protection locked="0"/>
    </xf>
    <xf numFmtId="9" fontId="34" fillId="0" borderId="21" xfId="53" applyFont="1" applyBorder="1" applyAlignment="1" applyProtection="1">
      <alignment horizontal="center" vertical="center"/>
      <protection locked="0"/>
    </xf>
    <xf numFmtId="9" fontId="34" fillId="12" borderId="23" xfId="53" applyFont="1" applyFill="1" applyBorder="1" applyAlignment="1" applyProtection="1">
      <alignment horizontal="center" vertical="center"/>
      <protection locked="0"/>
    </xf>
    <xf numFmtId="0" fontId="32" fillId="7" borderId="0" xfId="0" applyFont="1" applyFill="1" applyAlignment="1">
      <alignment vertical="top"/>
    </xf>
    <xf numFmtId="0" fontId="41" fillId="7" borderId="0" xfId="0" applyFont="1" applyFill="1" applyAlignment="1">
      <alignment horizontal="left" vertical="top"/>
    </xf>
    <xf numFmtId="0" fontId="11" fillId="11" borderId="20" xfId="0" applyFont="1" applyFill="1" applyBorder="1" applyAlignment="1">
      <alignment horizontal="left" vertical="center"/>
    </xf>
    <xf numFmtId="1" fontId="34" fillId="12" borderId="20" xfId="0" applyNumberFormat="1" applyFont="1" applyFill="1" applyBorder="1" applyAlignment="1">
      <alignment horizontal="center" vertical="center"/>
    </xf>
    <xf numFmtId="14" fontId="25" fillId="14" borderId="16" xfId="51" applyNumberFormat="1" applyFont="1" applyFill="1" applyBorder="1" applyAlignment="1">
      <alignment horizontal="center" vertical="center" wrapText="1"/>
    </xf>
    <xf numFmtId="0" fontId="42" fillId="18" borderId="25" xfId="51" applyFont="1" applyFill="1" applyBorder="1" applyAlignment="1">
      <alignment horizontal="center" vertical="center" wrapText="1"/>
    </xf>
    <xf numFmtId="0" fontId="18" fillId="7" borderId="0" xfId="0" applyFont="1" applyFill="1"/>
    <xf numFmtId="0" fontId="25" fillId="13" borderId="16" xfId="51" applyFont="1" applyFill="1" applyBorder="1" applyAlignment="1">
      <alignment horizontal="center" vertical="center" wrapText="1"/>
    </xf>
    <xf numFmtId="0" fontId="27" fillId="13" borderId="16" xfId="51" applyFont="1" applyFill="1" applyBorder="1" applyAlignment="1">
      <alignment horizontal="center" vertical="center" wrapText="1"/>
    </xf>
    <xf numFmtId="14" fontId="25" fillId="13" borderId="16" xfId="51" applyNumberFormat="1" applyFont="1" applyFill="1" applyBorder="1" applyAlignment="1">
      <alignment horizontal="center" vertical="center" wrapText="1"/>
    </xf>
    <xf numFmtId="9" fontId="25" fillId="13" borderId="16" xfId="53" applyFont="1" applyFill="1" applyBorder="1" applyAlignment="1">
      <alignment horizontal="center" vertical="center" wrapText="1"/>
    </xf>
    <xf numFmtId="0" fontId="35" fillId="13" borderId="16" xfId="51" applyFont="1" applyFill="1" applyBorder="1" applyAlignment="1">
      <alignment horizontal="center" vertical="center" wrapText="1"/>
    </xf>
    <xf numFmtId="0" fontId="43" fillId="18" borderId="16" xfId="51" applyFont="1" applyFill="1" applyBorder="1" applyAlignment="1">
      <alignment horizontal="center" vertical="center" wrapText="1"/>
    </xf>
    <xf numFmtId="0" fontId="42" fillId="18" borderId="13" xfId="51" applyFont="1" applyFill="1" applyBorder="1" applyAlignment="1">
      <alignment horizontal="center" vertical="center" wrapText="1"/>
    </xf>
    <xf numFmtId="14" fontId="43" fillId="18" borderId="13" xfId="51" applyNumberFormat="1" applyFont="1" applyFill="1" applyBorder="1" applyAlignment="1">
      <alignment horizontal="center" vertical="center" wrapText="1"/>
    </xf>
    <xf numFmtId="9" fontId="43" fillId="18" borderId="13" xfId="53" applyFont="1" applyFill="1" applyBorder="1" applyAlignment="1">
      <alignment horizontal="center" vertical="center" wrapText="1"/>
    </xf>
    <xf numFmtId="0" fontId="43" fillId="18" borderId="13" xfId="51" applyFont="1" applyFill="1" applyBorder="1" applyAlignment="1">
      <alignment horizontal="center" vertical="center" wrapText="1"/>
    </xf>
    <xf numFmtId="0" fontId="27" fillId="13" borderId="13" xfId="51" applyFont="1" applyFill="1" applyBorder="1" applyAlignment="1">
      <alignment horizontal="center" vertical="center" wrapText="1"/>
    </xf>
    <xf numFmtId="14" fontId="25" fillId="13" borderId="13" xfId="51" applyNumberFormat="1" applyFont="1" applyFill="1" applyBorder="1" applyAlignment="1">
      <alignment horizontal="center" vertical="center" wrapText="1"/>
    </xf>
    <xf numFmtId="9" fontId="25" fillId="13" borderId="13" xfId="53" applyFont="1" applyFill="1" applyBorder="1" applyAlignment="1">
      <alignment horizontal="center" vertical="center" wrapText="1"/>
    </xf>
    <xf numFmtId="0" fontId="35" fillId="13" borderId="13" xfId="51" applyFont="1" applyFill="1" applyBorder="1" applyAlignment="1">
      <alignment horizontal="center" vertical="center" wrapText="1"/>
    </xf>
    <xf numFmtId="0" fontId="27" fillId="13" borderId="13" xfId="51" applyFont="1" applyFill="1" applyBorder="1" applyAlignment="1">
      <alignment horizontal="center" vertical="center"/>
    </xf>
    <xf numFmtId="0" fontId="39" fillId="7" borderId="0" xfId="0" applyFont="1" applyFill="1" applyAlignment="1">
      <alignment horizontal="left" vertical="top" wrapText="1"/>
    </xf>
    <xf numFmtId="0" fontId="33" fillId="7" borderId="0" xfId="0" applyFont="1" applyFill="1" applyAlignment="1">
      <alignment horizontal="left" vertical="top"/>
    </xf>
    <xf numFmtId="0" fontId="25" fillId="10" borderId="18" xfId="51" applyFont="1" applyFill="1" applyBorder="1" applyAlignment="1">
      <alignment horizontal="center" vertical="center" wrapText="1"/>
    </xf>
    <xf numFmtId="49" fontId="17" fillId="8" borderId="19" xfId="0" applyNumberFormat="1" applyFont="1" applyFill="1" applyBorder="1" applyAlignment="1" applyProtection="1">
      <alignment horizontal="center" vertical="center"/>
      <protection locked="0"/>
    </xf>
    <xf numFmtId="14" fontId="25" fillId="14" borderId="13" xfId="51" applyNumberFormat="1" applyFont="1" applyFill="1" applyBorder="1" applyAlignment="1">
      <alignment horizontal="center" vertical="center"/>
    </xf>
    <xf numFmtId="0" fontId="27" fillId="13" borderId="11" xfId="51" applyFont="1" applyFill="1" applyBorder="1" applyAlignment="1">
      <alignment vertical="center" wrapText="1"/>
    </xf>
    <xf numFmtId="0" fontId="27" fillId="9" borderId="11" xfId="51" applyFont="1" applyFill="1" applyBorder="1" applyAlignment="1">
      <alignment vertical="center" wrapText="1"/>
    </xf>
    <xf numFmtId="0" fontId="42" fillId="18" borderId="11" xfId="51" applyFont="1" applyFill="1" applyBorder="1" applyAlignment="1">
      <alignment vertical="center" wrapText="1"/>
    </xf>
    <xf numFmtId="0" fontId="31" fillId="9" borderId="11" xfId="51" applyFont="1" applyFill="1" applyBorder="1" applyAlignment="1">
      <alignment vertical="center" wrapText="1"/>
    </xf>
    <xf numFmtId="0" fontId="39" fillId="7" borderId="0" xfId="0" applyFont="1" applyFill="1" applyAlignment="1">
      <alignment horizontal="left" wrapText="1"/>
    </xf>
    <xf numFmtId="0" fontId="39" fillId="7" borderId="0" xfId="0" applyFont="1" applyFill="1" applyAlignment="1">
      <alignment horizontal="left" vertical="top" wrapText="1"/>
    </xf>
    <xf numFmtId="0" fontId="39" fillId="7" borderId="0" xfId="0" applyFont="1" applyFill="1" applyAlignment="1">
      <alignment horizontal="left" vertical="top" wrapText="1" indent="1"/>
    </xf>
    <xf numFmtId="0" fontId="37" fillId="8" borderId="0" xfId="0" applyFont="1" applyFill="1" applyAlignment="1">
      <alignment horizontal="left" vertical="top"/>
    </xf>
    <xf numFmtId="0" fontId="32" fillId="7" borderId="0" xfId="0" applyFont="1" applyFill="1" applyAlignment="1">
      <alignment horizontal="left" vertical="top" wrapText="1"/>
    </xf>
    <xf numFmtId="0" fontId="32" fillId="7" borderId="0" xfId="0" applyFont="1" applyFill="1" applyAlignment="1">
      <alignment horizontal="left" wrapText="1"/>
    </xf>
    <xf numFmtId="0" fontId="39" fillId="7" borderId="0" xfId="0" applyFont="1" applyFill="1" applyAlignment="1">
      <alignment horizontal="left" vertical="center" wrapText="1"/>
    </xf>
    <xf numFmtId="0" fontId="47" fillId="9" borderId="13" xfId="51" applyFont="1" applyFill="1" applyBorder="1" applyAlignment="1">
      <alignment horizontal="center" vertical="center" wrapText="1"/>
    </xf>
    <xf numFmtId="14" fontId="25" fillId="19" borderId="13" xfId="51" applyNumberFormat="1" applyFont="1" applyFill="1" applyBorder="1" applyAlignment="1">
      <alignment horizontal="center" vertical="center" wrapText="1"/>
    </xf>
  </cellXfs>
  <cellStyles count="54">
    <cellStyle name="Lien hypertexte" xfId="1" builtinId="8" hidden="1"/>
    <cellStyle name="Lien hypertexte" xfId="3" builtinId="8" hidden="1"/>
    <cellStyle name="Lien hypertexte" xfId="5" builtinId="8" hidden="1"/>
    <cellStyle name="Lien hypertexte" xfId="7" builtinId="8" hidden="1"/>
    <cellStyle name="Lien hypertexte" xfId="9" builtinId="8" hidden="1"/>
    <cellStyle name="Lien hypertexte" xfId="11" builtinId="8" hidden="1"/>
    <cellStyle name="Lien hypertexte" xfId="13" builtinId="8" hidden="1"/>
    <cellStyle name="Lien hypertexte" xfId="15" builtinId="8" hidden="1"/>
    <cellStyle name="Lien hypertexte" xfId="17" builtinId="8" hidden="1"/>
    <cellStyle name="Lien hypertexte" xfId="19" builtinId="8" hidden="1"/>
    <cellStyle name="Lien hypertexte" xfId="21" builtinId="8" hidden="1"/>
    <cellStyle name="Lien hypertexte" xfId="23" builtinId="8" hidden="1"/>
    <cellStyle name="Lien hypertexte" xfId="25" builtinId="8" hidden="1"/>
    <cellStyle name="Lien hypertexte" xfId="27" builtinId="8" hidden="1"/>
    <cellStyle name="Lien hypertexte" xfId="29" builtinId="8" hidden="1"/>
    <cellStyle name="Lien hypertexte" xfId="31" builtinId="8" hidden="1"/>
    <cellStyle name="Lien hypertexte" xfId="33" builtinId="8" hidden="1"/>
    <cellStyle name="Lien hypertexte" xfId="35" builtinId="8" hidden="1"/>
    <cellStyle name="Lien hypertexte" xfId="37" builtinId="8" hidden="1"/>
    <cellStyle name="Lien hypertexte" xfId="39" builtinId="8" hidden="1"/>
    <cellStyle name="Lien hypertexte" xfId="41" builtinId="8" hidden="1"/>
    <cellStyle name="Lien hypertexte" xfId="43" builtinId="8" hidden="1"/>
    <cellStyle name="Lien hypertexte" xfId="45" builtinId="8" hidden="1"/>
    <cellStyle name="Lien hypertexte" xfId="47" builtinId="8" hidden="1"/>
    <cellStyle name="Lien hypertexte" xfId="49" builtinId="8" hidden="1"/>
    <cellStyle name="Lien hypertexte visité" xfId="2" builtinId="9" hidden="1"/>
    <cellStyle name="Lien hypertexte visité" xfId="4" builtinId="9" hidden="1"/>
    <cellStyle name="Lien hypertexte visité" xfId="6" builtinId="9" hidden="1"/>
    <cellStyle name="Lien hypertexte visité" xfId="8" builtinId="9" hidden="1"/>
    <cellStyle name="Lien hypertexte visité" xfId="10" builtinId="9" hidden="1"/>
    <cellStyle name="Lien hypertexte visité" xfId="12" builtinId="9" hidden="1"/>
    <cellStyle name="Lien hypertexte visité" xfId="14" builtinId="9" hidden="1"/>
    <cellStyle name="Lien hypertexte visité" xfId="16" builtinId="9" hidden="1"/>
    <cellStyle name="Lien hypertexte visité" xfId="18" builtinId="9" hidden="1"/>
    <cellStyle name="Lien hypertexte visité" xfId="20" builtinId="9" hidden="1"/>
    <cellStyle name="Lien hypertexte visité" xfId="22" builtinId="9" hidden="1"/>
    <cellStyle name="Lien hypertexte visité" xfId="24" builtinId="9" hidden="1"/>
    <cellStyle name="Lien hypertexte visité" xfId="26" builtinId="9" hidden="1"/>
    <cellStyle name="Lien hypertexte visité" xfId="28" builtinId="9" hidden="1"/>
    <cellStyle name="Lien hypertexte visité" xfId="30" builtinId="9" hidden="1"/>
    <cellStyle name="Lien hypertexte visité" xfId="32" builtinId="9" hidden="1"/>
    <cellStyle name="Lien hypertexte visité" xfId="34" builtinId="9" hidden="1"/>
    <cellStyle name="Lien hypertexte visité" xfId="36" builtinId="9" hidden="1"/>
    <cellStyle name="Lien hypertexte visité" xfId="38" builtinId="9" hidden="1"/>
    <cellStyle name="Lien hypertexte visité" xfId="40" builtinId="9" hidden="1"/>
    <cellStyle name="Lien hypertexte visité" xfId="42" builtinId="9" hidden="1"/>
    <cellStyle name="Lien hypertexte visité" xfId="44" builtinId="9" hidden="1"/>
    <cellStyle name="Lien hypertexte visité" xfId="46" builtinId="9" hidden="1"/>
    <cellStyle name="Lien hypertexte visité" xfId="48" builtinId="9" hidden="1"/>
    <cellStyle name="Lien hypertexte visité" xfId="50" builtinId="9" hidden="1"/>
    <cellStyle name="Normal" xfId="0" builtinId="0"/>
    <cellStyle name="Normal 2" xfId="51" xr:uid="{00000000-0005-0000-0000-000033000000}"/>
    <cellStyle name="Normal 2 2" xfId="52" xr:uid="{00000000-0005-0000-0000-000034000000}"/>
    <cellStyle name="Pourcentage" xfId="53" builtinId="5"/>
  </cellStyles>
  <dxfs count="137">
    <dxf>
      <font>
        <b val="0"/>
        <i val="0"/>
        <strike val="0"/>
        <condense val="0"/>
        <extend val="0"/>
        <outline val="0"/>
        <shadow val="0"/>
        <u val="none"/>
        <vertAlign val="baseline"/>
        <sz val="10"/>
        <color theme="1"/>
        <name val="Arial"/>
        <scheme val="none"/>
      </font>
      <fill>
        <patternFill patternType="solid">
          <fgColor theme="6" tint="0.79998168889431442"/>
          <bgColor theme="6" tint="0.79998168889431442"/>
        </patternFill>
      </fill>
      <alignment horizontal="center" vertical="center" textRotation="0" wrapText="0" indent="0" justifyLastLine="0" shrinkToFit="0" readingOrder="0"/>
      <border diagonalUp="0" diagonalDown="0" outline="0">
        <left/>
        <right/>
        <top style="thin">
          <color theme="6" tint="0.39997558519241921"/>
        </top>
        <bottom style="thin">
          <color theme="6" tint="0.39997558519241921"/>
        </bottom>
      </border>
      <protection locked="0" hidden="0"/>
    </dxf>
    <dxf>
      <border outline="0">
        <top style="thin">
          <color theme="6" tint="0.39997558519241921"/>
        </top>
      </border>
    </dxf>
    <dxf>
      <border outline="0">
        <left style="thin">
          <color theme="6" tint="0.39997558519241921"/>
        </left>
        <right style="thin">
          <color theme="6" tint="0.39997558519241921"/>
        </right>
        <top style="thin">
          <color theme="6" tint="0.39997558519241921"/>
        </top>
        <bottom style="thin">
          <color theme="6" tint="0.39997558519241921"/>
        </bottom>
      </border>
    </dxf>
    <dxf>
      <font>
        <b val="0"/>
        <i val="0"/>
        <strike val="0"/>
        <condense val="0"/>
        <extend val="0"/>
        <outline val="0"/>
        <shadow val="0"/>
        <u val="none"/>
        <vertAlign val="baseline"/>
        <sz val="10"/>
        <color theme="1"/>
        <name val="Arial"/>
        <scheme val="none"/>
      </font>
      <fill>
        <patternFill patternType="solid">
          <fgColor theme="6" tint="0.79998168889431442"/>
          <bgColor theme="6" tint="0.79998168889431442"/>
        </patternFill>
      </fill>
      <alignment horizontal="center" vertical="center" textRotation="0" wrapText="0" indent="0" justifyLastLine="0" shrinkToFit="0" readingOrder="0"/>
      <protection locked="0" hidden="0"/>
    </dxf>
    <dxf>
      <border outline="0">
        <bottom style="thin">
          <color theme="6" tint="0.39997558519241921"/>
        </bottom>
      </border>
    </dxf>
    <dxf>
      <font>
        <b/>
        <i val="0"/>
        <strike val="0"/>
        <condense val="0"/>
        <extend val="0"/>
        <outline val="0"/>
        <shadow val="0"/>
        <u val="none"/>
        <vertAlign val="baseline"/>
        <sz val="10"/>
        <color theme="0"/>
        <name val="Arial"/>
        <scheme val="none"/>
      </font>
      <fill>
        <patternFill patternType="solid">
          <fgColor indexed="64"/>
          <bgColor rgb="FF43A569"/>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0"/>
        <name val="Arial"/>
        <scheme val="none"/>
      </font>
      <fill>
        <patternFill patternType="solid">
          <fgColor indexed="64"/>
          <bgColor rgb="FF43A569"/>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0"/>
        <name val="Arial"/>
        <scheme val="none"/>
      </font>
      <fill>
        <patternFill patternType="solid">
          <fgColor indexed="64"/>
          <bgColor rgb="FF43A569"/>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general" vertical="top"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8"/>
        <color auto="1"/>
        <name val="Arial"/>
        <scheme val="none"/>
      </font>
      <numFmt numFmtId="164" formatCode="dd/mm/yy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8"/>
        <color auto="1"/>
        <name val="Arial"/>
        <scheme val="none"/>
      </font>
      <numFmt numFmtId="164" formatCode="dd/mm/yy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8"/>
        <color auto="1"/>
        <name val="Arial"/>
        <scheme val="none"/>
      </font>
      <numFmt numFmtId="164" formatCode="dd/mm/yy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general" vertical="top"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general" vertical="top"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general" vertical="top" textRotation="0" wrapText="1" indent="0" justifyLastLine="0" shrinkToFit="0" readingOrder="0"/>
      <border diagonalUp="0" diagonalDown="0">
        <left style="thin">
          <color indexed="64"/>
        </left>
        <right style="thin">
          <color indexed="64"/>
        </right>
        <top/>
        <bottom style="thin">
          <color indexed="64"/>
        </bottom>
        <vertical/>
        <horizontal/>
      </border>
    </dxf>
    <dxf>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dxf>
    <dxf>
      <numFmt numFmtId="0" formatCode="General"/>
      <fill>
        <patternFill patternType="none">
          <fgColor indexed="64"/>
          <bgColor indexed="65"/>
        </patternFill>
      </fill>
      <alignment horizontal="center" vertical="center" textRotation="0" wrapText="1" indent="0" justifyLastLine="0" shrinkToFit="0" readingOrder="0"/>
      <border diagonalUp="0" diagonalDown="0">
        <left/>
        <right style="thin">
          <color indexed="64"/>
        </right>
        <top/>
        <bottom style="thin">
          <color indexed="64"/>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theme="0"/>
        <name val="Arial"/>
        <scheme val="none"/>
      </font>
      <fill>
        <patternFill patternType="solid">
          <fgColor indexed="64"/>
          <bgColor theme="3"/>
        </patternFill>
      </fill>
      <alignment horizontal="center" vertical="top" textRotation="0" wrapText="0" indent="0" justifyLastLine="0" shrinkToFit="0" readingOrder="0"/>
      <border diagonalUp="0" diagonalDown="0" outline="0">
        <left style="thin">
          <color indexed="64"/>
        </left>
        <right style="thin">
          <color indexed="64"/>
        </right>
        <top/>
        <bottom/>
      </border>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b/>
        <i val="0"/>
        <color theme="0"/>
        <name val="Cambria"/>
        <scheme val="none"/>
      </font>
      <fill>
        <patternFill>
          <bgColor theme="0" tint="-0.34998626667073579"/>
        </patternFill>
      </fill>
    </dxf>
    <dxf>
      <font>
        <b/>
        <i val="0"/>
        <color rgb="FFC00000"/>
      </font>
    </dxf>
    <dxf>
      <font>
        <b/>
        <i val="0"/>
        <color rgb="FF0070C0"/>
      </font>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b/>
        <i val="0"/>
        <color theme="0"/>
        <name val="Cambria"/>
        <scheme val="none"/>
      </font>
      <fill>
        <patternFill>
          <bgColor theme="0" tint="-0.34998626667073579"/>
        </patternFill>
      </fill>
    </dxf>
    <dxf>
      <font>
        <b/>
        <i val="0"/>
        <color rgb="FFC00000"/>
      </font>
    </dxf>
    <dxf>
      <font>
        <b/>
        <i val="0"/>
        <color rgb="FF0070C0"/>
      </font>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b/>
        <i val="0"/>
        <color theme="0"/>
        <name val="Cambria"/>
        <scheme val="none"/>
      </font>
      <fill>
        <patternFill>
          <bgColor theme="0" tint="-0.34998626667073579"/>
        </patternFill>
      </fill>
    </dxf>
    <dxf>
      <font>
        <b/>
        <i val="0"/>
        <color rgb="FFC00000"/>
      </font>
    </dxf>
    <dxf>
      <font>
        <b/>
        <i val="0"/>
        <color rgb="FF0070C0"/>
      </font>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b/>
        <i val="0"/>
        <color rgb="FFC00000"/>
      </font>
    </dxf>
    <dxf>
      <font>
        <color theme="5" tint="-0.24994659260841701"/>
      </font>
      <fill>
        <patternFill>
          <bgColor rgb="FFFED3D0"/>
        </patternFill>
      </fill>
    </dxf>
    <dxf>
      <font>
        <color theme="6" tint="-0.24994659260841701"/>
      </font>
      <fill>
        <patternFill>
          <bgColor theme="6" tint="0.79998168889431442"/>
        </patternFill>
      </fill>
    </dxf>
    <dxf>
      <font>
        <b/>
        <i val="0"/>
        <color theme="0"/>
        <name val="Cambria"/>
        <scheme val="none"/>
      </font>
      <fill>
        <patternFill>
          <bgColor theme="0" tint="-0.34998626667073579"/>
        </patternFill>
      </fill>
    </dxf>
    <dxf>
      <font>
        <b/>
        <i val="0"/>
        <color rgb="FFC00000"/>
      </font>
    </dxf>
    <dxf>
      <font>
        <b/>
        <i val="0"/>
        <color rgb="FF0070C0"/>
      </font>
    </dxf>
    <dxf>
      <font>
        <color theme="5" tint="-0.24994659260841701"/>
      </font>
      <fill>
        <patternFill>
          <bgColor rgb="FFFED3D0"/>
        </patternFill>
      </fill>
    </dxf>
    <dxf>
      <font>
        <color theme="6" tint="-0.24994659260841701"/>
      </font>
      <fill>
        <patternFill>
          <bgColor theme="6" tint="0.79998168889431442"/>
        </patternFill>
      </fill>
    </dxf>
    <dxf>
      <font>
        <b/>
        <i val="0"/>
        <color rgb="FFC00000"/>
      </font>
    </dxf>
    <dxf>
      <font>
        <strike/>
        <color theme="1" tint="0.499984740745262"/>
      </font>
      <fill>
        <patternFill>
          <bgColor theme="0" tint="-0.14996795556505021"/>
        </patternFill>
      </fill>
    </dxf>
    <dxf>
      <font>
        <b/>
        <i val="0"/>
        <color theme="0"/>
      </font>
      <fill>
        <patternFill>
          <bgColor theme="5" tint="-0.24994659260841701"/>
        </patternFill>
      </fill>
    </dxf>
    <dxf>
      <font>
        <b/>
        <i val="0"/>
        <color theme="5" tint="-0.24994659260841701"/>
      </font>
    </dxf>
    <dxf>
      <font>
        <color theme="5" tint="-0.24994659260841701"/>
      </font>
      <fill>
        <patternFill>
          <bgColor rgb="FFFED3D0"/>
        </patternFill>
      </fill>
    </dxf>
    <dxf>
      <font>
        <color theme="6" tint="-0.24994659260841701"/>
      </font>
      <fill>
        <patternFill>
          <bgColor theme="6" tint="0.79998168889431442"/>
        </patternFill>
      </fill>
    </dxf>
    <dxf>
      <font>
        <b/>
        <i val="0"/>
        <color rgb="FFC00000"/>
      </font>
    </dxf>
    <dxf>
      <font>
        <color theme="5" tint="-0.24994659260841701"/>
      </font>
      <fill>
        <patternFill>
          <bgColor rgb="FFFED3D0"/>
        </patternFill>
      </fill>
    </dxf>
    <dxf>
      <font>
        <color theme="6" tint="-0.24994659260841701"/>
      </font>
      <fill>
        <patternFill>
          <bgColor theme="6" tint="0.79998168889431442"/>
        </patternFill>
      </fill>
    </dxf>
    <dxf>
      <font>
        <b/>
        <i val="0"/>
        <color theme="0"/>
        <name val="Cambria"/>
        <scheme val="none"/>
      </font>
      <fill>
        <patternFill>
          <bgColor theme="0" tint="-0.34998626667073579"/>
        </patternFill>
      </fill>
    </dxf>
    <dxf>
      <font>
        <b/>
        <i val="0"/>
        <color rgb="FFC00000"/>
      </font>
    </dxf>
    <dxf>
      <font>
        <b/>
        <i val="0"/>
        <color rgb="FF0070C0"/>
      </font>
    </dxf>
    <dxf>
      <font>
        <color theme="5" tint="-0.24994659260841701"/>
      </font>
      <fill>
        <patternFill>
          <bgColor rgb="FFFED3D0"/>
        </patternFill>
      </fill>
    </dxf>
    <dxf>
      <font>
        <color theme="6" tint="-0.24994659260841701"/>
      </font>
      <fill>
        <patternFill>
          <bgColor theme="6" tint="0.79998168889431442"/>
        </patternFill>
      </fill>
    </dxf>
    <dxf>
      <font>
        <b/>
        <i val="0"/>
        <color rgb="FFC00000"/>
      </font>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7979"/>
      <color rgb="FF439B69"/>
      <color rgb="FF7E614C"/>
      <color rgb="FFFED3D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jpeg"/></Relationships>
</file>

<file path=xl/drawings/drawing1.xml><?xml version="1.0" encoding="utf-8"?>
<xdr:wsDr xmlns:xdr="http://schemas.openxmlformats.org/drawingml/2006/spreadsheetDrawing" xmlns:a="http://schemas.openxmlformats.org/drawingml/2006/main">
  <xdr:twoCellAnchor editAs="oneCell">
    <xdr:from>
      <xdr:col>0</xdr:col>
      <xdr:colOff>76200</xdr:colOff>
      <xdr:row>1</xdr:row>
      <xdr:rowOff>30480</xdr:rowOff>
    </xdr:from>
    <xdr:to>
      <xdr:col>3</xdr:col>
      <xdr:colOff>231988</xdr:colOff>
      <xdr:row>5</xdr:row>
      <xdr:rowOff>129722</xdr:rowOff>
    </xdr:to>
    <xdr:pic>
      <xdr:nvPicPr>
        <xdr:cNvPr id="6" name="Imag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05740"/>
          <a:ext cx="3660988" cy="800282"/>
        </a:xfrm>
        <a:prstGeom prst="rect">
          <a:avLst/>
        </a:prstGeom>
      </xdr:spPr>
    </xdr:pic>
    <xdr:clientData/>
  </xdr:twoCellAnchor>
  <xdr:oneCellAnchor>
    <xdr:from>
      <xdr:col>1</xdr:col>
      <xdr:colOff>30480</xdr:colOff>
      <xdr:row>10</xdr:row>
      <xdr:rowOff>175260</xdr:rowOff>
    </xdr:from>
    <xdr:ext cx="5455920" cy="1355589"/>
    <xdr:pic>
      <xdr:nvPicPr>
        <xdr:cNvPr id="7" name="Imag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a:stretch>
          <a:fillRect/>
        </a:stretch>
      </xdr:blipFill>
      <xdr:spPr>
        <a:xfrm>
          <a:off x="1013460" y="2026920"/>
          <a:ext cx="5455920" cy="1355589"/>
        </a:xfrm>
        <a:prstGeom prst="rect">
          <a:avLst/>
        </a:prstGeom>
      </xdr:spPr>
    </xdr:pic>
    <xdr:clientData/>
  </xdr:oneCellAnchor>
  <xdr:twoCellAnchor>
    <xdr:from>
      <xdr:col>0</xdr:col>
      <xdr:colOff>904911</xdr:colOff>
      <xdr:row>66</xdr:row>
      <xdr:rowOff>38100</xdr:rowOff>
    </xdr:from>
    <xdr:to>
      <xdr:col>4</xdr:col>
      <xdr:colOff>746517</xdr:colOff>
      <xdr:row>73</xdr:row>
      <xdr:rowOff>135004</xdr:rowOff>
    </xdr:to>
    <xdr:grpSp>
      <xdr:nvGrpSpPr>
        <xdr:cNvPr id="10" name="Groupe 9">
          <a:extLst>
            <a:ext uri="{FF2B5EF4-FFF2-40B4-BE49-F238E27FC236}">
              <a16:creationId xmlns:a16="http://schemas.microsoft.com/office/drawing/2014/main" id="{00000000-0008-0000-0400-00000A000000}"/>
            </a:ext>
          </a:extLst>
        </xdr:cNvPr>
        <xdr:cNvGrpSpPr/>
      </xdr:nvGrpSpPr>
      <xdr:grpSpPr>
        <a:xfrm>
          <a:off x="904911" y="16335375"/>
          <a:ext cx="4004031" cy="1754254"/>
          <a:chOff x="904911" y="12946380"/>
          <a:chExt cx="4131666" cy="1788544"/>
        </a:xfrm>
      </xdr:grpSpPr>
      <xdr:pic>
        <xdr:nvPicPr>
          <xdr:cNvPr id="11" name="Imag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3"/>
          <a:stretch>
            <a:fillRect/>
          </a:stretch>
        </xdr:blipFill>
        <xdr:spPr>
          <a:xfrm>
            <a:off x="904911" y="12954000"/>
            <a:ext cx="1636114" cy="1262826"/>
          </a:xfrm>
          <a:prstGeom prst="rect">
            <a:avLst/>
          </a:prstGeom>
        </xdr:spPr>
      </xdr:pic>
      <xdr:grpSp>
        <xdr:nvGrpSpPr>
          <xdr:cNvPr id="12" name="Groupe 11">
            <a:extLst>
              <a:ext uri="{FF2B5EF4-FFF2-40B4-BE49-F238E27FC236}">
                <a16:creationId xmlns:a16="http://schemas.microsoft.com/office/drawing/2014/main" id="{00000000-0008-0000-0400-00000C000000}"/>
              </a:ext>
            </a:extLst>
          </xdr:cNvPr>
          <xdr:cNvGrpSpPr/>
        </xdr:nvGrpSpPr>
        <xdr:grpSpPr>
          <a:xfrm>
            <a:off x="3322103" y="12946380"/>
            <a:ext cx="1714474" cy="1788544"/>
            <a:chOff x="6316763" y="10462260"/>
            <a:chExt cx="1714474" cy="1773304"/>
          </a:xfrm>
        </xdr:grpSpPr>
        <xdr:pic>
          <xdr:nvPicPr>
            <xdr:cNvPr id="14" name="Image 13">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4"/>
            <a:stretch>
              <a:fillRect/>
            </a:stretch>
          </xdr:blipFill>
          <xdr:spPr>
            <a:xfrm>
              <a:off x="6316763" y="10462260"/>
              <a:ext cx="1714474" cy="1773304"/>
            </a:xfrm>
            <a:prstGeom prst="rect">
              <a:avLst/>
            </a:prstGeom>
          </xdr:spPr>
        </xdr:pic>
        <xdr:sp macro="" textlink="">
          <xdr:nvSpPr>
            <xdr:cNvPr id="15" name="Rectangle 14">
              <a:extLst>
                <a:ext uri="{FF2B5EF4-FFF2-40B4-BE49-F238E27FC236}">
                  <a16:creationId xmlns:a16="http://schemas.microsoft.com/office/drawing/2014/main" id="{00000000-0008-0000-0400-00000F000000}"/>
                </a:ext>
              </a:extLst>
            </xdr:cNvPr>
            <xdr:cNvSpPr/>
          </xdr:nvSpPr>
          <xdr:spPr>
            <a:xfrm>
              <a:off x="6362700" y="11681460"/>
              <a:ext cx="1455420" cy="449580"/>
            </a:xfrm>
            <a:prstGeom prst="rect">
              <a:avLst/>
            </a:prstGeom>
            <a:noFill/>
            <a:ln w="38100">
              <a:solidFill>
                <a:srgbClr val="FF00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fr-FR" sz="1100"/>
            </a:p>
          </xdr:txBody>
        </xdr:sp>
      </xdr:grpSp>
      <xdr:sp macro="" textlink="">
        <xdr:nvSpPr>
          <xdr:cNvPr id="13" name="Flèche : droite 12">
            <a:extLst>
              <a:ext uri="{FF2B5EF4-FFF2-40B4-BE49-F238E27FC236}">
                <a16:creationId xmlns:a16="http://schemas.microsoft.com/office/drawing/2014/main" id="{00000000-0008-0000-0400-00000D000000}"/>
              </a:ext>
            </a:extLst>
          </xdr:cNvPr>
          <xdr:cNvSpPr/>
        </xdr:nvSpPr>
        <xdr:spPr>
          <a:xfrm>
            <a:off x="2567940" y="13479780"/>
            <a:ext cx="480060" cy="312420"/>
          </a:xfrm>
          <a:prstGeom prst="rightArrow">
            <a:avLst/>
          </a:prstGeom>
          <a:solidFill>
            <a:srgbClr val="FF0000"/>
          </a:solidFill>
          <a:ln>
            <a:solidFill>
              <a:srgbClr val="FF00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fr-FR" sz="1100"/>
          </a:p>
        </xdr:txBody>
      </xdr:sp>
    </xdr:grpSp>
    <xdr:clientData/>
  </xdr:twoCellAnchor>
  <xdr:twoCellAnchor>
    <xdr:from>
      <xdr:col>0</xdr:col>
      <xdr:colOff>853440</xdr:colOff>
      <xdr:row>75</xdr:row>
      <xdr:rowOff>60960</xdr:rowOff>
    </xdr:from>
    <xdr:to>
      <xdr:col>5</xdr:col>
      <xdr:colOff>496775</xdr:colOff>
      <xdr:row>83</xdr:row>
      <xdr:rowOff>161643</xdr:rowOff>
    </xdr:to>
    <xdr:grpSp>
      <xdr:nvGrpSpPr>
        <xdr:cNvPr id="16" name="Groupe 15">
          <a:extLst>
            <a:ext uri="{FF2B5EF4-FFF2-40B4-BE49-F238E27FC236}">
              <a16:creationId xmlns:a16="http://schemas.microsoft.com/office/drawing/2014/main" id="{00000000-0008-0000-0400-000010000000}"/>
            </a:ext>
          </a:extLst>
        </xdr:cNvPr>
        <xdr:cNvGrpSpPr/>
      </xdr:nvGrpSpPr>
      <xdr:grpSpPr>
        <a:xfrm>
          <a:off x="853440" y="18415635"/>
          <a:ext cx="4567760" cy="1396083"/>
          <a:chOff x="853440" y="15209520"/>
          <a:chExt cx="4718255" cy="1502763"/>
        </a:xfrm>
      </xdr:grpSpPr>
      <xdr:sp macro="" textlink="">
        <xdr:nvSpPr>
          <xdr:cNvPr id="17" name="Flèche : droite 16">
            <a:extLst>
              <a:ext uri="{FF2B5EF4-FFF2-40B4-BE49-F238E27FC236}">
                <a16:creationId xmlns:a16="http://schemas.microsoft.com/office/drawing/2014/main" id="{00000000-0008-0000-0400-000011000000}"/>
              </a:ext>
            </a:extLst>
          </xdr:cNvPr>
          <xdr:cNvSpPr/>
        </xdr:nvSpPr>
        <xdr:spPr>
          <a:xfrm>
            <a:off x="2667000" y="15354300"/>
            <a:ext cx="480060" cy="327660"/>
          </a:xfrm>
          <a:prstGeom prst="rightArrow">
            <a:avLst/>
          </a:prstGeom>
          <a:solidFill>
            <a:srgbClr val="FF0000"/>
          </a:solidFill>
          <a:ln>
            <a:solidFill>
              <a:srgbClr val="FF00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fr-FR" sz="1100"/>
          </a:p>
        </xdr:txBody>
      </xdr:sp>
      <xdr:grpSp>
        <xdr:nvGrpSpPr>
          <xdr:cNvPr id="18" name="Groupe 17">
            <a:extLst>
              <a:ext uri="{FF2B5EF4-FFF2-40B4-BE49-F238E27FC236}">
                <a16:creationId xmlns:a16="http://schemas.microsoft.com/office/drawing/2014/main" id="{00000000-0008-0000-0400-000012000000}"/>
              </a:ext>
            </a:extLst>
          </xdr:cNvPr>
          <xdr:cNvGrpSpPr/>
        </xdr:nvGrpSpPr>
        <xdr:grpSpPr>
          <a:xfrm>
            <a:off x="853440" y="15262860"/>
            <a:ext cx="1636114" cy="1316166"/>
            <a:chOff x="4274820" y="12992100"/>
            <a:chExt cx="1636114" cy="1262826"/>
          </a:xfrm>
        </xdr:grpSpPr>
        <xdr:pic>
          <xdr:nvPicPr>
            <xdr:cNvPr id="22" name="Image 21">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3"/>
            <a:stretch>
              <a:fillRect/>
            </a:stretch>
          </xdr:blipFill>
          <xdr:spPr>
            <a:xfrm>
              <a:off x="4274820" y="12992100"/>
              <a:ext cx="1636114" cy="1262826"/>
            </a:xfrm>
            <a:prstGeom prst="rect">
              <a:avLst/>
            </a:prstGeom>
          </xdr:spPr>
        </xdr:pic>
        <xdr:sp macro="" textlink="">
          <xdr:nvSpPr>
            <xdr:cNvPr id="23" name="Rectangle 22">
              <a:extLst>
                <a:ext uri="{FF2B5EF4-FFF2-40B4-BE49-F238E27FC236}">
                  <a16:creationId xmlns:a16="http://schemas.microsoft.com/office/drawing/2014/main" id="{00000000-0008-0000-0400-000017000000}"/>
                </a:ext>
              </a:extLst>
            </xdr:cNvPr>
            <xdr:cNvSpPr/>
          </xdr:nvSpPr>
          <xdr:spPr>
            <a:xfrm>
              <a:off x="4305300" y="13807440"/>
              <a:ext cx="1310640" cy="205740"/>
            </a:xfrm>
            <a:prstGeom prst="rect">
              <a:avLst/>
            </a:prstGeom>
            <a:noFill/>
            <a:ln w="28575">
              <a:solidFill>
                <a:srgbClr val="FF00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fr-FR" sz="1100"/>
            </a:p>
          </xdr:txBody>
        </xdr:sp>
        <xdr:sp macro="" textlink="">
          <xdr:nvSpPr>
            <xdr:cNvPr id="24" name="Ellipse 23">
              <a:extLst>
                <a:ext uri="{FF2B5EF4-FFF2-40B4-BE49-F238E27FC236}">
                  <a16:creationId xmlns:a16="http://schemas.microsoft.com/office/drawing/2014/main" id="{00000000-0008-0000-0400-000018000000}"/>
                </a:ext>
              </a:extLst>
            </xdr:cNvPr>
            <xdr:cNvSpPr/>
          </xdr:nvSpPr>
          <xdr:spPr>
            <a:xfrm>
              <a:off x="5562600" y="13075920"/>
              <a:ext cx="259080" cy="266700"/>
            </a:xfrm>
            <a:prstGeom prst="ellipse">
              <a:avLst/>
            </a:prstGeom>
            <a:noFill/>
            <a:ln w="19050">
              <a:solidFill>
                <a:srgbClr val="FF00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fr-FR" sz="1100"/>
            </a:p>
          </xdr:txBody>
        </xdr:sp>
      </xdr:grpSp>
      <xdr:grpSp>
        <xdr:nvGrpSpPr>
          <xdr:cNvPr id="19" name="Groupe 18">
            <a:extLst>
              <a:ext uri="{FF2B5EF4-FFF2-40B4-BE49-F238E27FC236}">
                <a16:creationId xmlns:a16="http://schemas.microsoft.com/office/drawing/2014/main" id="{00000000-0008-0000-0400-000013000000}"/>
              </a:ext>
            </a:extLst>
          </xdr:cNvPr>
          <xdr:cNvGrpSpPr/>
        </xdr:nvGrpSpPr>
        <xdr:grpSpPr>
          <a:xfrm>
            <a:off x="3387138" y="15209520"/>
            <a:ext cx="2184557" cy="1502763"/>
            <a:chOff x="6854238" y="12961620"/>
            <a:chExt cx="2184557" cy="1434183"/>
          </a:xfrm>
        </xdr:grpSpPr>
        <xdr:pic>
          <xdr:nvPicPr>
            <xdr:cNvPr id="20" name="Imag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5"/>
            <a:stretch>
              <a:fillRect/>
            </a:stretch>
          </xdr:blipFill>
          <xdr:spPr>
            <a:xfrm>
              <a:off x="6854238" y="12961620"/>
              <a:ext cx="2184557" cy="1434183"/>
            </a:xfrm>
            <a:prstGeom prst="rect">
              <a:avLst/>
            </a:prstGeom>
          </xdr:spPr>
        </xdr:pic>
        <xdr:sp macro="" textlink="">
          <xdr:nvSpPr>
            <xdr:cNvPr id="21" name="Rectangle 20">
              <a:extLst>
                <a:ext uri="{FF2B5EF4-FFF2-40B4-BE49-F238E27FC236}">
                  <a16:creationId xmlns:a16="http://schemas.microsoft.com/office/drawing/2014/main" id="{00000000-0008-0000-0400-000015000000}"/>
                </a:ext>
              </a:extLst>
            </xdr:cNvPr>
            <xdr:cNvSpPr/>
          </xdr:nvSpPr>
          <xdr:spPr>
            <a:xfrm>
              <a:off x="7528560" y="13990320"/>
              <a:ext cx="670560" cy="228600"/>
            </a:xfrm>
            <a:prstGeom prst="rect">
              <a:avLst/>
            </a:prstGeom>
            <a:noFill/>
            <a:ln w="19050">
              <a:solidFill>
                <a:srgbClr val="FF00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fr-FR" sz="1100"/>
            </a:p>
          </xdr:txBody>
        </xdr:sp>
      </xdr:grpSp>
    </xdr:grpSp>
    <xdr:clientData/>
  </xdr:twoCellAnchor>
  <xdr:twoCellAnchor editAs="oneCell">
    <xdr:from>
      <xdr:col>1</xdr:col>
      <xdr:colOff>1706880</xdr:colOff>
      <xdr:row>29</xdr:row>
      <xdr:rowOff>89576</xdr:rowOff>
    </xdr:from>
    <xdr:to>
      <xdr:col>3</xdr:col>
      <xdr:colOff>350520</xdr:colOff>
      <xdr:row>33</xdr:row>
      <xdr:rowOff>312267</xdr:rowOff>
    </xdr:to>
    <xdr:pic>
      <xdr:nvPicPr>
        <xdr:cNvPr id="25" name="Imag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6"/>
        <a:stretch>
          <a:fillRect/>
        </a:stretch>
      </xdr:blipFill>
      <xdr:spPr>
        <a:xfrm>
          <a:off x="2689860" y="5614076"/>
          <a:ext cx="1165860" cy="1015171"/>
        </a:xfrm>
        <a:prstGeom prst="rect">
          <a:avLst/>
        </a:prstGeom>
      </xdr:spPr>
    </xdr:pic>
    <xdr:clientData/>
  </xdr:twoCellAnchor>
  <xdr:twoCellAnchor editAs="oneCell">
    <xdr:from>
      <xdr:col>1</xdr:col>
      <xdr:colOff>1673306</xdr:colOff>
      <xdr:row>36</xdr:row>
      <xdr:rowOff>114300</xdr:rowOff>
    </xdr:from>
    <xdr:to>
      <xdr:col>3</xdr:col>
      <xdr:colOff>739140</xdr:colOff>
      <xdr:row>40</xdr:row>
      <xdr:rowOff>531374</xdr:rowOff>
    </xdr:to>
    <xdr:pic>
      <xdr:nvPicPr>
        <xdr:cNvPr id="26" name="Image 25">
          <a:extLst>
            <a:ext uri="{FF2B5EF4-FFF2-40B4-BE49-F238E27FC236}">
              <a16:creationId xmlns:a16="http://schemas.microsoft.com/office/drawing/2014/main" id="{00000000-0008-0000-0400-00001A000000}"/>
            </a:ext>
          </a:extLst>
        </xdr:cNvPr>
        <xdr:cNvPicPr>
          <a:picLocks noChangeAspect="1"/>
        </xdr:cNvPicPr>
      </xdr:nvPicPr>
      <xdr:blipFill>
        <a:blip xmlns:r="http://schemas.openxmlformats.org/officeDocument/2006/relationships" r:embed="rId7"/>
        <a:stretch>
          <a:fillRect/>
        </a:stretch>
      </xdr:blipFill>
      <xdr:spPr>
        <a:xfrm>
          <a:off x="2656286" y="7520940"/>
          <a:ext cx="1588054" cy="1209554"/>
        </a:xfrm>
        <a:prstGeom prst="rect">
          <a:avLst/>
        </a:prstGeom>
      </xdr:spPr>
    </xdr:pic>
    <xdr:clientData/>
  </xdr:twoCellAnchor>
  <xdr:twoCellAnchor editAs="oneCell">
    <xdr:from>
      <xdr:col>0</xdr:col>
      <xdr:colOff>906780</xdr:colOff>
      <xdr:row>54</xdr:row>
      <xdr:rowOff>259080</xdr:rowOff>
    </xdr:from>
    <xdr:to>
      <xdr:col>5</xdr:col>
      <xdr:colOff>320040</xdr:colOff>
      <xdr:row>61</xdr:row>
      <xdr:rowOff>261669</xdr:rowOff>
    </xdr:to>
    <xdr:pic>
      <xdr:nvPicPr>
        <xdr:cNvPr id="30" name="Image 29">
          <a:extLst>
            <a:ext uri="{FF2B5EF4-FFF2-40B4-BE49-F238E27FC236}">
              <a16:creationId xmlns:a16="http://schemas.microsoft.com/office/drawing/2014/main" id="{D1B260A8-6604-47CC-9D2D-7F01591298B1}"/>
            </a:ext>
          </a:extLst>
        </xdr:cNvPr>
        <xdr:cNvPicPr>
          <a:picLocks noChangeAspect="1"/>
        </xdr:cNvPicPr>
      </xdr:nvPicPr>
      <xdr:blipFill rotWithShape="1">
        <a:blip xmlns:r="http://schemas.openxmlformats.org/officeDocument/2006/relationships" r:embed="rId8"/>
        <a:srcRect t="43502" r="20136"/>
        <a:stretch/>
      </xdr:blipFill>
      <xdr:spPr>
        <a:xfrm>
          <a:off x="906780" y="12603480"/>
          <a:ext cx="4472940" cy="1869489"/>
        </a:xfrm>
        <a:prstGeom prst="rect">
          <a:avLst/>
        </a:prstGeom>
      </xdr:spPr>
    </xdr:pic>
    <xdr:clientData/>
  </xdr:twoCellAnchor>
  <xdr:twoCellAnchor>
    <xdr:from>
      <xdr:col>0</xdr:col>
      <xdr:colOff>967740</xdr:colOff>
      <xdr:row>109</xdr:row>
      <xdr:rowOff>53340</xdr:rowOff>
    </xdr:from>
    <xdr:to>
      <xdr:col>15</xdr:col>
      <xdr:colOff>199813</xdr:colOff>
      <xdr:row>125</xdr:row>
      <xdr:rowOff>160020</xdr:rowOff>
    </xdr:to>
    <xdr:grpSp>
      <xdr:nvGrpSpPr>
        <xdr:cNvPr id="8" name="Groupe 7">
          <a:extLst>
            <a:ext uri="{FF2B5EF4-FFF2-40B4-BE49-F238E27FC236}">
              <a16:creationId xmlns:a16="http://schemas.microsoft.com/office/drawing/2014/main" id="{2262B294-A864-1B38-D529-2FBF09637291}"/>
            </a:ext>
          </a:extLst>
        </xdr:cNvPr>
        <xdr:cNvGrpSpPr/>
      </xdr:nvGrpSpPr>
      <xdr:grpSpPr>
        <a:xfrm>
          <a:off x="948690" y="25570815"/>
          <a:ext cx="11795548" cy="2697480"/>
          <a:chOff x="998220" y="23027640"/>
          <a:chExt cx="12140353" cy="2910840"/>
        </a:xfrm>
      </xdr:grpSpPr>
      <xdr:pic>
        <xdr:nvPicPr>
          <xdr:cNvPr id="4" name="Image 3">
            <a:extLst>
              <a:ext uri="{FF2B5EF4-FFF2-40B4-BE49-F238E27FC236}">
                <a16:creationId xmlns:a16="http://schemas.microsoft.com/office/drawing/2014/main" id="{89AD570D-9552-053A-20E1-BBE9849D0375}"/>
              </a:ext>
            </a:extLst>
          </xdr:cNvPr>
          <xdr:cNvPicPr>
            <a:picLocks noChangeAspect="1"/>
          </xdr:cNvPicPr>
        </xdr:nvPicPr>
        <xdr:blipFill>
          <a:blip xmlns:r="http://schemas.openxmlformats.org/officeDocument/2006/relationships" r:embed="rId9"/>
          <a:stretch>
            <a:fillRect/>
          </a:stretch>
        </xdr:blipFill>
        <xdr:spPr>
          <a:xfrm>
            <a:off x="998220" y="23071006"/>
            <a:ext cx="12140353" cy="2792691"/>
          </a:xfrm>
          <a:prstGeom prst="rect">
            <a:avLst/>
          </a:prstGeom>
        </xdr:spPr>
      </xdr:pic>
      <xdr:sp macro="" textlink="">
        <xdr:nvSpPr>
          <xdr:cNvPr id="5" name="Rectangle 4">
            <a:extLst>
              <a:ext uri="{FF2B5EF4-FFF2-40B4-BE49-F238E27FC236}">
                <a16:creationId xmlns:a16="http://schemas.microsoft.com/office/drawing/2014/main" id="{26A7E93E-8B10-6707-C73A-F9881DC7824A}"/>
              </a:ext>
            </a:extLst>
          </xdr:cNvPr>
          <xdr:cNvSpPr/>
        </xdr:nvSpPr>
        <xdr:spPr>
          <a:xfrm>
            <a:off x="7437120" y="23027640"/>
            <a:ext cx="693420" cy="2910840"/>
          </a:xfrm>
          <a:prstGeom prst="rect">
            <a:avLst/>
          </a:prstGeom>
          <a:noFill/>
          <a:ln w="38100">
            <a:solidFill>
              <a:srgbClr val="FF00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fr-FR" sz="1100"/>
          </a:p>
        </xdr:txBody>
      </xdr:sp>
    </xdr:grpSp>
    <xdr:clientData/>
  </xdr:twoCellAnchor>
  <xdr:twoCellAnchor>
    <xdr:from>
      <xdr:col>0</xdr:col>
      <xdr:colOff>845820</xdr:colOff>
      <xdr:row>127</xdr:row>
      <xdr:rowOff>1082040</xdr:rowOff>
    </xdr:from>
    <xdr:to>
      <xdr:col>6</xdr:col>
      <xdr:colOff>622236</xdr:colOff>
      <xdr:row>138</xdr:row>
      <xdr:rowOff>137160</xdr:rowOff>
    </xdr:to>
    <xdr:grpSp>
      <xdr:nvGrpSpPr>
        <xdr:cNvPr id="2" name="Groupe 1">
          <a:extLst>
            <a:ext uri="{FF2B5EF4-FFF2-40B4-BE49-F238E27FC236}">
              <a16:creationId xmlns:a16="http://schemas.microsoft.com/office/drawing/2014/main" id="{40F29809-5FC1-9314-9B46-95D01176827A}"/>
            </a:ext>
          </a:extLst>
        </xdr:cNvPr>
        <xdr:cNvGrpSpPr/>
      </xdr:nvGrpSpPr>
      <xdr:grpSpPr>
        <a:xfrm>
          <a:off x="845820" y="29514165"/>
          <a:ext cx="5462841" cy="1769745"/>
          <a:chOff x="830580" y="27134820"/>
          <a:chExt cx="5620956" cy="1904762"/>
        </a:xfrm>
      </xdr:grpSpPr>
      <xdr:grpSp>
        <xdr:nvGrpSpPr>
          <xdr:cNvPr id="33" name="Groupe 32">
            <a:extLst>
              <a:ext uri="{FF2B5EF4-FFF2-40B4-BE49-F238E27FC236}">
                <a16:creationId xmlns:a16="http://schemas.microsoft.com/office/drawing/2014/main" id="{114E6E93-A232-1C48-D2FE-F3963E62B269}"/>
              </a:ext>
            </a:extLst>
          </xdr:cNvPr>
          <xdr:cNvGrpSpPr/>
        </xdr:nvGrpSpPr>
        <xdr:grpSpPr>
          <a:xfrm>
            <a:off x="830580" y="27134820"/>
            <a:ext cx="5620956" cy="1904762"/>
            <a:chOff x="5516880" y="27492960"/>
            <a:chExt cx="5620956" cy="1904762"/>
          </a:xfrm>
        </xdr:grpSpPr>
        <xdr:pic>
          <xdr:nvPicPr>
            <xdr:cNvPr id="9" name="Image 8">
              <a:extLst>
                <a:ext uri="{FF2B5EF4-FFF2-40B4-BE49-F238E27FC236}">
                  <a16:creationId xmlns:a16="http://schemas.microsoft.com/office/drawing/2014/main" id="{6BCA387F-81CB-BA58-01BA-A8A2E9CA3CE6}"/>
                </a:ext>
              </a:extLst>
            </xdr:cNvPr>
            <xdr:cNvPicPr>
              <a:picLocks noChangeAspect="1"/>
            </xdr:cNvPicPr>
          </xdr:nvPicPr>
          <xdr:blipFill>
            <a:blip xmlns:r="http://schemas.openxmlformats.org/officeDocument/2006/relationships" r:embed="rId10"/>
            <a:stretch>
              <a:fillRect/>
            </a:stretch>
          </xdr:blipFill>
          <xdr:spPr>
            <a:xfrm>
              <a:off x="5547360" y="27492960"/>
              <a:ext cx="5590476" cy="1904762"/>
            </a:xfrm>
            <a:prstGeom prst="rect">
              <a:avLst/>
            </a:prstGeom>
          </xdr:spPr>
        </xdr:pic>
        <xdr:sp macro="" textlink="">
          <xdr:nvSpPr>
            <xdr:cNvPr id="31" name="Rectangle 30">
              <a:extLst>
                <a:ext uri="{FF2B5EF4-FFF2-40B4-BE49-F238E27FC236}">
                  <a16:creationId xmlns:a16="http://schemas.microsoft.com/office/drawing/2014/main" id="{32643615-3F07-E394-4538-B8BF35C06F37}"/>
                </a:ext>
              </a:extLst>
            </xdr:cNvPr>
            <xdr:cNvSpPr/>
          </xdr:nvSpPr>
          <xdr:spPr>
            <a:xfrm>
              <a:off x="5516880" y="28239720"/>
              <a:ext cx="5440680" cy="236220"/>
            </a:xfrm>
            <a:prstGeom prst="rect">
              <a:avLst/>
            </a:prstGeom>
            <a:noFill/>
            <a:ln w="38100">
              <a:solidFill>
                <a:srgbClr val="FF00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fr-FR" sz="1100"/>
            </a:p>
          </xdr:txBody>
        </xdr:sp>
        <xdr:sp macro="" textlink="">
          <xdr:nvSpPr>
            <xdr:cNvPr id="32" name="Rectangle 31">
              <a:extLst>
                <a:ext uri="{FF2B5EF4-FFF2-40B4-BE49-F238E27FC236}">
                  <a16:creationId xmlns:a16="http://schemas.microsoft.com/office/drawing/2014/main" id="{DF364E9C-03E1-491A-AFFE-CDC359C4B95D}"/>
                </a:ext>
              </a:extLst>
            </xdr:cNvPr>
            <xdr:cNvSpPr/>
          </xdr:nvSpPr>
          <xdr:spPr>
            <a:xfrm>
              <a:off x="5524500" y="28445460"/>
              <a:ext cx="5440680" cy="236220"/>
            </a:xfrm>
            <a:prstGeom prst="rect">
              <a:avLst/>
            </a:prstGeom>
            <a:noFill/>
            <a:ln w="38100">
              <a:solidFill>
                <a:srgbClr val="FF00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fr-FR" sz="1100"/>
            </a:p>
          </xdr:txBody>
        </xdr:sp>
      </xdr:grpSp>
      <xdr:sp macro="" textlink="">
        <xdr:nvSpPr>
          <xdr:cNvPr id="34" name="Rectangle 33">
            <a:extLst>
              <a:ext uri="{FF2B5EF4-FFF2-40B4-BE49-F238E27FC236}">
                <a16:creationId xmlns:a16="http://schemas.microsoft.com/office/drawing/2014/main" id="{627AE88D-4CD5-4ECE-9EC5-9C42F1AC6213}"/>
              </a:ext>
            </a:extLst>
          </xdr:cNvPr>
          <xdr:cNvSpPr/>
        </xdr:nvSpPr>
        <xdr:spPr>
          <a:xfrm>
            <a:off x="838200" y="28323540"/>
            <a:ext cx="5440680" cy="220980"/>
          </a:xfrm>
          <a:prstGeom prst="rect">
            <a:avLst/>
          </a:prstGeom>
          <a:noFill/>
          <a:ln w="38100">
            <a:solidFill>
              <a:srgbClr val="FF00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fr-FR" sz="1100"/>
          </a:p>
        </xdr:txBody>
      </xdr:sp>
    </xdr:grpSp>
    <xdr:clientData/>
  </xdr:twoCellAnchor>
  <xdr:twoCellAnchor>
    <xdr:from>
      <xdr:col>0</xdr:col>
      <xdr:colOff>906780</xdr:colOff>
      <xdr:row>90</xdr:row>
      <xdr:rowOff>167640</xdr:rowOff>
    </xdr:from>
    <xdr:to>
      <xdr:col>6</xdr:col>
      <xdr:colOff>652716</xdr:colOff>
      <xdr:row>100</xdr:row>
      <xdr:rowOff>99060</xdr:rowOff>
    </xdr:to>
    <xdr:grpSp>
      <xdr:nvGrpSpPr>
        <xdr:cNvPr id="35" name="Groupe 34">
          <a:extLst>
            <a:ext uri="{FF2B5EF4-FFF2-40B4-BE49-F238E27FC236}">
              <a16:creationId xmlns:a16="http://schemas.microsoft.com/office/drawing/2014/main" id="{E5FB949A-1E97-42E8-BFC5-8ACF2D9076F1}"/>
            </a:ext>
          </a:extLst>
        </xdr:cNvPr>
        <xdr:cNvGrpSpPr/>
      </xdr:nvGrpSpPr>
      <xdr:grpSpPr>
        <a:xfrm>
          <a:off x="906780" y="21351240"/>
          <a:ext cx="5432361" cy="1855470"/>
          <a:chOff x="861060" y="27134820"/>
          <a:chExt cx="5590476" cy="1904762"/>
        </a:xfrm>
      </xdr:grpSpPr>
      <xdr:pic>
        <xdr:nvPicPr>
          <xdr:cNvPr id="38" name="Image 37">
            <a:extLst>
              <a:ext uri="{FF2B5EF4-FFF2-40B4-BE49-F238E27FC236}">
                <a16:creationId xmlns:a16="http://schemas.microsoft.com/office/drawing/2014/main" id="{3E8D2ADB-EECE-9CDB-1842-0AC4A8D2DC99}"/>
              </a:ext>
            </a:extLst>
          </xdr:cNvPr>
          <xdr:cNvPicPr>
            <a:picLocks noChangeAspect="1"/>
          </xdr:cNvPicPr>
        </xdr:nvPicPr>
        <xdr:blipFill>
          <a:blip xmlns:r="http://schemas.openxmlformats.org/officeDocument/2006/relationships" r:embed="rId10"/>
          <a:stretch>
            <a:fillRect/>
          </a:stretch>
        </xdr:blipFill>
        <xdr:spPr>
          <a:xfrm>
            <a:off x="861060" y="27134820"/>
            <a:ext cx="5590476" cy="1904762"/>
          </a:xfrm>
          <a:prstGeom prst="rect">
            <a:avLst/>
          </a:prstGeom>
        </xdr:spPr>
      </xdr:pic>
      <xdr:sp macro="" textlink="">
        <xdr:nvSpPr>
          <xdr:cNvPr id="37" name="Rectangle 36">
            <a:extLst>
              <a:ext uri="{FF2B5EF4-FFF2-40B4-BE49-F238E27FC236}">
                <a16:creationId xmlns:a16="http://schemas.microsoft.com/office/drawing/2014/main" id="{944A0613-CF1E-4EBE-163B-812B2CA87340}"/>
              </a:ext>
            </a:extLst>
          </xdr:cNvPr>
          <xdr:cNvSpPr/>
        </xdr:nvSpPr>
        <xdr:spPr>
          <a:xfrm>
            <a:off x="899160" y="27242879"/>
            <a:ext cx="5440680" cy="220980"/>
          </a:xfrm>
          <a:prstGeom prst="rect">
            <a:avLst/>
          </a:prstGeom>
          <a:noFill/>
          <a:ln w="38100">
            <a:solidFill>
              <a:srgbClr val="FF00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fr-FR"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xdr:colOff>
      <xdr:row>0</xdr:row>
      <xdr:rowOff>1</xdr:rowOff>
    </xdr:from>
    <xdr:to>
      <xdr:col>2</xdr:col>
      <xdr:colOff>2278849</xdr:colOff>
      <xdr:row>3</xdr:row>
      <xdr:rowOff>8283</xdr:rowOff>
    </xdr:to>
    <xdr:pic>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 y="1"/>
          <a:ext cx="2989716" cy="629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1187825</xdr:colOff>
      <xdr:row>2</xdr:row>
      <xdr:rowOff>124240</xdr:rowOff>
    </xdr:from>
    <xdr:to>
      <xdr:col>8</xdr:col>
      <xdr:colOff>588308</xdr:colOff>
      <xdr:row>4</xdr:row>
      <xdr:rowOff>33131</xdr:rowOff>
    </xdr:to>
    <xdr:sp macro="" textlink="">
      <xdr:nvSpPr>
        <xdr:cNvPr id="3" name="Rectangle: Rounded Corners 2">
          <a:extLst>
            <a:ext uri="{FF2B5EF4-FFF2-40B4-BE49-F238E27FC236}">
              <a16:creationId xmlns:a16="http://schemas.microsoft.com/office/drawing/2014/main" id="{00000000-0008-0000-0500-000003000000}"/>
            </a:ext>
          </a:extLst>
        </xdr:cNvPr>
        <xdr:cNvSpPr/>
      </xdr:nvSpPr>
      <xdr:spPr>
        <a:xfrm>
          <a:off x="4885766" y="550064"/>
          <a:ext cx="4846542" cy="334714"/>
        </a:xfrm>
        <a:prstGeom prst="roundRect">
          <a:avLst>
            <a:gd name="adj" fmla="val 26471"/>
          </a:avLst>
        </a:prstGeom>
        <a:solidFill>
          <a:schemeClr val="accent3">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Suivi des Actions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27296</xdr:colOff>
      <xdr:row>2</xdr:row>
      <xdr:rowOff>20476</xdr:rowOff>
    </xdr:from>
    <xdr:to>
      <xdr:col>2</xdr:col>
      <xdr:colOff>210176</xdr:colOff>
      <xdr:row>3</xdr:row>
      <xdr:rowOff>37995</xdr:rowOff>
    </xdr:to>
    <xdr:pic macro="[0]!Delete1">
      <xdr:nvPicPr>
        <xdr:cNvPr id="2" name="Picture 6" descr="Delete icons Royalty Free Vector Image - VectorStock">
          <a:extLst>
            <a:ext uri="{FF2B5EF4-FFF2-40B4-BE49-F238E27FC236}">
              <a16:creationId xmlns:a16="http://schemas.microsoft.com/office/drawing/2014/main" id="{00000000-0008-0000-06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1576317" y="348022"/>
          <a:ext cx="182880" cy="181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22747</xdr:colOff>
      <xdr:row>2</xdr:row>
      <xdr:rowOff>15927</xdr:rowOff>
    </xdr:from>
    <xdr:to>
      <xdr:col>6</xdr:col>
      <xdr:colOff>205627</xdr:colOff>
      <xdr:row>3</xdr:row>
      <xdr:rowOff>33446</xdr:rowOff>
    </xdr:to>
    <xdr:pic macro="[0]!Delete3">
      <xdr:nvPicPr>
        <xdr:cNvPr id="3" name="Picture 6" descr="Delete icons Royalty Free Vector Image - VectorStock">
          <a:extLst>
            <a:ext uri="{FF2B5EF4-FFF2-40B4-BE49-F238E27FC236}">
              <a16:creationId xmlns:a16="http://schemas.microsoft.com/office/drawing/2014/main" id="{00000000-0008-0000-0600-000003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5038299" y="343473"/>
          <a:ext cx="182880" cy="181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11374</xdr:colOff>
      <xdr:row>2</xdr:row>
      <xdr:rowOff>18202</xdr:rowOff>
    </xdr:from>
    <xdr:to>
      <xdr:col>4</xdr:col>
      <xdr:colOff>194254</xdr:colOff>
      <xdr:row>3</xdr:row>
      <xdr:rowOff>35721</xdr:rowOff>
    </xdr:to>
    <xdr:pic macro="[0]!Delete2">
      <xdr:nvPicPr>
        <xdr:cNvPr id="4" name="Picture 6" descr="Delete icons Royalty Free Vector Image - VectorStock">
          <a:extLst>
            <a:ext uri="{FF2B5EF4-FFF2-40B4-BE49-F238E27FC236}">
              <a16:creationId xmlns:a16="http://schemas.microsoft.com/office/drawing/2014/main" id="{00000000-0008-0000-0600-000004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3280013" y="345748"/>
          <a:ext cx="182880" cy="181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27295</xdr:colOff>
      <xdr:row>0</xdr:row>
      <xdr:rowOff>156952</xdr:rowOff>
    </xdr:from>
    <xdr:to>
      <xdr:col>2</xdr:col>
      <xdr:colOff>210175</xdr:colOff>
      <xdr:row>2</xdr:row>
      <xdr:rowOff>12286</xdr:rowOff>
    </xdr:to>
    <xdr:pic macro="[0]!Addition1">
      <xdr:nvPicPr>
        <xdr:cNvPr id="5" name="Picture 4" descr="Ajouter Un Bouton Avec Le Symbole Plus Dans Un Cercle Noir | Icons Gratuite">
          <a:extLst>
            <a:ext uri="{FF2B5EF4-FFF2-40B4-BE49-F238E27FC236}">
              <a16:creationId xmlns:a16="http://schemas.microsoft.com/office/drawing/2014/main" id="{00000000-0008-0000-0600-000005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76316" y="156952"/>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15923</xdr:colOff>
      <xdr:row>0</xdr:row>
      <xdr:rowOff>159228</xdr:rowOff>
    </xdr:from>
    <xdr:to>
      <xdr:col>4</xdr:col>
      <xdr:colOff>198803</xdr:colOff>
      <xdr:row>2</xdr:row>
      <xdr:rowOff>14562</xdr:rowOff>
    </xdr:to>
    <xdr:pic macro="[0]!Addition2">
      <xdr:nvPicPr>
        <xdr:cNvPr id="6" name="Picture 4" descr="Ajouter Un Bouton Avec Le Symbole Plus Dans Un Cercle Noir | Icons Gratuite">
          <a:extLst>
            <a:ext uri="{FF2B5EF4-FFF2-40B4-BE49-F238E27FC236}">
              <a16:creationId xmlns:a16="http://schemas.microsoft.com/office/drawing/2014/main" id="{00000000-0008-0000-0600-000006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284562" y="159228"/>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25021</xdr:colOff>
      <xdr:row>0</xdr:row>
      <xdr:rowOff>147854</xdr:rowOff>
    </xdr:from>
    <xdr:to>
      <xdr:col>6</xdr:col>
      <xdr:colOff>207901</xdr:colOff>
      <xdr:row>2</xdr:row>
      <xdr:rowOff>3188</xdr:rowOff>
    </xdr:to>
    <xdr:pic macro="[0]!Addition3">
      <xdr:nvPicPr>
        <xdr:cNvPr id="7" name="Picture 4" descr="Ajouter Un Bouton Avec Le Symbole Plus Dans Un Cercle Noir | Icons Gratuite">
          <a:extLst>
            <a:ext uri="{FF2B5EF4-FFF2-40B4-BE49-F238E27FC236}">
              <a16:creationId xmlns:a16="http://schemas.microsoft.com/office/drawing/2014/main" id="{00000000-0008-0000-0600-000007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0573" y="147854"/>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Tableau1345" displayName="Tableau1345" ref="B2:L83" totalsRowShown="0" headerRowDxfId="26" dataDxfId="24" headerRowBorderDxfId="25" tableBorderDxfId="23">
  <autoFilter ref="B2:L83" xr:uid="{00000000-0009-0000-0100-000004000000}">
    <filterColumn colId="8">
      <filters blank="1">
        <filter val="A faire"/>
        <filter val="En cours"/>
      </filters>
    </filterColumn>
  </autoFilter>
  <tableColumns count="11">
    <tableColumn id="1" xr3:uid="{00000000-0010-0000-0000-000001000000}" name="N°" dataDxfId="22">
      <calculatedColumnFormula>1+1</calculatedColumnFormula>
    </tableColumn>
    <tableColumn id="2" xr3:uid="{00000000-0010-0000-0000-000002000000}" name="P" dataDxfId="21"/>
    <tableColumn id="3" xr3:uid="{00000000-0010-0000-0000-000003000000}" name="Action" dataDxfId="20"/>
    <tableColumn id="11" xr3:uid="{00000000-0010-0000-0000-00000B000000}" name="Origine" dataDxfId="19"/>
    <tableColumn id="4" xr3:uid="{00000000-0010-0000-0000-000004000000}" name="Acteur" dataDxfId="18"/>
    <tableColumn id="5" xr3:uid="{00000000-0010-0000-0000-000005000000}" name="Échéance" dataDxfId="17"/>
    <tableColumn id="6" xr3:uid="{00000000-0010-0000-0000-000006000000}" name="Réalisation" dataDxfId="16"/>
    <tableColumn id="7" xr3:uid="{00000000-0010-0000-0000-000007000000}" name="Priorité" dataDxfId="15"/>
    <tableColumn id="8" xr3:uid="{00000000-0010-0000-0000-000008000000}" name="Etat" dataDxfId="14"/>
    <tableColumn id="9" xr3:uid="{00000000-0010-0000-0000-000009000000}" name="Commentaire" dataDxfId="13"/>
    <tableColumn id="10" xr3:uid="{00000000-0010-0000-0000-00000A000000}" name="Estimation"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1" displayName="Table1" ref="B2:B7" totalsRowShown="0" headerRowDxfId="11" dataDxfId="10">
  <autoFilter ref="B2:B7" xr:uid="{00000000-0009-0000-0100-000003000000}">
    <filterColumn colId="0" hiddenButton="1"/>
  </autoFilter>
  <tableColumns count="1">
    <tableColumn id="1" xr3:uid="{00000000-0010-0000-0100-000001000000}" name="Etat" dataDxfId="9"/>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able13" displayName="Table13" ref="D2:D6" totalsRowShown="0" headerRowDxfId="8" dataDxfId="7">
  <autoFilter ref="D2:D6" xr:uid="{00000000-0009-0000-0100-000001000000}">
    <filterColumn colId="0" hiddenButton="1"/>
  </autoFilter>
  <tableColumns count="1">
    <tableColumn id="1" xr3:uid="{00000000-0010-0000-0200-000001000000}" name="Priorité" dataDxfId="6"/>
  </tableColumns>
  <tableStyleInfo name="TableStyleMedium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Tableau2" displayName="Tableau2" ref="F2:F7" totalsRowShown="0" headerRowDxfId="5" dataDxfId="3" headerRowBorderDxfId="4" tableBorderDxfId="2" totalsRowBorderDxfId="1" dataCellStyle="Pourcentage">
  <autoFilter ref="F2:F7" xr:uid="{00000000-0009-0000-0100-000002000000}">
    <filterColumn colId="0" hiddenButton="1"/>
  </autoFilter>
  <tableColumns count="1">
    <tableColumn id="1" xr3:uid="{00000000-0010-0000-0300-000001000000}" name="Réalisation" dataDxfId="0" dataCellStyle="Pourcentage"/>
  </tableColumns>
  <tableStyleInfo name="TableStyleLight18" showFirstColumn="0" showLastColumn="0" showRowStripes="1" showColumnStripes="0"/>
</table>
</file>

<file path=xl/theme/theme1.xml><?xml version="1.0" encoding="utf-8"?>
<a:theme xmlns:a="http://schemas.openxmlformats.org/drawingml/2006/main" name="Thème Office">
  <a:themeElements>
    <a:clrScheme name="Bureau">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Bureau">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4.xm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4"/>
  </sheetPr>
  <dimension ref="B2:BQ30"/>
  <sheetViews>
    <sheetView workbookViewId="0">
      <pane xSplit="4" topLeftCell="AZ1" activePane="topRight" state="frozenSplit"/>
      <selection pane="topRight" activeCell="BJ25" sqref="BJ25"/>
    </sheetView>
  </sheetViews>
  <sheetFormatPr baseColWidth="10" defaultColWidth="11.42578125" defaultRowHeight="12.75" x14ac:dyDescent="0.2"/>
  <cols>
    <col min="1" max="1" width="4.7109375" customWidth="1"/>
    <col min="4" max="4" width="1.42578125" customWidth="1"/>
  </cols>
  <sheetData>
    <row r="2" spans="2:69" x14ac:dyDescent="0.2">
      <c r="B2" s="7" t="s">
        <v>0</v>
      </c>
    </row>
    <row r="4" spans="2:69" x14ac:dyDescent="0.2">
      <c r="B4" s="8" t="str">
        <f>Paramètres!A1</f>
        <v>Département</v>
      </c>
      <c r="C4" s="10">
        <f ca="1">TODAY()</f>
        <v>44908</v>
      </c>
      <c r="D4" s="11"/>
      <c r="E4" s="12">
        <v>41190</v>
      </c>
      <c r="F4" s="12">
        <f t="shared" ref="F4:AL4" si="0">E4+7</f>
        <v>41197</v>
      </c>
      <c r="G4" s="12">
        <f t="shared" si="0"/>
        <v>41204</v>
      </c>
      <c r="H4" s="12">
        <f t="shared" si="0"/>
        <v>41211</v>
      </c>
      <c r="I4" s="12">
        <f t="shared" si="0"/>
        <v>41218</v>
      </c>
      <c r="J4" s="12">
        <f t="shared" si="0"/>
        <v>41225</v>
      </c>
      <c r="K4" s="12">
        <f t="shared" si="0"/>
        <v>41232</v>
      </c>
      <c r="L4" s="12">
        <f t="shared" si="0"/>
        <v>41239</v>
      </c>
      <c r="M4" s="12">
        <f t="shared" si="0"/>
        <v>41246</v>
      </c>
      <c r="N4" s="12">
        <f t="shared" si="0"/>
        <v>41253</v>
      </c>
      <c r="O4" s="12">
        <f t="shared" si="0"/>
        <v>41260</v>
      </c>
      <c r="P4" s="12">
        <f t="shared" si="0"/>
        <v>41267</v>
      </c>
      <c r="Q4" s="12">
        <f t="shared" si="0"/>
        <v>41274</v>
      </c>
      <c r="R4" s="12">
        <f t="shared" si="0"/>
        <v>41281</v>
      </c>
      <c r="S4" s="12">
        <f t="shared" si="0"/>
        <v>41288</v>
      </c>
      <c r="T4" s="12">
        <f t="shared" si="0"/>
        <v>41295</v>
      </c>
      <c r="U4" s="12">
        <f t="shared" si="0"/>
        <v>41302</v>
      </c>
      <c r="V4" s="12">
        <f t="shared" si="0"/>
        <v>41309</v>
      </c>
      <c r="W4" s="12">
        <f t="shared" si="0"/>
        <v>41316</v>
      </c>
      <c r="X4" s="12">
        <v>41324</v>
      </c>
      <c r="Y4" s="12">
        <f t="shared" si="0"/>
        <v>41331</v>
      </c>
      <c r="Z4" s="12">
        <f t="shared" si="0"/>
        <v>41338</v>
      </c>
      <c r="AA4" s="12">
        <f t="shared" si="0"/>
        <v>41345</v>
      </c>
      <c r="AB4" s="12">
        <f t="shared" si="0"/>
        <v>41352</v>
      </c>
      <c r="AC4" s="12">
        <f t="shared" si="0"/>
        <v>41359</v>
      </c>
      <c r="AD4" s="12">
        <f t="shared" si="0"/>
        <v>41366</v>
      </c>
      <c r="AE4" s="12">
        <f t="shared" si="0"/>
        <v>41373</v>
      </c>
      <c r="AF4" s="12">
        <f t="shared" si="0"/>
        <v>41380</v>
      </c>
      <c r="AG4" s="12">
        <f t="shared" si="0"/>
        <v>41387</v>
      </c>
      <c r="AH4" s="12">
        <f t="shared" si="0"/>
        <v>41394</v>
      </c>
      <c r="AI4" s="12">
        <f t="shared" si="0"/>
        <v>41401</v>
      </c>
      <c r="AJ4" s="12">
        <f t="shared" si="0"/>
        <v>41408</v>
      </c>
      <c r="AK4" s="12">
        <f t="shared" si="0"/>
        <v>41415</v>
      </c>
      <c r="AL4" s="12">
        <f t="shared" si="0"/>
        <v>41422</v>
      </c>
      <c r="AM4" s="12">
        <f t="shared" ref="AM4:AV4" si="1">AL4+7</f>
        <v>41429</v>
      </c>
      <c r="AN4" s="12">
        <f t="shared" si="1"/>
        <v>41436</v>
      </c>
      <c r="AO4" s="12">
        <f t="shared" si="1"/>
        <v>41443</v>
      </c>
      <c r="AP4" s="12">
        <f t="shared" si="1"/>
        <v>41450</v>
      </c>
      <c r="AQ4" s="12">
        <f t="shared" si="1"/>
        <v>41457</v>
      </c>
      <c r="AR4" s="12">
        <f t="shared" si="1"/>
        <v>41464</v>
      </c>
      <c r="AS4" s="12">
        <f t="shared" si="1"/>
        <v>41471</v>
      </c>
      <c r="AT4" s="12">
        <f t="shared" si="1"/>
        <v>41478</v>
      </c>
      <c r="AU4" s="12">
        <f t="shared" si="1"/>
        <v>41485</v>
      </c>
      <c r="AV4" s="12">
        <f t="shared" si="1"/>
        <v>41492</v>
      </c>
      <c r="AW4" s="12">
        <f t="shared" ref="AW4:BQ4" si="2">AV4+7</f>
        <v>41499</v>
      </c>
      <c r="AX4" s="12">
        <f t="shared" si="2"/>
        <v>41506</v>
      </c>
      <c r="AY4" s="12">
        <f t="shared" si="2"/>
        <v>41513</v>
      </c>
      <c r="AZ4" s="12">
        <f t="shared" si="2"/>
        <v>41520</v>
      </c>
      <c r="BA4" s="12">
        <f t="shared" si="2"/>
        <v>41527</v>
      </c>
      <c r="BB4" s="12">
        <f t="shared" si="2"/>
        <v>41534</v>
      </c>
      <c r="BC4" s="12">
        <f t="shared" si="2"/>
        <v>41541</v>
      </c>
      <c r="BD4" s="12">
        <f t="shared" si="2"/>
        <v>41548</v>
      </c>
      <c r="BE4" s="12">
        <f t="shared" si="2"/>
        <v>41555</v>
      </c>
      <c r="BF4" s="12">
        <f t="shared" si="2"/>
        <v>41562</v>
      </c>
      <c r="BG4" s="12">
        <f t="shared" si="2"/>
        <v>41569</v>
      </c>
      <c r="BH4" s="12">
        <f t="shared" si="2"/>
        <v>41576</v>
      </c>
      <c r="BI4" s="12">
        <f t="shared" si="2"/>
        <v>41583</v>
      </c>
      <c r="BJ4" s="12">
        <f t="shared" si="2"/>
        <v>41590</v>
      </c>
      <c r="BK4" s="12">
        <f t="shared" si="2"/>
        <v>41597</v>
      </c>
      <c r="BL4" s="12">
        <f t="shared" si="2"/>
        <v>41604</v>
      </c>
      <c r="BM4" s="12">
        <f t="shared" si="2"/>
        <v>41611</v>
      </c>
      <c r="BN4" s="12">
        <f t="shared" si="2"/>
        <v>41618</v>
      </c>
      <c r="BO4" s="12">
        <f t="shared" si="2"/>
        <v>41625</v>
      </c>
      <c r="BP4" s="12">
        <f t="shared" si="2"/>
        <v>41632</v>
      </c>
      <c r="BQ4" s="12">
        <f t="shared" si="2"/>
        <v>41639</v>
      </c>
    </row>
    <row r="5" spans="2:69" x14ac:dyDescent="0.2">
      <c r="B5" s="9" t="str">
        <f>Paramètres!A2</f>
        <v>DSI</v>
      </c>
      <c r="C5" s="15" t="e">
        <f>COUNTIFS(#REF!,1,#REF!,'Suivi evolution'!$B5)</f>
        <v>#REF!</v>
      </c>
      <c r="D5" s="11"/>
      <c r="E5" s="14">
        <v>1</v>
      </c>
      <c r="F5" s="14">
        <v>2</v>
      </c>
      <c r="G5" s="14">
        <v>2</v>
      </c>
      <c r="H5" s="14">
        <v>2</v>
      </c>
      <c r="I5" s="14">
        <v>2</v>
      </c>
      <c r="J5" s="14">
        <v>2</v>
      </c>
      <c r="K5" s="14">
        <v>2</v>
      </c>
      <c r="L5" s="14">
        <v>2</v>
      </c>
      <c r="M5" s="14">
        <v>2</v>
      </c>
      <c r="N5" s="14">
        <v>2</v>
      </c>
      <c r="O5" s="14">
        <v>2</v>
      </c>
      <c r="P5" s="14">
        <v>2</v>
      </c>
      <c r="Q5" s="14">
        <v>2</v>
      </c>
      <c r="R5" s="14">
        <v>2</v>
      </c>
      <c r="S5" s="14">
        <v>2</v>
      </c>
      <c r="T5" s="14">
        <v>2</v>
      </c>
      <c r="U5" s="14">
        <v>2</v>
      </c>
      <c r="V5" s="14">
        <v>2</v>
      </c>
      <c r="W5" s="14">
        <v>2</v>
      </c>
      <c r="X5" s="14">
        <v>2</v>
      </c>
      <c r="Y5" s="14">
        <v>2</v>
      </c>
      <c r="Z5" s="14">
        <v>2</v>
      </c>
      <c r="AA5" s="14">
        <v>2</v>
      </c>
      <c r="AB5" s="14">
        <v>2</v>
      </c>
      <c r="AC5" s="14">
        <v>2</v>
      </c>
      <c r="AD5" s="14">
        <v>2</v>
      </c>
      <c r="AE5" s="14">
        <v>2</v>
      </c>
      <c r="AF5" s="14">
        <v>2</v>
      </c>
      <c r="AG5" s="14">
        <v>2</v>
      </c>
      <c r="AH5" s="14">
        <v>2</v>
      </c>
      <c r="AI5" s="14">
        <v>2</v>
      </c>
      <c r="AJ5" s="14">
        <v>2</v>
      </c>
      <c r="AK5" s="14">
        <v>2</v>
      </c>
      <c r="AL5" s="14">
        <v>1</v>
      </c>
      <c r="AM5" s="14">
        <v>1</v>
      </c>
      <c r="AN5" s="14">
        <v>2</v>
      </c>
      <c r="AO5" s="14">
        <v>2</v>
      </c>
      <c r="AP5" s="14">
        <v>3</v>
      </c>
      <c r="AQ5" s="14">
        <v>2</v>
      </c>
      <c r="AR5" s="14">
        <v>2</v>
      </c>
      <c r="AS5" s="14">
        <v>2</v>
      </c>
      <c r="AT5" s="14">
        <v>2</v>
      </c>
      <c r="AU5" s="14">
        <v>1</v>
      </c>
      <c r="AV5" s="14">
        <v>1</v>
      </c>
      <c r="AW5" s="14">
        <v>1</v>
      </c>
      <c r="AX5" s="14">
        <v>1</v>
      </c>
      <c r="AY5" s="14">
        <v>1</v>
      </c>
      <c r="AZ5" s="14">
        <v>1</v>
      </c>
      <c r="BA5" s="14">
        <v>1</v>
      </c>
      <c r="BB5" s="14">
        <v>1</v>
      </c>
      <c r="BC5" s="14">
        <v>1</v>
      </c>
      <c r="BD5" s="14">
        <v>1</v>
      </c>
      <c r="BE5" s="14">
        <v>1</v>
      </c>
      <c r="BF5" s="14">
        <v>1</v>
      </c>
      <c r="BG5" s="14">
        <v>1</v>
      </c>
      <c r="BH5" s="14">
        <v>0</v>
      </c>
      <c r="BI5" s="14">
        <v>0</v>
      </c>
      <c r="BJ5" s="14"/>
      <c r="BK5" s="14">
        <v>0</v>
      </c>
      <c r="BL5" s="14">
        <v>0</v>
      </c>
      <c r="BM5" s="14"/>
      <c r="BN5" s="14"/>
      <c r="BO5" s="14"/>
      <c r="BP5" s="14"/>
      <c r="BQ5" s="14"/>
    </row>
    <row r="6" spans="2:69" x14ac:dyDescent="0.2">
      <c r="B6" s="9" t="str">
        <f>Paramètres!A3</f>
        <v>MOE</v>
      </c>
      <c r="C6" s="15" t="e">
        <f>COUNTIFS(#REF!,1,#REF!,'Suivi evolution'!$B6)</f>
        <v>#REF!</v>
      </c>
      <c r="D6" s="11"/>
      <c r="E6" s="14">
        <v>8</v>
      </c>
      <c r="F6" s="14">
        <v>5</v>
      </c>
      <c r="G6" s="14">
        <v>7</v>
      </c>
      <c r="H6" s="14">
        <v>12</v>
      </c>
      <c r="I6" s="14">
        <v>14</v>
      </c>
      <c r="J6" s="14">
        <v>12</v>
      </c>
      <c r="K6" s="14">
        <v>12</v>
      </c>
      <c r="L6" s="14">
        <v>9</v>
      </c>
      <c r="M6" s="14">
        <v>12</v>
      </c>
      <c r="N6" s="14">
        <v>12</v>
      </c>
      <c r="O6" s="14">
        <v>14</v>
      </c>
      <c r="P6" s="14">
        <v>14</v>
      </c>
      <c r="Q6" s="14">
        <v>14</v>
      </c>
      <c r="R6" s="14">
        <v>14</v>
      </c>
      <c r="S6" s="14">
        <v>19</v>
      </c>
      <c r="T6" s="14">
        <v>18</v>
      </c>
      <c r="U6" s="14">
        <v>19</v>
      </c>
      <c r="V6" s="14">
        <v>17</v>
      </c>
      <c r="W6" s="14">
        <v>19</v>
      </c>
      <c r="X6" s="14">
        <v>17</v>
      </c>
      <c r="Y6" s="14">
        <v>15</v>
      </c>
      <c r="Z6" s="14">
        <v>15</v>
      </c>
      <c r="AA6" s="14">
        <v>20</v>
      </c>
      <c r="AB6" s="14">
        <v>17</v>
      </c>
      <c r="AC6" s="14">
        <v>16</v>
      </c>
      <c r="AD6" s="14">
        <v>15</v>
      </c>
      <c r="AE6" s="14">
        <v>16</v>
      </c>
      <c r="AF6" s="14">
        <v>10</v>
      </c>
      <c r="AG6" s="14">
        <v>13</v>
      </c>
      <c r="AH6" s="14">
        <v>13</v>
      </c>
      <c r="AI6" s="14">
        <v>13</v>
      </c>
      <c r="AJ6" s="14">
        <v>13</v>
      </c>
      <c r="AK6" s="14">
        <v>12</v>
      </c>
      <c r="AL6" s="14">
        <v>13</v>
      </c>
      <c r="AM6" s="14">
        <v>13</v>
      </c>
      <c r="AN6" s="14">
        <v>15</v>
      </c>
      <c r="AO6" s="14">
        <v>12</v>
      </c>
      <c r="AP6" s="14">
        <v>9</v>
      </c>
      <c r="AQ6" s="14">
        <v>11</v>
      </c>
      <c r="AR6" s="14">
        <v>8</v>
      </c>
      <c r="AS6" s="14">
        <v>7</v>
      </c>
      <c r="AT6" s="14">
        <v>9</v>
      </c>
      <c r="AU6" s="14">
        <v>7</v>
      </c>
      <c r="AV6" s="14">
        <v>12</v>
      </c>
      <c r="AW6" s="14">
        <v>11</v>
      </c>
      <c r="AX6" s="14">
        <v>11</v>
      </c>
      <c r="AY6" s="14">
        <v>11</v>
      </c>
      <c r="AZ6" s="14">
        <v>11</v>
      </c>
      <c r="BA6" s="14">
        <v>11</v>
      </c>
      <c r="BB6" s="14">
        <v>14</v>
      </c>
      <c r="BC6" s="14">
        <v>10</v>
      </c>
      <c r="BD6" s="14">
        <v>10</v>
      </c>
      <c r="BE6" s="14">
        <v>11</v>
      </c>
      <c r="BF6" s="14">
        <v>14</v>
      </c>
      <c r="BG6" s="14">
        <v>13</v>
      </c>
      <c r="BH6" s="14">
        <v>12</v>
      </c>
      <c r="BI6" s="14">
        <v>12</v>
      </c>
      <c r="BJ6" s="14">
        <v>14</v>
      </c>
      <c r="BK6" s="14">
        <v>12</v>
      </c>
      <c r="BL6" s="14">
        <v>12</v>
      </c>
      <c r="BM6" s="14"/>
      <c r="BN6" s="14"/>
      <c r="BO6" s="14"/>
      <c r="BP6" s="14"/>
      <c r="BQ6" s="14"/>
    </row>
    <row r="7" spans="2:69" x14ac:dyDescent="0.2">
      <c r="B7" s="9" t="str">
        <f>Paramètres!A4</f>
        <v>AMO</v>
      </c>
      <c r="C7" s="15" t="e">
        <f>COUNTIFS(#REF!,1,#REF!,'Suivi evolution'!$B7)</f>
        <v>#REF!</v>
      </c>
      <c r="D7" s="11"/>
      <c r="E7" s="14">
        <v>5</v>
      </c>
      <c r="F7" s="14">
        <v>5</v>
      </c>
      <c r="G7" s="14">
        <v>6</v>
      </c>
      <c r="H7" s="14">
        <v>6</v>
      </c>
      <c r="I7" s="14">
        <v>5</v>
      </c>
      <c r="J7" s="14">
        <v>5</v>
      </c>
      <c r="K7" s="14">
        <v>6</v>
      </c>
      <c r="L7" s="14">
        <v>7</v>
      </c>
      <c r="M7" s="14">
        <v>6</v>
      </c>
      <c r="N7" s="14">
        <v>6</v>
      </c>
      <c r="O7" s="14">
        <v>5</v>
      </c>
      <c r="P7" s="14">
        <v>5</v>
      </c>
      <c r="Q7" s="14">
        <v>5</v>
      </c>
      <c r="R7" s="14">
        <v>5</v>
      </c>
      <c r="S7" s="14">
        <v>15</v>
      </c>
      <c r="T7" s="14">
        <v>13</v>
      </c>
      <c r="U7" s="14">
        <v>13</v>
      </c>
      <c r="V7" s="14">
        <v>14</v>
      </c>
      <c r="W7" s="14">
        <v>11</v>
      </c>
      <c r="X7" s="14">
        <v>13</v>
      </c>
      <c r="Y7" s="14">
        <v>12</v>
      </c>
      <c r="Z7" s="14">
        <v>12</v>
      </c>
      <c r="AA7" s="14">
        <v>14</v>
      </c>
      <c r="AB7" s="14">
        <v>10</v>
      </c>
      <c r="AC7" s="14">
        <v>7</v>
      </c>
      <c r="AD7" s="14">
        <v>6</v>
      </c>
      <c r="AE7" s="14">
        <v>5</v>
      </c>
      <c r="AF7" s="14">
        <v>4</v>
      </c>
      <c r="AG7" s="14">
        <v>5</v>
      </c>
      <c r="AH7" s="14">
        <v>7</v>
      </c>
      <c r="AI7" s="14">
        <v>7</v>
      </c>
      <c r="AJ7" s="14">
        <v>7</v>
      </c>
      <c r="AK7" s="14">
        <v>7</v>
      </c>
      <c r="AL7" s="14">
        <v>7</v>
      </c>
      <c r="AM7" s="14">
        <v>7</v>
      </c>
      <c r="AN7" s="14">
        <v>7</v>
      </c>
      <c r="AO7" s="14">
        <v>5</v>
      </c>
      <c r="AP7" s="14">
        <v>4</v>
      </c>
      <c r="AQ7" s="14">
        <v>5</v>
      </c>
      <c r="AR7" s="14">
        <v>5</v>
      </c>
      <c r="AS7" s="14">
        <v>4</v>
      </c>
      <c r="AT7" s="14">
        <v>5</v>
      </c>
      <c r="AU7" s="14">
        <v>6</v>
      </c>
      <c r="AV7" s="14">
        <v>7</v>
      </c>
      <c r="AW7" s="14">
        <v>6</v>
      </c>
      <c r="AX7" s="14">
        <v>6</v>
      </c>
      <c r="AY7" s="14">
        <v>6</v>
      </c>
      <c r="AZ7" s="14">
        <v>6</v>
      </c>
      <c r="BA7" s="14">
        <v>7</v>
      </c>
      <c r="BB7" s="14">
        <v>7</v>
      </c>
      <c r="BC7" s="14">
        <v>6</v>
      </c>
      <c r="BD7" s="14">
        <v>7</v>
      </c>
      <c r="BE7" s="14">
        <v>6</v>
      </c>
      <c r="BF7" s="14">
        <v>6</v>
      </c>
      <c r="BG7" s="14">
        <v>6</v>
      </c>
      <c r="BH7" s="14">
        <v>9</v>
      </c>
      <c r="BI7" s="14">
        <v>9</v>
      </c>
      <c r="BJ7" s="14">
        <v>9</v>
      </c>
      <c r="BK7" s="14">
        <v>11</v>
      </c>
      <c r="BL7" s="14">
        <v>12</v>
      </c>
      <c r="BM7" s="14"/>
      <c r="BN7" s="14"/>
      <c r="BO7" s="14"/>
      <c r="BP7" s="14"/>
      <c r="BQ7" s="14"/>
    </row>
    <row r="8" spans="2:69" x14ac:dyDescent="0.2">
      <c r="B8" s="9" t="str">
        <f>Paramètres!A5</f>
        <v>DPM</v>
      </c>
      <c r="C8" s="15" t="e">
        <f>COUNTIFS(#REF!,1,#REF!,'Suivi evolution'!$B8)</f>
        <v>#REF!</v>
      </c>
      <c r="D8" s="11"/>
      <c r="E8" s="14">
        <v>4</v>
      </c>
      <c r="F8" s="14">
        <v>4</v>
      </c>
      <c r="G8" s="14">
        <v>4</v>
      </c>
      <c r="H8" s="14">
        <v>5</v>
      </c>
      <c r="I8" s="14">
        <v>5</v>
      </c>
      <c r="J8" s="14">
        <v>3</v>
      </c>
      <c r="K8" s="14">
        <v>4</v>
      </c>
      <c r="L8" s="14">
        <v>4</v>
      </c>
      <c r="M8" s="14">
        <v>6</v>
      </c>
      <c r="N8" s="14">
        <v>6</v>
      </c>
      <c r="O8" s="14">
        <v>5</v>
      </c>
      <c r="P8" s="14">
        <v>5</v>
      </c>
      <c r="Q8" s="14">
        <v>5</v>
      </c>
      <c r="R8" s="14">
        <v>5</v>
      </c>
      <c r="S8" s="14">
        <v>5</v>
      </c>
      <c r="T8" s="14">
        <v>5</v>
      </c>
      <c r="U8" s="14">
        <v>2</v>
      </c>
      <c r="V8" s="14">
        <v>2</v>
      </c>
      <c r="W8" s="14">
        <v>2</v>
      </c>
      <c r="X8" s="14">
        <v>2</v>
      </c>
      <c r="Y8" s="14">
        <v>2</v>
      </c>
      <c r="Z8" s="14">
        <v>2</v>
      </c>
      <c r="AA8" s="14">
        <v>2</v>
      </c>
      <c r="AB8" s="14">
        <v>2</v>
      </c>
      <c r="AC8" s="14">
        <v>2</v>
      </c>
      <c r="AD8" s="14">
        <v>2</v>
      </c>
      <c r="AE8" s="14">
        <v>2</v>
      </c>
      <c r="AF8" s="14">
        <v>2</v>
      </c>
      <c r="AG8" s="14">
        <v>2</v>
      </c>
      <c r="AH8" s="14">
        <v>2</v>
      </c>
      <c r="AI8" s="14">
        <v>2</v>
      </c>
      <c r="AJ8" s="14">
        <v>2</v>
      </c>
      <c r="AK8" s="14">
        <v>2</v>
      </c>
      <c r="AL8" s="14">
        <v>2</v>
      </c>
      <c r="AM8" s="14">
        <v>2</v>
      </c>
      <c r="AN8" s="14">
        <v>2</v>
      </c>
      <c r="AO8" s="14">
        <v>3</v>
      </c>
      <c r="AP8" s="14">
        <v>3</v>
      </c>
      <c r="AQ8" s="14">
        <v>1</v>
      </c>
      <c r="AR8" s="14">
        <v>2</v>
      </c>
      <c r="AS8" s="14">
        <v>2</v>
      </c>
      <c r="AT8" s="14">
        <v>2</v>
      </c>
      <c r="AU8" s="14">
        <v>2</v>
      </c>
      <c r="AV8" s="14">
        <v>2</v>
      </c>
      <c r="AW8" s="14">
        <v>2</v>
      </c>
      <c r="AX8" s="14">
        <v>2</v>
      </c>
      <c r="AY8" s="14">
        <v>2</v>
      </c>
      <c r="AZ8" s="14">
        <v>2</v>
      </c>
      <c r="BA8" s="14">
        <v>3</v>
      </c>
      <c r="BB8" s="14">
        <v>3</v>
      </c>
      <c r="BC8" s="14">
        <v>3</v>
      </c>
      <c r="BD8" s="14">
        <v>3</v>
      </c>
      <c r="BE8" s="14">
        <v>2</v>
      </c>
      <c r="BF8" s="14">
        <v>2</v>
      </c>
      <c r="BG8" s="14">
        <v>2</v>
      </c>
      <c r="BH8" s="14">
        <v>1</v>
      </c>
      <c r="BI8" s="14">
        <v>1</v>
      </c>
      <c r="BJ8" s="14">
        <v>1</v>
      </c>
      <c r="BK8" s="14">
        <v>3</v>
      </c>
      <c r="BL8" s="14">
        <v>1</v>
      </c>
      <c r="BM8" s="14"/>
      <c r="BN8" s="14"/>
      <c r="BO8" s="14"/>
      <c r="BP8" s="14"/>
      <c r="BQ8" s="14"/>
    </row>
    <row r="9" spans="2:69" x14ac:dyDescent="0.2">
      <c r="B9" s="9" t="str">
        <f>Paramètres!A6</f>
        <v>DNTE</v>
      </c>
      <c r="C9" s="15" t="e">
        <f>COUNTIFS(#REF!,1,#REF!,'Suivi evolution'!$B9)</f>
        <v>#REF!</v>
      </c>
      <c r="D9" s="11"/>
      <c r="E9" s="14">
        <v>0</v>
      </c>
      <c r="F9" s="14">
        <v>2</v>
      </c>
      <c r="G9" s="14">
        <v>2</v>
      </c>
      <c r="H9" s="14">
        <v>2</v>
      </c>
      <c r="I9" s="14">
        <v>2</v>
      </c>
      <c r="J9" s="14">
        <v>2</v>
      </c>
      <c r="K9" s="14">
        <v>2</v>
      </c>
      <c r="L9" s="14">
        <v>2</v>
      </c>
      <c r="M9" s="14">
        <v>2</v>
      </c>
      <c r="N9" s="14">
        <v>2</v>
      </c>
      <c r="O9" s="14">
        <v>1</v>
      </c>
      <c r="P9" s="14">
        <v>1</v>
      </c>
      <c r="Q9" s="14">
        <v>1</v>
      </c>
      <c r="R9" s="14">
        <v>1</v>
      </c>
      <c r="S9" s="14">
        <v>0</v>
      </c>
      <c r="T9" s="14">
        <v>0</v>
      </c>
      <c r="U9" s="14">
        <v>0</v>
      </c>
      <c r="V9" s="14">
        <v>0</v>
      </c>
      <c r="W9" s="14">
        <v>0</v>
      </c>
      <c r="X9" s="14">
        <v>0</v>
      </c>
      <c r="Y9" s="14">
        <v>0</v>
      </c>
      <c r="Z9" s="14">
        <v>0</v>
      </c>
      <c r="AA9" s="14">
        <v>0</v>
      </c>
      <c r="AB9" s="14">
        <v>0</v>
      </c>
      <c r="AC9" s="14">
        <v>1</v>
      </c>
      <c r="AD9" s="14">
        <v>1</v>
      </c>
      <c r="AE9" s="14">
        <v>1</v>
      </c>
      <c r="AF9" s="14">
        <v>2</v>
      </c>
      <c r="AG9" s="14">
        <v>2</v>
      </c>
      <c r="AH9" s="14">
        <v>2</v>
      </c>
      <c r="AI9" s="14">
        <v>2</v>
      </c>
      <c r="AJ9" s="14">
        <v>2</v>
      </c>
      <c r="AK9" s="14">
        <v>1</v>
      </c>
      <c r="AL9" s="14">
        <v>1</v>
      </c>
      <c r="AM9" s="14">
        <v>1</v>
      </c>
      <c r="AN9" s="14">
        <v>1</v>
      </c>
      <c r="AO9" s="14">
        <v>1</v>
      </c>
      <c r="AP9" s="14">
        <v>1</v>
      </c>
      <c r="AQ9" s="14">
        <v>1</v>
      </c>
      <c r="AR9" s="14">
        <v>0</v>
      </c>
      <c r="AS9" s="14">
        <v>0</v>
      </c>
      <c r="AT9" s="14">
        <v>0</v>
      </c>
      <c r="AU9" s="14">
        <v>0</v>
      </c>
      <c r="AV9" s="14">
        <v>0</v>
      </c>
      <c r="AW9" s="14">
        <v>0</v>
      </c>
      <c r="AX9" s="14">
        <v>0</v>
      </c>
      <c r="AY9" s="14">
        <v>0</v>
      </c>
      <c r="AZ9" s="14">
        <v>0</v>
      </c>
      <c r="BA9" s="14">
        <v>0</v>
      </c>
      <c r="BB9" s="14">
        <v>0</v>
      </c>
      <c r="BC9" s="14">
        <v>0</v>
      </c>
      <c r="BD9" s="14">
        <v>0</v>
      </c>
      <c r="BE9" s="14">
        <v>0</v>
      </c>
      <c r="BF9" s="14">
        <v>0</v>
      </c>
      <c r="BG9" s="14">
        <v>0</v>
      </c>
      <c r="BH9" s="14">
        <v>0</v>
      </c>
      <c r="BI9" s="14">
        <v>0</v>
      </c>
      <c r="BJ9" s="14">
        <v>0</v>
      </c>
      <c r="BK9" s="14">
        <v>0</v>
      </c>
      <c r="BL9" s="14">
        <v>0</v>
      </c>
      <c r="BM9" s="14"/>
      <c r="BN9" s="14"/>
      <c r="BO9" s="14"/>
      <c r="BP9" s="14"/>
      <c r="BQ9" s="14"/>
    </row>
    <row r="10" spans="2:69" x14ac:dyDescent="0.2">
      <c r="B10" s="9" t="str">
        <f>Paramètres!A7</f>
        <v>SRP</v>
      </c>
      <c r="C10" s="15" t="e">
        <f>COUNTIFS(#REF!,1,#REF!,'Suivi evolution'!$B10)</f>
        <v>#REF!</v>
      </c>
      <c r="D10" s="11"/>
      <c r="E10" s="14">
        <v>0</v>
      </c>
      <c r="F10" s="14">
        <v>0</v>
      </c>
      <c r="G10" s="14">
        <v>0</v>
      </c>
      <c r="H10" s="14">
        <v>0</v>
      </c>
      <c r="I10" s="14">
        <v>0</v>
      </c>
      <c r="J10" s="14">
        <v>0</v>
      </c>
      <c r="K10" s="14">
        <v>0</v>
      </c>
      <c r="L10" s="14">
        <v>0</v>
      </c>
      <c r="M10" s="14">
        <v>0</v>
      </c>
      <c r="N10" s="14">
        <v>0</v>
      </c>
      <c r="O10" s="14">
        <v>0</v>
      </c>
      <c r="P10" s="14">
        <v>0</v>
      </c>
      <c r="Q10" s="14">
        <v>0</v>
      </c>
      <c r="R10" s="14">
        <v>0</v>
      </c>
      <c r="S10" s="14">
        <v>0</v>
      </c>
      <c r="T10" s="14">
        <v>0</v>
      </c>
      <c r="U10" s="14">
        <v>0</v>
      </c>
      <c r="V10" s="14">
        <v>0</v>
      </c>
      <c r="W10" s="14">
        <v>0</v>
      </c>
      <c r="X10" s="14">
        <v>0</v>
      </c>
      <c r="Y10" s="14">
        <v>0</v>
      </c>
      <c r="Z10" s="14">
        <v>0</v>
      </c>
      <c r="AA10" s="14">
        <v>0</v>
      </c>
      <c r="AB10" s="14">
        <v>0</v>
      </c>
      <c r="AC10" s="14">
        <v>0</v>
      </c>
      <c r="AD10" s="14">
        <v>0</v>
      </c>
      <c r="AE10" s="14">
        <v>0</v>
      </c>
      <c r="AF10" s="14">
        <v>0</v>
      </c>
      <c r="AG10" s="14">
        <v>0</v>
      </c>
      <c r="AH10" s="14">
        <v>0</v>
      </c>
      <c r="AI10" s="14">
        <v>0</v>
      </c>
      <c r="AJ10" s="14">
        <v>0</v>
      </c>
      <c r="AK10" s="14">
        <v>0</v>
      </c>
      <c r="AL10" s="14">
        <v>0</v>
      </c>
      <c r="AM10" s="14">
        <v>0</v>
      </c>
      <c r="AN10" s="14">
        <v>0</v>
      </c>
      <c r="AO10" s="14">
        <v>0</v>
      </c>
      <c r="AP10" s="14">
        <v>0</v>
      </c>
      <c r="AQ10" s="14">
        <v>0</v>
      </c>
      <c r="AR10" s="14">
        <v>0</v>
      </c>
      <c r="AS10" s="14">
        <v>0</v>
      </c>
      <c r="AT10" s="14">
        <v>0</v>
      </c>
      <c r="AU10" s="14">
        <v>0</v>
      </c>
      <c r="AV10" s="14">
        <v>0</v>
      </c>
      <c r="AW10" s="14">
        <v>0</v>
      </c>
      <c r="AX10" s="14">
        <v>0</v>
      </c>
      <c r="AY10" s="14">
        <v>0</v>
      </c>
      <c r="AZ10" s="14">
        <v>0</v>
      </c>
      <c r="BA10" s="14">
        <v>0</v>
      </c>
      <c r="BB10" s="14">
        <v>0</v>
      </c>
      <c r="BC10" s="14">
        <v>0</v>
      </c>
      <c r="BD10" s="14">
        <v>0</v>
      </c>
      <c r="BE10" s="14">
        <v>0</v>
      </c>
      <c r="BF10" s="14">
        <v>0</v>
      </c>
      <c r="BG10" s="14">
        <v>0</v>
      </c>
      <c r="BH10" s="14">
        <v>0</v>
      </c>
      <c r="BI10" s="14">
        <v>0</v>
      </c>
      <c r="BJ10" s="14">
        <v>0</v>
      </c>
      <c r="BK10" s="14">
        <v>0</v>
      </c>
      <c r="BL10" s="14">
        <v>0</v>
      </c>
      <c r="BM10" s="14"/>
      <c r="BN10" s="14"/>
      <c r="BO10" s="14"/>
      <c r="BP10" s="14"/>
      <c r="BQ10" s="14"/>
    </row>
    <row r="11" spans="2:69" x14ac:dyDescent="0.2">
      <c r="B11" s="9" t="str">
        <f>Paramètres!A8</f>
        <v>Sources</v>
      </c>
      <c r="C11" s="15" t="e">
        <f>COUNTIFS(#REF!,1,#REF!,'Suivi evolution'!$B11)</f>
        <v>#REF!</v>
      </c>
      <c r="D11" s="11"/>
      <c r="E11" s="14">
        <v>0</v>
      </c>
      <c r="F11" s="14">
        <v>0</v>
      </c>
      <c r="G11" s="14">
        <v>0</v>
      </c>
      <c r="H11" s="14">
        <v>0</v>
      </c>
      <c r="I11" s="14">
        <v>0</v>
      </c>
      <c r="J11" s="14">
        <v>0</v>
      </c>
      <c r="K11" s="14">
        <v>0</v>
      </c>
      <c r="L11" s="14">
        <v>0</v>
      </c>
      <c r="M11" s="14">
        <v>0</v>
      </c>
      <c r="N11" s="14">
        <v>0</v>
      </c>
      <c r="O11" s="14">
        <v>0</v>
      </c>
      <c r="P11" s="14">
        <v>0</v>
      </c>
      <c r="Q11" s="14">
        <v>0</v>
      </c>
      <c r="R11" s="14">
        <v>0</v>
      </c>
      <c r="S11" s="14">
        <v>0</v>
      </c>
      <c r="T11" s="14">
        <v>0</v>
      </c>
      <c r="U11" s="14">
        <v>0</v>
      </c>
      <c r="V11" s="14">
        <v>0</v>
      </c>
      <c r="W11" s="14">
        <v>0</v>
      </c>
      <c r="X11" s="14">
        <v>0</v>
      </c>
      <c r="Y11" s="14">
        <v>0</v>
      </c>
      <c r="Z11" s="14">
        <v>0</v>
      </c>
      <c r="AA11" s="14">
        <v>0</v>
      </c>
      <c r="AB11" s="14">
        <v>0</v>
      </c>
      <c r="AC11" s="14">
        <v>0</v>
      </c>
      <c r="AD11" s="14">
        <v>0</v>
      </c>
      <c r="AE11" s="14">
        <v>0</v>
      </c>
      <c r="AF11" s="14">
        <v>0</v>
      </c>
      <c r="AG11" s="14">
        <v>0</v>
      </c>
      <c r="AH11" s="14">
        <v>0</v>
      </c>
      <c r="AI11" s="14">
        <v>0</v>
      </c>
      <c r="AJ11" s="14">
        <v>0</v>
      </c>
      <c r="AK11" s="14">
        <v>0</v>
      </c>
      <c r="AL11" s="14">
        <v>0</v>
      </c>
      <c r="AM11" s="14">
        <v>0</v>
      </c>
      <c r="AN11" s="14">
        <v>0</v>
      </c>
      <c r="AO11" s="14">
        <v>0</v>
      </c>
      <c r="AP11" s="14">
        <v>0</v>
      </c>
      <c r="AQ11" s="14">
        <v>0</v>
      </c>
      <c r="AR11" s="14">
        <v>0</v>
      </c>
      <c r="AS11" s="14">
        <v>0</v>
      </c>
      <c r="AT11" s="14">
        <v>0</v>
      </c>
      <c r="AU11" s="14">
        <v>0</v>
      </c>
      <c r="AV11" s="14">
        <v>0</v>
      </c>
      <c r="AW11" s="14">
        <v>0</v>
      </c>
      <c r="AX11" s="14">
        <v>0</v>
      </c>
      <c r="AY11" s="14">
        <v>0</v>
      </c>
      <c r="AZ11" s="14">
        <v>0</v>
      </c>
      <c r="BA11" s="14">
        <v>0</v>
      </c>
      <c r="BB11" s="14">
        <v>0</v>
      </c>
      <c r="BC11" s="14">
        <v>0</v>
      </c>
      <c r="BD11" s="14">
        <v>0</v>
      </c>
      <c r="BE11" s="14">
        <v>0</v>
      </c>
      <c r="BF11" s="14">
        <v>0</v>
      </c>
      <c r="BG11" s="14">
        <v>0</v>
      </c>
      <c r="BH11" s="14">
        <v>0</v>
      </c>
      <c r="BI11" s="14">
        <v>0</v>
      </c>
      <c r="BJ11" s="14">
        <v>0</v>
      </c>
      <c r="BK11" s="14">
        <v>0</v>
      </c>
      <c r="BL11" s="14">
        <v>0</v>
      </c>
      <c r="BM11" s="14"/>
      <c r="BN11" s="14"/>
      <c r="BO11" s="14"/>
      <c r="BP11" s="14"/>
      <c r="BQ11" s="14"/>
    </row>
    <row r="12" spans="2:69" x14ac:dyDescent="0.2">
      <c r="B12" s="9" t="str">
        <f>Paramètres!A9</f>
        <v>Rédaction</v>
      </c>
      <c r="C12" s="15" t="e">
        <f>COUNTIFS(#REF!,1,#REF!,'Suivi evolution'!$B12)</f>
        <v>#REF!</v>
      </c>
      <c r="D12" s="11"/>
      <c r="E12" s="14">
        <v>0</v>
      </c>
      <c r="F12" s="14">
        <v>0</v>
      </c>
      <c r="G12" s="14">
        <v>0</v>
      </c>
      <c r="H12" s="14">
        <v>0</v>
      </c>
      <c r="I12" s="14">
        <v>0</v>
      </c>
      <c r="J12" s="14">
        <v>0</v>
      </c>
      <c r="K12" s="14">
        <v>0</v>
      </c>
      <c r="L12" s="14">
        <v>0</v>
      </c>
      <c r="M12" s="14">
        <v>0</v>
      </c>
      <c r="N12" s="14">
        <v>0</v>
      </c>
      <c r="O12" s="14">
        <v>0</v>
      </c>
      <c r="P12" s="14">
        <v>0</v>
      </c>
      <c r="Q12" s="14">
        <v>0</v>
      </c>
      <c r="R12" s="14">
        <v>0</v>
      </c>
      <c r="S12" s="14">
        <v>0</v>
      </c>
      <c r="T12" s="14">
        <v>0</v>
      </c>
      <c r="U12" s="14">
        <v>0</v>
      </c>
      <c r="V12" s="14">
        <v>0</v>
      </c>
      <c r="W12" s="14">
        <v>0</v>
      </c>
      <c r="X12" s="14">
        <v>0</v>
      </c>
      <c r="Y12" s="14">
        <v>0</v>
      </c>
      <c r="Z12" s="14">
        <v>0</v>
      </c>
      <c r="AA12" s="14">
        <v>0</v>
      </c>
      <c r="AB12" s="14">
        <v>0</v>
      </c>
      <c r="AC12" s="14">
        <v>0</v>
      </c>
      <c r="AD12" s="14">
        <v>0</v>
      </c>
      <c r="AE12" s="14">
        <v>0</v>
      </c>
      <c r="AF12" s="14">
        <v>0</v>
      </c>
      <c r="AG12" s="14">
        <v>0</v>
      </c>
      <c r="AH12" s="14">
        <v>0</v>
      </c>
      <c r="AI12" s="14">
        <v>0</v>
      </c>
      <c r="AJ12" s="14">
        <v>0</v>
      </c>
      <c r="AK12" s="14">
        <v>0</v>
      </c>
      <c r="AL12" s="14">
        <v>0</v>
      </c>
      <c r="AM12" s="14">
        <v>0</v>
      </c>
      <c r="AN12" s="14">
        <v>0</v>
      </c>
      <c r="AO12" s="14">
        <v>0</v>
      </c>
      <c r="AP12" s="14">
        <v>0</v>
      </c>
      <c r="AQ12" s="14">
        <v>0</v>
      </c>
      <c r="AR12" s="14">
        <v>0</v>
      </c>
      <c r="AS12" s="14">
        <v>0</v>
      </c>
      <c r="AT12" s="14">
        <v>0</v>
      </c>
      <c r="AU12" s="14">
        <v>0</v>
      </c>
      <c r="AV12" s="14">
        <v>0</v>
      </c>
      <c r="AW12" s="14">
        <v>0</v>
      </c>
      <c r="AX12" s="14">
        <v>0</v>
      </c>
      <c r="AY12" s="14">
        <v>0</v>
      </c>
      <c r="AZ12" s="14">
        <v>0</v>
      </c>
      <c r="BA12" s="14">
        <v>0</v>
      </c>
      <c r="BB12" s="14">
        <v>0</v>
      </c>
      <c r="BC12" s="14">
        <v>0</v>
      </c>
      <c r="BD12" s="14">
        <v>0</v>
      </c>
      <c r="BE12" s="14">
        <v>0</v>
      </c>
      <c r="BF12" s="14">
        <v>0</v>
      </c>
      <c r="BG12" s="14">
        <v>0</v>
      </c>
      <c r="BH12" s="14">
        <v>0</v>
      </c>
      <c r="BI12" s="14">
        <v>0</v>
      </c>
      <c r="BJ12" s="14">
        <v>0</v>
      </c>
      <c r="BK12" s="14">
        <v>0</v>
      </c>
      <c r="BL12" s="14">
        <v>0</v>
      </c>
      <c r="BM12" s="14"/>
      <c r="BN12" s="14"/>
      <c r="BO12" s="14"/>
      <c r="BP12" s="14"/>
      <c r="BQ12" s="14"/>
    </row>
    <row r="13" spans="2:69" x14ac:dyDescent="0.2">
      <c r="B13" s="9" t="str">
        <f>Paramètres!A10</f>
        <v>ITG</v>
      </c>
      <c r="C13" s="15" t="e">
        <f>COUNTIFS(#REF!,1,#REF!,'Suivi evolution'!$B13)</f>
        <v>#REF!</v>
      </c>
      <c r="D13" s="11"/>
      <c r="E13" s="14">
        <v>5</v>
      </c>
      <c r="F13" s="14">
        <v>5</v>
      </c>
      <c r="G13" s="14">
        <v>5</v>
      </c>
      <c r="H13" s="14">
        <v>5</v>
      </c>
      <c r="I13" s="14">
        <v>5</v>
      </c>
      <c r="J13" s="14">
        <v>5</v>
      </c>
      <c r="K13" s="14">
        <v>5</v>
      </c>
      <c r="L13" s="14">
        <v>5</v>
      </c>
      <c r="M13" s="14">
        <v>5</v>
      </c>
      <c r="N13" s="14">
        <v>5</v>
      </c>
      <c r="O13" s="14">
        <v>5</v>
      </c>
      <c r="P13" s="14">
        <v>5</v>
      </c>
      <c r="Q13" s="14">
        <v>5</v>
      </c>
      <c r="R13" s="14">
        <v>5</v>
      </c>
      <c r="S13" s="14">
        <v>7</v>
      </c>
      <c r="T13" s="14">
        <v>7</v>
      </c>
      <c r="U13" s="14">
        <v>7</v>
      </c>
      <c r="V13" s="14">
        <v>7</v>
      </c>
      <c r="W13" s="14">
        <v>7</v>
      </c>
      <c r="X13" s="14">
        <v>7</v>
      </c>
      <c r="Y13" s="14">
        <v>7</v>
      </c>
      <c r="Z13" s="14">
        <v>7</v>
      </c>
      <c r="AA13" s="14">
        <v>11</v>
      </c>
      <c r="AB13" s="14">
        <v>11</v>
      </c>
      <c r="AC13" s="14">
        <v>11</v>
      </c>
      <c r="AD13" s="14">
        <v>11</v>
      </c>
      <c r="AE13" s="14">
        <v>11</v>
      </c>
      <c r="AF13" s="14">
        <v>10</v>
      </c>
      <c r="AG13" s="14">
        <v>10</v>
      </c>
      <c r="AH13" s="14">
        <v>10</v>
      </c>
      <c r="AI13" s="14">
        <v>10</v>
      </c>
      <c r="AJ13" s="14">
        <v>10</v>
      </c>
      <c r="AK13" s="14">
        <v>9</v>
      </c>
      <c r="AL13" s="14">
        <v>9</v>
      </c>
      <c r="AM13" s="14">
        <v>9</v>
      </c>
      <c r="AN13" s="14">
        <v>9</v>
      </c>
      <c r="AO13" s="14">
        <v>9</v>
      </c>
      <c r="AP13" s="14">
        <v>9</v>
      </c>
      <c r="AQ13" s="14">
        <v>9</v>
      </c>
      <c r="AR13" s="14">
        <v>9</v>
      </c>
      <c r="AS13" s="14">
        <v>9</v>
      </c>
      <c r="AT13" s="14">
        <v>9</v>
      </c>
      <c r="AU13" s="14">
        <v>9</v>
      </c>
      <c r="AV13" s="14">
        <v>9</v>
      </c>
      <c r="AW13" s="14">
        <v>9</v>
      </c>
      <c r="AX13" s="14">
        <v>9</v>
      </c>
      <c r="AY13" s="14">
        <v>9</v>
      </c>
      <c r="AZ13" s="14">
        <v>9</v>
      </c>
      <c r="BA13" s="14">
        <v>9</v>
      </c>
      <c r="BB13" s="14">
        <v>9</v>
      </c>
      <c r="BC13" s="14">
        <v>9</v>
      </c>
      <c r="BD13" s="14">
        <v>9</v>
      </c>
      <c r="BE13" s="14">
        <v>9</v>
      </c>
      <c r="BF13" s="14">
        <v>9</v>
      </c>
      <c r="BG13" s="14">
        <v>9</v>
      </c>
      <c r="BH13" s="14">
        <v>9</v>
      </c>
      <c r="BI13" s="14">
        <v>9</v>
      </c>
      <c r="BJ13" s="14">
        <v>9</v>
      </c>
      <c r="BK13" s="14">
        <v>9</v>
      </c>
      <c r="BL13" s="14">
        <v>10</v>
      </c>
      <c r="BM13" s="14"/>
      <c r="BN13" s="14"/>
      <c r="BO13" s="14"/>
      <c r="BP13" s="14"/>
      <c r="BQ13" s="14"/>
    </row>
    <row r="14" spans="2:69" x14ac:dyDescent="0.2">
      <c r="B14" s="9" t="str">
        <f>Paramètres!A11</f>
        <v>Infra</v>
      </c>
      <c r="C14" s="15" t="e">
        <f>COUNTIFS(#REF!,1,#REF!,'Suivi evolution'!$B14)</f>
        <v>#REF!</v>
      </c>
      <c r="D14" s="11"/>
      <c r="E14" s="14"/>
      <c r="F14" s="14"/>
      <c r="G14" s="1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c r="AU14" s="14"/>
      <c r="AV14" s="14"/>
      <c r="AW14" s="14">
        <v>1</v>
      </c>
      <c r="AX14" s="14">
        <v>1</v>
      </c>
      <c r="AY14" s="14">
        <v>1</v>
      </c>
      <c r="AZ14" s="14">
        <v>1</v>
      </c>
      <c r="BA14" s="14">
        <v>1</v>
      </c>
      <c r="BB14" s="14">
        <v>1</v>
      </c>
      <c r="BC14" s="14">
        <v>1</v>
      </c>
      <c r="BD14" s="14">
        <v>1</v>
      </c>
      <c r="BE14" s="14">
        <v>1</v>
      </c>
      <c r="BF14" s="14">
        <v>1</v>
      </c>
      <c r="BG14" s="14">
        <v>0</v>
      </c>
      <c r="BH14" s="14">
        <v>0</v>
      </c>
      <c r="BI14" s="14">
        <v>0</v>
      </c>
      <c r="BJ14" s="14"/>
      <c r="BK14" s="14">
        <v>0</v>
      </c>
      <c r="BL14" s="14">
        <v>0</v>
      </c>
      <c r="BM14" s="14"/>
      <c r="BN14" s="14"/>
      <c r="BO14" s="14"/>
      <c r="BP14" s="14"/>
      <c r="BQ14" s="14"/>
    </row>
    <row r="15" spans="2:69" x14ac:dyDescent="0.2">
      <c r="B15" s="8" t="s">
        <v>1</v>
      </c>
      <c r="C15" s="16" t="e">
        <f>SUM(C5:C14)</f>
        <v>#REF!</v>
      </c>
      <c r="D15" s="11"/>
      <c r="E15" s="17">
        <f t="shared" ref="E15:J15" si="3">SUM(E5:E14)</f>
        <v>23</v>
      </c>
      <c r="F15" s="17">
        <f t="shared" si="3"/>
        <v>23</v>
      </c>
      <c r="G15" s="17">
        <f t="shared" si="3"/>
        <v>26</v>
      </c>
      <c r="H15" s="17">
        <f t="shared" si="3"/>
        <v>32</v>
      </c>
      <c r="I15" s="17">
        <f t="shared" si="3"/>
        <v>33</v>
      </c>
      <c r="J15" s="17">
        <f t="shared" si="3"/>
        <v>29</v>
      </c>
      <c r="K15" s="17">
        <f t="shared" ref="K15:BQ15" si="4">SUM(K5:K14)</f>
        <v>31</v>
      </c>
      <c r="L15" s="17">
        <f t="shared" si="4"/>
        <v>29</v>
      </c>
      <c r="M15" s="17">
        <f t="shared" si="4"/>
        <v>33</v>
      </c>
      <c r="N15" s="17">
        <f t="shared" si="4"/>
        <v>33</v>
      </c>
      <c r="O15" s="17">
        <f t="shared" si="4"/>
        <v>32</v>
      </c>
      <c r="P15" s="17">
        <f t="shared" si="4"/>
        <v>32</v>
      </c>
      <c r="Q15" s="17">
        <f t="shared" si="4"/>
        <v>32</v>
      </c>
      <c r="R15" s="17">
        <f t="shared" si="4"/>
        <v>32</v>
      </c>
      <c r="S15" s="17">
        <f t="shared" si="4"/>
        <v>48</v>
      </c>
      <c r="T15" s="17">
        <f t="shared" si="4"/>
        <v>45</v>
      </c>
      <c r="U15" s="17">
        <f t="shared" si="4"/>
        <v>43</v>
      </c>
      <c r="V15" s="17">
        <f t="shared" si="4"/>
        <v>42</v>
      </c>
      <c r="W15" s="17">
        <f t="shared" si="4"/>
        <v>41</v>
      </c>
      <c r="X15" s="17">
        <f t="shared" si="4"/>
        <v>41</v>
      </c>
      <c r="Y15" s="17">
        <f t="shared" si="4"/>
        <v>38</v>
      </c>
      <c r="Z15" s="17">
        <f t="shared" si="4"/>
        <v>38</v>
      </c>
      <c r="AA15" s="17">
        <f t="shared" si="4"/>
        <v>49</v>
      </c>
      <c r="AB15" s="17">
        <f t="shared" si="4"/>
        <v>42</v>
      </c>
      <c r="AC15" s="17">
        <f t="shared" si="4"/>
        <v>39</v>
      </c>
      <c r="AD15" s="17">
        <f t="shared" si="4"/>
        <v>37</v>
      </c>
      <c r="AE15" s="17">
        <f t="shared" si="4"/>
        <v>37</v>
      </c>
      <c r="AF15" s="17">
        <f t="shared" si="4"/>
        <v>30</v>
      </c>
      <c r="AG15" s="17">
        <f t="shared" si="4"/>
        <v>34</v>
      </c>
      <c r="AH15" s="17">
        <f t="shared" si="4"/>
        <v>36</v>
      </c>
      <c r="AI15" s="17">
        <f t="shared" si="4"/>
        <v>36</v>
      </c>
      <c r="AJ15" s="17">
        <f t="shared" si="4"/>
        <v>36</v>
      </c>
      <c r="AK15" s="17">
        <f t="shared" si="4"/>
        <v>33</v>
      </c>
      <c r="AL15" s="17">
        <f t="shared" si="4"/>
        <v>33</v>
      </c>
      <c r="AM15" s="17">
        <f t="shared" si="4"/>
        <v>33</v>
      </c>
      <c r="AN15" s="17">
        <f t="shared" si="4"/>
        <v>36</v>
      </c>
      <c r="AO15" s="17">
        <f t="shared" si="4"/>
        <v>32</v>
      </c>
      <c r="AP15" s="17">
        <f t="shared" si="4"/>
        <v>29</v>
      </c>
      <c r="AQ15" s="17">
        <f t="shared" si="4"/>
        <v>29</v>
      </c>
      <c r="AR15" s="17">
        <f t="shared" si="4"/>
        <v>26</v>
      </c>
      <c r="AS15" s="17">
        <f t="shared" si="4"/>
        <v>24</v>
      </c>
      <c r="AT15" s="17">
        <f t="shared" si="4"/>
        <v>27</v>
      </c>
      <c r="AU15" s="17">
        <f t="shared" si="4"/>
        <v>25</v>
      </c>
      <c r="AV15" s="17">
        <f t="shared" si="4"/>
        <v>31</v>
      </c>
      <c r="AW15" s="17">
        <f t="shared" si="4"/>
        <v>30</v>
      </c>
      <c r="AX15" s="17">
        <f t="shared" si="4"/>
        <v>30</v>
      </c>
      <c r="AY15" s="17">
        <f t="shared" si="4"/>
        <v>30</v>
      </c>
      <c r="AZ15" s="17">
        <f t="shared" si="4"/>
        <v>30</v>
      </c>
      <c r="BA15" s="17">
        <f t="shared" si="4"/>
        <v>32</v>
      </c>
      <c r="BB15" s="17">
        <f t="shared" si="4"/>
        <v>35</v>
      </c>
      <c r="BC15" s="17">
        <f t="shared" si="4"/>
        <v>30</v>
      </c>
      <c r="BD15" s="17">
        <f t="shared" si="4"/>
        <v>31</v>
      </c>
      <c r="BE15" s="17">
        <f t="shared" si="4"/>
        <v>30</v>
      </c>
      <c r="BF15" s="17">
        <f t="shared" si="4"/>
        <v>33</v>
      </c>
      <c r="BG15" s="17">
        <f t="shared" si="4"/>
        <v>31</v>
      </c>
      <c r="BH15" s="17">
        <f t="shared" si="4"/>
        <v>31</v>
      </c>
      <c r="BI15" s="17">
        <f t="shared" si="4"/>
        <v>31</v>
      </c>
      <c r="BJ15" s="17">
        <f t="shared" si="4"/>
        <v>33</v>
      </c>
      <c r="BK15" s="17">
        <f t="shared" si="4"/>
        <v>35</v>
      </c>
      <c r="BL15" s="17">
        <f t="shared" si="4"/>
        <v>35</v>
      </c>
      <c r="BM15" s="17">
        <f t="shared" si="4"/>
        <v>0</v>
      </c>
      <c r="BN15" s="17">
        <f t="shared" si="4"/>
        <v>0</v>
      </c>
      <c r="BO15" s="17">
        <f t="shared" si="4"/>
        <v>0</v>
      </c>
      <c r="BP15" s="17">
        <f t="shared" si="4"/>
        <v>0</v>
      </c>
      <c r="BQ15" s="17">
        <f t="shared" si="4"/>
        <v>0</v>
      </c>
    </row>
    <row r="17" spans="2:69" x14ac:dyDescent="0.2">
      <c r="B17" s="7" t="s">
        <v>2</v>
      </c>
    </row>
    <row r="19" spans="2:69" x14ac:dyDescent="0.2">
      <c r="B19" s="8" t="str">
        <f>Paramètres!A1</f>
        <v>Département</v>
      </c>
      <c r="C19" s="10">
        <f ca="1">TODAY()</f>
        <v>44908</v>
      </c>
      <c r="D19" s="11"/>
      <c r="E19" s="12">
        <f>E4</f>
        <v>41190</v>
      </c>
      <c r="F19" s="12">
        <f t="shared" ref="F19:BQ19" si="5">F4</f>
        <v>41197</v>
      </c>
      <c r="G19" s="12">
        <f t="shared" si="5"/>
        <v>41204</v>
      </c>
      <c r="H19" s="12">
        <f t="shared" si="5"/>
        <v>41211</v>
      </c>
      <c r="I19" s="12">
        <f t="shared" si="5"/>
        <v>41218</v>
      </c>
      <c r="J19" s="12">
        <f t="shared" si="5"/>
        <v>41225</v>
      </c>
      <c r="K19" s="12">
        <f t="shared" si="5"/>
        <v>41232</v>
      </c>
      <c r="L19" s="12">
        <f t="shared" si="5"/>
        <v>41239</v>
      </c>
      <c r="M19" s="12">
        <f t="shared" si="5"/>
        <v>41246</v>
      </c>
      <c r="N19" s="12">
        <f t="shared" si="5"/>
        <v>41253</v>
      </c>
      <c r="O19" s="12">
        <f t="shared" si="5"/>
        <v>41260</v>
      </c>
      <c r="P19" s="12">
        <f t="shared" si="5"/>
        <v>41267</v>
      </c>
      <c r="Q19" s="12">
        <f t="shared" si="5"/>
        <v>41274</v>
      </c>
      <c r="R19" s="12">
        <f t="shared" si="5"/>
        <v>41281</v>
      </c>
      <c r="S19" s="12">
        <f t="shared" si="5"/>
        <v>41288</v>
      </c>
      <c r="T19" s="12">
        <f t="shared" si="5"/>
        <v>41295</v>
      </c>
      <c r="U19" s="12">
        <f t="shared" si="5"/>
        <v>41302</v>
      </c>
      <c r="V19" s="12">
        <f t="shared" si="5"/>
        <v>41309</v>
      </c>
      <c r="W19" s="12">
        <f t="shared" si="5"/>
        <v>41316</v>
      </c>
      <c r="X19" s="12">
        <f t="shared" si="5"/>
        <v>41324</v>
      </c>
      <c r="Y19" s="12">
        <f t="shared" si="5"/>
        <v>41331</v>
      </c>
      <c r="Z19" s="12">
        <f t="shared" si="5"/>
        <v>41338</v>
      </c>
      <c r="AA19" s="12">
        <f t="shared" si="5"/>
        <v>41345</v>
      </c>
      <c r="AB19" s="12">
        <f t="shared" si="5"/>
        <v>41352</v>
      </c>
      <c r="AC19" s="12">
        <f t="shared" si="5"/>
        <v>41359</v>
      </c>
      <c r="AD19" s="12">
        <f t="shared" si="5"/>
        <v>41366</v>
      </c>
      <c r="AE19" s="12">
        <f t="shared" si="5"/>
        <v>41373</v>
      </c>
      <c r="AF19" s="12">
        <f t="shared" si="5"/>
        <v>41380</v>
      </c>
      <c r="AG19" s="12">
        <f t="shared" si="5"/>
        <v>41387</v>
      </c>
      <c r="AH19" s="12">
        <f t="shared" si="5"/>
        <v>41394</v>
      </c>
      <c r="AI19" s="12">
        <f t="shared" si="5"/>
        <v>41401</v>
      </c>
      <c r="AJ19" s="12">
        <f t="shared" si="5"/>
        <v>41408</v>
      </c>
      <c r="AK19" s="12">
        <f t="shared" si="5"/>
        <v>41415</v>
      </c>
      <c r="AL19" s="12">
        <f t="shared" si="5"/>
        <v>41422</v>
      </c>
      <c r="AM19" s="12">
        <f t="shared" si="5"/>
        <v>41429</v>
      </c>
      <c r="AN19" s="12">
        <f t="shared" si="5"/>
        <v>41436</v>
      </c>
      <c r="AO19" s="12">
        <f t="shared" si="5"/>
        <v>41443</v>
      </c>
      <c r="AP19" s="12">
        <f t="shared" si="5"/>
        <v>41450</v>
      </c>
      <c r="AQ19" s="12">
        <f t="shared" si="5"/>
        <v>41457</v>
      </c>
      <c r="AR19" s="12">
        <f t="shared" si="5"/>
        <v>41464</v>
      </c>
      <c r="AS19" s="12">
        <f t="shared" si="5"/>
        <v>41471</v>
      </c>
      <c r="AT19" s="12">
        <f t="shared" si="5"/>
        <v>41478</v>
      </c>
      <c r="AU19" s="12">
        <f t="shared" si="5"/>
        <v>41485</v>
      </c>
      <c r="AV19" s="12">
        <f t="shared" si="5"/>
        <v>41492</v>
      </c>
      <c r="AW19" s="12">
        <f t="shared" si="5"/>
        <v>41499</v>
      </c>
      <c r="AX19" s="12">
        <f t="shared" si="5"/>
        <v>41506</v>
      </c>
      <c r="AY19" s="12">
        <f t="shared" si="5"/>
        <v>41513</v>
      </c>
      <c r="AZ19" s="12">
        <f t="shared" si="5"/>
        <v>41520</v>
      </c>
      <c r="BA19" s="12">
        <f t="shared" si="5"/>
        <v>41527</v>
      </c>
      <c r="BB19" s="12">
        <f t="shared" si="5"/>
        <v>41534</v>
      </c>
      <c r="BC19" s="12">
        <f t="shared" si="5"/>
        <v>41541</v>
      </c>
      <c r="BD19" s="12">
        <f t="shared" si="5"/>
        <v>41548</v>
      </c>
      <c r="BE19" s="12">
        <f t="shared" si="5"/>
        <v>41555</v>
      </c>
      <c r="BF19" s="12">
        <f t="shared" si="5"/>
        <v>41562</v>
      </c>
      <c r="BG19" s="12">
        <f t="shared" si="5"/>
        <v>41569</v>
      </c>
      <c r="BH19" s="12">
        <f t="shared" si="5"/>
        <v>41576</v>
      </c>
      <c r="BI19" s="12">
        <f t="shared" si="5"/>
        <v>41583</v>
      </c>
      <c r="BJ19" s="12">
        <f t="shared" si="5"/>
        <v>41590</v>
      </c>
      <c r="BK19" s="12">
        <f t="shared" si="5"/>
        <v>41597</v>
      </c>
      <c r="BL19" s="12">
        <f t="shared" si="5"/>
        <v>41604</v>
      </c>
      <c r="BM19" s="12">
        <f t="shared" si="5"/>
        <v>41611</v>
      </c>
      <c r="BN19" s="12">
        <f t="shared" si="5"/>
        <v>41618</v>
      </c>
      <c r="BO19" s="12">
        <f t="shared" si="5"/>
        <v>41625</v>
      </c>
      <c r="BP19" s="12">
        <f t="shared" si="5"/>
        <v>41632</v>
      </c>
      <c r="BQ19" s="12">
        <f t="shared" si="5"/>
        <v>41639</v>
      </c>
    </row>
    <row r="20" spans="2:69" x14ac:dyDescent="0.2">
      <c r="B20" s="9" t="str">
        <f>Paramètres!A2</f>
        <v>DSI</v>
      </c>
      <c r="C20" s="15" t="e">
        <f>COUNTIFS(#REF!,1,#REF!,'Suivi evolution'!$B5)</f>
        <v>#REF!</v>
      </c>
      <c r="D20" s="11"/>
      <c r="E20" s="14">
        <v>0</v>
      </c>
      <c r="F20" s="14">
        <v>0</v>
      </c>
      <c r="G20" s="14">
        <v>0</v>
      </c>
      <c r="H20" s="14">
        <v>1</v>
      </c>
      <c r="I20" s="14">
        <v>1</v>
      </c>
      <c r="J20" s="14">
        <v>1</v>
      </c>
      <c r="K20" s="14">
        <v>1</v>
      </c>
      <c r="L20" s="14">
        <v>0</v>
      </c>
      <c r="M20" s="14">
        <v>0</v>
      </c>
      <c r="N20" s="14">
        <v>0</v>
      </c>
      <c r="O20" s="14">
        <v>0</v>
      </c>
      <c r="P20" s="14">
        <v>0</v>
      </c>
      <c r="Q20" s="14">
        <v>0</v>
      </c>
      <c r="R20" s="14"/>
      <c r="S20" s="14">
        <v>0</v>
      </c>
      <c r="T20" s="14">
        <v>0</v>
      </c>
      <c r="U20" s="14">
        <v>0</v>
      </c>
      <c r="V20" s="14">
        <v>0</v>
      </c>
      <c r="W20" s="14">
        <v>0</v>
      </c>
      <c r="X20" s="14">
        <v>0</v>
      </c>
      <c r="Y20" s="14">
        <v>1</v>
      </c>
      <c r="Z20" s="14">
        <v>1</v>
      </c>
      <c r="AA20" s="14">
        <v>1</v>
      </c>
      <c r="AB20" s="14">
        <v>1</v>
      </c>
      <c r="AC20" s="14">
        <v>1</v>
      </c>
      <c r="AD20" s="14">
        <v>1</v>
      </c>
      <c r="AE20" s="14">
        <v>1</v>
      </c>
      <c r="AF20" s="14">
        <v>1</v>
      </c>
      <c r="AG20" s="14">
        <v>0</v>
      </c>
      <c r="AH20" s="14">
        <v>0</v>
      </c>
      <c r="AI20" s="14">
        <v>0</v>
      </c>
      <c r="AJ20" s="14">
        <v>0</v>
      </c>
      <c r="AK20" s="14">
        <v>0</v>
      </c>
      <c r="AL20" s="14">
        <v>0</v>
      </c>
      <c r="AM20" s="14">
        <v>0</v>
      </c>
      <c r="AN20" s="14">
        <v>0</v>
      </c>
      <c r="AO20" s="14">
        <v>1</v>
      </c>
      <c r="AP20" s="14">
        <v>2</v>
      </c>
      <c r="AQ20" s="14">
        <v>2</v>
      </c>
      <c r="AR20" s="14">
        <v>2</v>
      </c>
      <c r="AS20" s="14">
        <v>2</v>
      </c>
      <c r="AT20" s="14">
        <v>2</v>
      </c>
      <c r="AU20" s="14">
        <v>1</v>
      </c>
      <c r="AV20" s="14">
        <v>1</v>
      </c>
      <c r="AW20" s="14">
        <v>1</v>
      </c>
      <c r="AX20" s="14">
        <v>1</v>
      </c>
      <c r="AY20" s="14">
        <v>1</v>
      </c>
      <c r="AZ20" s="14">
        <v>1</v>
      </c>
      <c r="BA20" s="14">
        <v>1</v>
      </c>
      <c r="BB20" s="14">
        <v>1</v>
      </c>
      <c r="BC20" s="14">
        <v>1</v>
      </c>
      <c r="BD20" s="14">
        <v>1</v>
      </c>
      <c r="BE20" s="14">
        <v>1</v>
      </c>
      <c r="BF20" s="14">
        <v>1</v>
      </c>
      <c r="BG20" s="14">
        <v>1</v>
      </c>
      <c r="BH20" s="14">
        <v>0</v>
      </c>
      <c r="BI20" s="14">
        <v>0</v>
      </c>
      <c r="BJ20" s="14"/>
      <c r="BK20" s="14">
        <v>0</v>
      </c>
      <c r="BL20" s="14">
        <v>0</v>
      </c>
      <c r="BM20" s="14"/>
      <c r="BN20" s="14"/>
      <c r="BO20" s="14"/>
      <c r="BP20" s="14"/>
      <c r="BQ20" s="14"/>
    </row>
    <row r="21" spans="2:69" x14ac:dyDescent="0.2">
      <c r="B21" s="9" t="str">
        <f>Paramètres!A3</f>
        <v>MOE</v>
      </c>
      <c r="C21" s="15" t="e">
        <f>COUNTIFS(#REF!,1,#REF!,'Suivi evolution'!$B6)</f>
        <v>#REF!</v>
      </c>
      <c r="D21" s="11"/>
      <c r="E21" s="14">
        <v>2</v>
      </c>
      <c r="F21" s="14">
        <v>2</v>
      </c>
      <c r="G21" s="14">
        <v>3</v>
      </c>
      <c r="H21" s="14">
        <v>3</v>
      </c>
      <c r="I21" s="14">
        <v>6</v>
      </c>
      <c r="J21" s="14">
        <v>3</v>
      </c>
      <c r="K21" s="14">
        <v>6</v>
      </c>
      <c r="L21" s="14">
        <v>3</v>
      </c>
      <c r="M21" s="14">
        <v>4</v>
      </c>
      <c r="N21" s="14">
        <v>4</v>
      </c>
      <c r="O21" s="14">
        <v>5</v>
      </c>
      <c r="P21" s="14">
        <v>6</v>
      </c>
      <c r="Q21" s="14">
        <v>6</v>
      </c>
      <c r="R21" s="14">
        <v>6</v>
      </c>
      <c r="S21" s="14">
        <v>10</v>
      </c>
      <c r="T21" s="14">
        <v>10</v>
      </c>
      <c r="U21" s="14">
        <v>4</v>
      </c>
      <c r="V21" s="14">
        <v>5</v>
      </c>
      <c r="W21" s="14">
        <v>7</v>
      </c>
      <c r="X21" s="14">
        <v>7</v>
      </c>
      <c r="Y21" s="14">
        <v>8</v>
      </c>
      <c r="Z21" s="14">
        <v>8</v>
      </c>
      <c r="AA21" s="14">
        <v>7</v>
      </c>
      <c r="AB21" s="14">
        <v>6</v>
      </c>
      <c r="AC21" s="14">
        <v>6</v>
      </c>
      <c r="AD21" s="14">
        <v>5</v>
      </c>
      <c r="AE21" s="14">
        <v>2</v>
      </c>
      <c r="AF21" s="14">
        <v>0</v>
      </c>
      <c r="AG21" s="14">
        <v>0</v>
      </c>
      <c r="AH21" s="14">
        <v>0</v>
      </c>
      <c r="AI21" s="14">
        <v>0</v>
      </c>
      <c r="AJ21" s="14">
        <v>0</v>
      </c>
      <c r="AK21" s="14">
        <v>3</v>
      </c>
      <c r="AL21" s="14">
        <v>1</v>
      </c>
      <c r="AM21" s="14">
        <v>4</v>
      </c>
      <c r="AN21" s="14">
        <v>4</v>
      </c>
      <c r="AO21" s="14">
        <v>2</v>
      </c>
      <c r="AP21" s="14">
        <v>1</v>
      </c>
      <c r="AQ21" s="14">
        <v>4</v>
      </c>
      <c r="AR21" s="14">
        <v>3</v>
      </c>
      <c r="AS21" s="14">
        <v>4</v>
      </c>
      <c r="AT21" s="14">
        <v>4</v>
      </c>
      <c r="AU21" s="14">
        <v>3</v>
      </c>
      <c r="AV21" s="14">
        <v>3</v>
      </c>
      <c r="AW21" s="14">
        <v>4</v>
      </c>
      <c r="AX21" s="14">
        <v>6</v>
      </c>
      <c r="AY21" s="14">
        <v>6</v>
      </c>
      <c r="AZ21" s="14">
        <v>6</v>
      </c>
      <c r="BA21" s="14">
        <v>2</v>
      </c>
      <c r="BB21" s="14">
        <v>2</v>
      </c>
      <c r="BC21" s="14">
        <v>0</v>
      </c>
      <c r="BD21" s="14">
        <v>2</v>
      </c>
      <c r="BE21" s="14">
        <v>2</v>
      </c>
      <c r="BF21" s="14">
        <v>2</v>
      </c>
      <c r="BG21" s="14">
        <v>4</v>
      </c>
      <c r="BH21" s="14">
        <v>4</v>
      </c>
      <c r="BI21" s="14">
        <v>4</v>
      </c>
      <c r="BJ21" s="14">
        <v>4</v>
      </c>
      <c r="BK21" s="14">
        <v>4</v>
      </c>
      <c r="BL21" s="14">
        <v>4</v>
      </c>
      <c r="BM21" s="14"/>
      <c r="BN21" s="14"/>
      <c r="BO21" s="14"/>
      <c r="BP21" s="14"/>
      <c r="BQ21" s="14"/>
    </row>
    <row r="22" spans="2:69" x14ac:dyDescent="0.2">
      <c r="B22" s="9" t="str">
        <f>Paramètres!A4</f>
        <v>AMO</v>
      </c>
      <c r="C22" s="15" t="e">
        <f>COUNTIFS(#REF!,1,#REF!,'Suivi evolution'!$B7)</f>
        <v>#REF!</v>
      </c>
      <c r="D22" s="11"/>
      <c r="E22" s="14">
        <v>0</v>
      </c>
      <c r="F22" s="14">
        <v>0</v>
      </c>
      <c r="G22" s="14">
        <v>1</v>
      </c>
      <c r="H22" s="14">
        <v>1</v>
      </c>
      <c r="I22" s="14">
        <v>1</v>
      </c>
      <c r="J22" s="14">
        <v>1</v>
      </c>
      <c r="K22" s="14">
        <v>1</v>
      </c>
      <c r="L22" s="14">
        <v>1</v>
      </c>
      <c r="M22" s="14">
        <v>1</v>
      </c>
      <c r="N22" s="14">
        <v>1</v>
      </c>
      <c r="O22" s="14">
        <v>0</v>
      </c>
      <c r="P22" s="14">
        <v>0</v>
      </c>
      <c r="Q22" s="14">
        <v>0</v>
      </c>
      <c r="R22" s="14">
        <v>0</v>
      </c>
      <c r="S22" s="14">
        <v>2</v>
      </c>
      <c r="T22" s="14">
        <v>1</v>
      </c>
      <c r="U22" s="14">
        <v>2</v>
      </c>
      <c r="V22" s="14">
        <v>2</v>
      </c>
      <c r="W22" s="14">
        <v>2</v>
      </c>
      <c r="X22" s="14">
        <v>2</v>
      </c>
      <c r="Y22" s="14">
        <v>4</v>
      </c>
      <c r="Z22" s="14">
        <v>4</v>
      </c>
      <c r="AA22" s="14">
        <v>3</v>
      </c>
      <c r="AB22" s="14">
        <v>3</v>
      </c>
      <c r="AC22" s="14">
        <v>2</v>
      </c>
      <c r="AD22" s="14">
        <v>3</v>
      </c>
      <c r="AE22" s="14">
        <v>2</v>
      </c>
      <c r="AF22" s="14">
        <v>1</v>
      </c>
      <c r="AG22" s="14">
        <v>1</v>
      </c>
      <c r="AH22" s="14">
        <v>1</v>
      </c>
      <c r="AI22" s="14">
        <v>1</v>
      </c>
      <c r="AJ22" s="14">
        <v>1</v>
      </c>
      <c r="AK22" s="14">
        <v>3</v>
      </c>
      <c r="AL22" s="14">
        <v>1</v>
      </c>
      <c r="AM22" s="14">
        <v>0</v>
      </c>
      <c r="AN22" s="14">
        <v>0</v>
      </c>
      <c r="AO22" s="14">
        <v>1</v>
      </c>
      <c r="AP22" s="14">
        <v>0</v>
      </c>
      <c r="AQ22" s="14">
        <v>1</v>
      </c>
      <c r="AR22" s="14">
        <v>1</v>
      </c>
      <c r="AS22" s="14">
        <v>1</v>
      </c>
      <c r="AT22" s="14">
        <v>1</v>
      </c>
      <c r="AU22" s="14">
        <v>1</v>
      </c>
      <c r="AV22" s="14">
        <v>2</v>
      </c>
      <c r="AW22" s="14">
        <v>2</v>
      </c>
      <c r="AX22" s="14">
        <v>1</v>
      </c>
      <c r="AY22" s="14">
        <v>1</v>
      </c>
      <c r="AZ22" s="14">
        <v>1</v>
      </c>
      <c r="BA22" s="14">
        <v>0</v>
      </c>
      <c r="BB22" s="14">
        <v>1</v>
      </c>
      <c r="BC22" s="14">
        <v>0</v>
      </c>
      <c r="BD22" s="14">
        <v>3</v>
      </c>
      <c r="BE22" s="14">
        <v>1</v>
      </c>
      <c r="BF22" s="14">
        <v>0</v>
      </c>
      <c r="BG22" s="14">
        <v>1</v>
      </c>
      <c r="BH22" s="14">
        <v>0</v>
      </c>
      <c r="BI22" s="14">
        <v>0</v>
      </c>
      <c r="BJ22" s="14">
        <v>1</v>
      </c>
      <c r="BK22" s="14">
        <v>1</v>
      </c>
      <c r="BL22" s="14">
        <v>2</v>
      </c>
      <c r="BM22" s="14"/>
      <c r="BN22" s="14"/>
      <c r="BO22" s="14"/>
      <c r="BP22" s="14"/>
      <c r="BQ22" s="14"/>
    </row>
    <row r="23" spans="2:69" x14ac:dyDescent="0.2">
      <c r="B23" s="9" t="str">
        <f>Paramètres!A5</f>
        <v>DPM</v>
      </c>
      <c r="C23" s="15" t="e">
        <f>COUNTIFS(#REF!,1,#REF!,'Suivi evolution'!$B8)</f>
        <v>#REF!</v>
      </c>
      <c r="D23" s="11"/>
      <c r="E23" s="14">
        <v>0</v>
      </c>
      <c r="F23" s="14">
        <v>2</v>
      </c>
      <c r="G23" s="14">
        <v>3</v>
      </c>
      <c r="H23" s="14">
        <v>2</v>
      </c>
      <c r="I23" s="14">
        <v>2</v>
      </c>
      <c r="J23" s="14">
        <v>1</v>
      </c>
      <c r="K23" s="14">
        <v>2</v>
      </c>
      <c r="L23" s="14">
        <v>2</v>
      </c>
      <c r="M23" s="14">
        <v>1</v>
      </c>
      <c r="N23" s="14">
        <v>1</v>
      </c>
      <c r="O23" s="14">
        <v>2</v>
      </c>
      <c r="P23" s="14">
        <v>4</v>
      </c>
      <c r="Q23" s="14">
        <v>3</v>
      </c>
      <c r="R23" s="14">
        <v>3</v>
      </c>
      <c r="S23" s="14">
        <v>3</v>
      </c>
      <c r="T23" s="14">
        <v>3</v>
      </c>
      <c r="U23" s="14">
        <v>0</v>
      </c>
      <c r="V23" s="14">
        <v>0</v>
      </c>
      <c r="W23" s="14">
        <v>0</v>
      </c>
      <c r="X23" s="14">
        <v>0</v>
      </c>
      <c r="Y23" s="14">
        <v>0</v>
      </c>
      <c r="Z23" s="14">
        <v>0</v>
      </c>
      <c r="AA23" s="14">
        <v>0</v>
      </c>
      <c r="AB23" s="14">
        <v>0</v>
      </c>
      <c r="AC23" s="14">
        <v>0</v>
      </c>
      <c r="AD23" s="14">
        <v>0</v>
      </c>
      <c r="AE23" s="14">
        <v>0</v>
      </c>
      <c r="AF23" s="14">
        <v>0</v>
      </c>
      <c r="AG23" s="14">
        <v>0</v>
      </c>
      <c r="AH23" s="14">
        <v>0</v>
      </c>
      <c r="AI23" s="14">
        <v>0</v>
      </c>
      <c r="AJ23" s="14">
        <v>0</v>
      </c>
      <c r="AK23" s="14">
        <v>0</v>
      </c>
      <c r="AL23" s="14">
        <v>0</v>
      </c>
      <c r="AM23" s="14">
        <v>0</v>
      </c>
      <c r="AN23" s="14">
        <v>0</v>
      </c>
      <c r="AO23" s="14">
        <v>0</v>
      </c>
      <c r="AP23" s="14">
        <v>0</v>
      </c>
      <c r="AQ23" s="14">
        <v>0</v>
      </c>
      <c r="AR23" s="14">
        <v>0</v>
      </c>
      <c r="AS23" s="14">
        <v>0</v>
      </c>
      <c r="AT23" s="14">
        <v>1</v>
      </c>
      <c r="AU23" s="14">
        <v>0</v>
      </c>
      <c r="AV23" s="14">
        <v>0</v>
      </c>
      <c r="AW23" s="14">
        <v>0</v>
      </c>
      <c r="AX23" s="14">
        <v>0</v>
      </c>
      <c r="AY23" s="14">
        <v>0</v>
      </c>
      <c r="AZ23" s="14">
        <v>0</v>
      </c>
      <c r="BA23" s="14">
        <v>0</v>
      </c>
      <c r="BB23" s="14">
        <v>1</v>
      </c>
      <c r="BC23" s="14">
        <v>1</v>
      </c>
      <c r="BD23" s="14">
        <v>2</v>
      </c>
      <c r="BE23" s="14">
        <v>1</v>
      </c>
      <c r="BF23" s="14"/>
      <c r="BG23" s="14">
        <v>0</v>
      </c>
      <c r="BH23" s="14">
        <v>0</v>
      </c>
      <c r="BI23" s="14">
        <v>0</v>
      </c>
      <c r="BJ23" s="14">
        <v>0</v>
      </c>
      <c r="BK23" s="14">
        <v>0</v>
      </c>
      <c r="BL23" s="14">
        <v>0</v>
      </c>
      <c r="BM23" s="14"/>
      <c r="BN23" s="14"/>
      <c r="BO23" s="14"/>
      <c r="BP23" s="14"/>
      <c r="BQ23" s="14"/>
    </row>
    <row r="24" spans="2:69" x14ac:dyDescent="0.2">
      <c r="B24" s="9" t="str">
        <f>Paramètres!A6</f>
        <v>DNTE</v>
      </c>
      <c r="C24" s="15" t="e">
        <f>COUNTIFS(#REF!,1,#REF!,'Suivi evolution'!$B9)</f>
        <v>#REF!</v>
      </c>
      <c r="D24" s="11"/>
      <c r="E24" s="14">
        <v>0</v>
      </c>
      <c r="F24" s="14">
        <v>0</v>
      </c>
      <c r="G24" s="14">
        <v>0</v>
      </c>
      <c r="H24" s="14">
        <v>0</v>
      </c>
      <c r="I24" s="14">
        <v>0</v>
      </c>
      <c r="J24" s="14">
        <v>0</v>
      </c>
      <c r="K24" s="14">
        <v>0</v>
      </c>
      <c r="L24" s="14">
        <v>0</v>
      </c>
      <c r="M24" s="14">
        <v>1</v>
      </c>
      <c r="N24" s="14">
        <v>1</v>
      </c>
      <c r="O24" s="14">
        <v>1</v>
      </c>
      <c r="P24" s="14">
        <v>1</v>
      </c>
      <c r="Q24" s="14">
        <v>1</v>
      </c>
      <c r="R24" s="14"/>
      <c r="S24" s="14">
        <v>0</v>
      </c>
      <c r="T24" s="14">
        <v>0</v>
      </c>
      <c r="U24" s="14">
        <v>0</v>
      </c>
      <c r="V24" s="14">
        <v>0</v>
      </c>
      <c r="W24" s="14">
        <v>0</v>
      </c>
      <c r="X24" s="14">
        <v>0</v>
      </c>
      <c r="Y24" s="14">
        <v>0</v>
      </c>
      <c r="Z24" s="14">
        <v>0</v>
      </c>
      <c r="AA24" s="14">
        <v>0</v>
      </c>
      <c r="AB24" s="14">
        <v>0</v>
      </c>
      <c r="AC24" s="14">
        <v>0</v>
      </c>
      <c r="AD24" s="14">
        <v>0</v>
      </c>
      <c r="AE24" s="14">
        <v>0</v>
      </c>
      <c r="AF24" s="14">
        <v>0</v>
      </c>
      <c r="AG24" s="14">
        <v>0</v>
      </c>
      <c r="AH24" s="14">
        <v>0</v>
      </c>
      <c r="AI24" s="14">
        <v>0</v>
      </c>
      <c r="AJ24" s="14">
        <v>0</v>
      </c>
      <c r="AK24" s="14">
        <v>0</v>
      </c>
      <c r="AL24" s="14">
        <v>0</v>
      </c>
      <c r="AM24" s="14">
        <v>0</v>
      </c>
      <c r="AN24" s="14">
        <v>0</v>
      </c>
      <c r="AO24" s="14">
        <v>0</v>
      </c>
      <c r="AP24" s="14">
        <v>0</v>
      </c>
      <c r="AQ24" s="14">
        <v>0</v>
      </c>
      <c r="AR24" s="14">
        <v>0</v>
      </c>
      <c r="AS24" s="14">
        <v>0</v>
      </c>
      <c r="AT24" s="14">
        <v>0</v>
      </c>
      <c r="AU24" s="14">
        <v>0</v>
      </c>
      <c r="AV24" s="14">
        <v>0</v>
      </c>
      <c r="AW24" s="14">
        <v>0</v>
      </c>
      <c r="AX24" s="14">
        <v>0</v>
      </c>
      <c r="AY24" s="14">
        <v>0</v>
      </c>
      <c r="AZ24" s="14">
        <v>0</v>
      </c>
      <c r="BA24" s="14">
        <v>0</v>
      </c>
      <c r="BB24" s="14">
        <v>0</v>
      </c>
      <c r="BC24" s="14">
        <v>0</v>
      </c>
      <c r="BD24" s="14">
        <v>0</v>
      </c>
      <c r="BE24" s="14">
        <v>0</v>
      </c>
      <c r="BF24" s="14">
        <v>0</v>
      </c>
      <c r="BG24" s="14">
        <v>0</v>
      </c>
      <c r="BH24" s="14">
        <v>0</v>
      </c>
      <c r="BI24" s="14">
        <v>0</v>
      </c>
      <c r="BJ24" s="14">
        <v>0</v>
      </c>
      <c r="BK24" s="14">
        <v>0</v>
      </c>
      <c r="BL24" s="14">
        <v>0</v>
      </c>
      <c r="BM24" s="14"/>
      <c r="BN24" s="14"/>
      <c r="BO24" s="14"/>
      <c r="BP24" s="14"/>
      <c r="BQ24" s="14"/>
    </row>
    <row r="25" spans="2:69" x14ac:dyDescent="0.2">
      <c r="B25" s="9" t="str">
        <f>Paramètres!A7</f>
        <v>SRP</v>
      </c>
      <c r="C25" s="15" t="e">
        <f>COUNTIFS(#REF!,1,#REF!,'Suivi evolution'!$B10)</f>
        <v>#REF!</v>
      </c>
      <c r="D25" s="11"/>
      <c r="E25" s="14">
        <v>0</v>
      </c>
      <c r="F25" s="14">
        <v>0</v>
      </c>
      <c r="G25" s="14">
        <v>0</v>
      </c>
      <c r="H25" s="14">
        <v>0</v>
      </c>
      <c r="I25" s="14">
        <v>0</v>
      </c>
      <c r="J25" s="14">
        <v>0</v>
      </c>
      <c r="K25" s="14">
        <v>0</v>
      </c>
      <c r="L25" s="14">
        <v>0</v>
      </c>
      <c r="M25" s="14">
        <v>0</v>
      </c>
      <c r="N25" s="14">
        <v>0</v>
      </c>
      <c r="O25" s="14">
        <v>0</v>
      </c>
      <c r="P25" s="14">
        <v>0</v>
      </c>
      <c r="Q25" s="14">
        <v>0</v>
      </c>
      <c r="R25" s="14">
        <v>0</v>
      </c>
      <c r="S25" s="14">
        <v>0</v>
      </c>
      <c r="T25" s="14">
        <v>0</v>
      </c>
      <c r="U25" s="14">
        <v>0</v>
      </c>
      <c r="V25" s="14">
        <v>0</v>
      </c>
      <c r="W25" s="14">
        <v>0</v>
      </c>
      <c r="X25" s="14">
        <v>0</v>
      </c>
      <c r="Y25" s="14">
        <v>0</v>
      </c>
      <c r="Z25" s="14">
        <v>0</v>
      </c>
      <c r="AA25" s="14">
        <v>0</v>
      </c>
      <c r="AB25" s="14">
        <v>0</v>
      </c>
      <c r="AC25" s="14">
        <v>0</v>
      </c>
      <c r="AD25" s="14">
        <v>0</v>
      </c>
      <c r="AE25" s="14">
        <v>0</v>
      </c>
      <c r="AF25" s="14">
        <v>0</v>
      </c>
      <c r="AG25" s="14">
        <v>0</v>
      </c>
      <c r="AH25" s="14">
        <v>0</v>
      </c>
      <c r="AI25" s="14">
        <v>0</v>
      </c>
      <c r="AJ25" s="14">
        <v>0</v>
      </c>
      <c r="AK25" s="14">
        <v>0</v>
      </c>
      <c r="AL25" s="14">
        <v>0</v>
      </c>
      <c r="AM25" s="14">
        <v>0</v>
      </c>
      <c r="AN25" s="14">
        <v>0</v>
      </c>
      <c r="AO25" s="14">
        <v>0</v>
      </c>
      <c r="AP25" s="14">
        <v>0</v>
      </c>
      <c r="AQ25" s="14">
        <v>0</v>
      </c>
      <c r="AR25" s="14">
        <v>0</v>
      </c>
      <c r="AS25" s="14">
        <v>0</v>
      </c>
      <c r="AT25" s="14">
        <v>0</v>
      </c>
      <c r="AU25" s="14">
        <v>0</v>
      </c>
      <c r="AV25" s="14">
        <v>0</v>
      </c>
      <c r="AW25" s="14">
        <v>0</v>
      </c>
      <c r="AX25" s="14">
        <v>0</v>
      </c>
      <c r="AY25" s="14">
        <v>0</v>
      </c>
      <c r="AZ25" s="14">
        <v>0</v>
      </c>
      <c r="BA25" s="14">
        <v>0</v>
      </c>
      <c r="BB25" s="14">
        <v>0</v>
      </c>
      <c r="BC25" s="14">
        <v>0</v>
      </c>
      <c r="BD25" s="14">
        <v>0</v>
      </c>
      <c r="BE25" s="14">
        <v>0</v>
      </c>
      <c r="BF25" s="14">
        <v>0</v>
      </c>
      <c r="BG25" s="14">
        <v>0</v>
      </c>
      <c r="BH25" s="14">
        <v>0</v>
      </c>
      <c r="BI25" s="14">
        <v>0</v>
      </c>
      <c r="BJ25" s="14">
        <v>0</v>
      </c>
      <c r="BK25" s="14">
        <v>0</v>
      </c>
      <c r="BL25" s="14">
        <v>0</v>
      </c>
      <c r="BM25" s="14"/>
      <c r="BN25" s="14"/>
      <c r="BO25" s="14"/>
      <c r="BP25" s="14"/>
      <c r="BQ25" s="14"/>
    </row>
    <row r="26" spans="2:69" x14ac:dyDescent="0.2">
      <c r="B26" s="9" t="str">
        <f>Paramètres!A8</f>
        <v>Sources</v>
      </c>
      <c r="C26" s="15" t="e">
        <f>COUNTIFS(#REF!,1,#REF!,'Suivi evolution'!$B11)</f>
        <v>#REF!</v>
      </c>
      <c r="D26" s="11"/>
      <c r="E26" s="14">
        <v>0</v>
      </c>
      <c r="F26" s="14">
        <v>0</v>
      </c>
      <c r="G26" s="14">
        <v>0</v>
      </c>
      <c r="H26" s="14">
        <v>0</v>
      </c>
      <c r="I26" s="14">
        <v>0</v>
      </c>
      <c r="J26" s="14">
        <v>0</v>
      </c>
      <c r="K26" s="14">
        <v>0</v>
      </c>
      <c r="L26" s="14">
        <v>0</v>
      </c>
      <c r="M26" s="14">
        <v>0</v>
      </c>
      <c r="N26" s="14">
        <v>0</v>
      </c>
      <c r="O26" s="14">
        <v>0</v>
      </c>
      <c r="P26" s="14">
        <v>0</v>
      </c>
      <c r="Q26" s="14">
        <v>0</v>
      </c>
      <c r="R26" s="14">
        <v>0</v>
      </c>
      <c r="S26" s="14">
        <v>0</v>
      </c>
      <c r="T26" s="14">
        <v>0</v>
      </c>
      <c r="U26" s="14">
        <v>0</v>
      </c>
      <c r="V26" s="14">
        <v>0</v>
      </c>
      <c r="W26" s="14">
        <v>0</v>
      </c>
      <c r="X26" s="14">
        <v>0</v>
      </c>
      <c r="Y26" s="14">
        <v>0</v>
      </c>
      <c r="Z26" s="14">
        <v>0</v>
      </c>
      <c r="AA26" s="14">
        <v>0</v>
      </c>
      <c r="AB26" s="14">
        <v>0</v>
      </c>
      <c r="AC26" s="14">
        <v>0</v>
      </c>
      <c r="AD26" s="14">
        <v>0</v>
      </c>
      <c r="AE26" s="14">
        <v>0</v>
      </c>
      <c r="AF26" s="14">
        <v>0</v>
      </c>
      <c r="AG26" s="14">
        <v>0</v>
      </c>
      <c r="AH26" s="14">
        <v>0</v>
      </c>
      <c r="AI26" s="14">
        <v>0</v>
      </c>
      <c r="AJ26" s="14">
        <v>0</v>
      </c>
      <c r="AK26" s="14">
        <v>0</v>
      </c>
      <c r="AL26" s="14">
        <v>0</v>
      </c>
      <c r="AM26" s="14">
        <v>0</v>
      </c>
      <c r="AN26" s="14">
        <v>0</v>
      </c>
      <c r="AO26" s="14">
        <v>0</v>
      </c>
      <c r="AP26" s="14">
        <v>0</v>
      </c>
      <c r="AQ26" s="14">
        <v>0</v>
      </c>
      <c r="AR26" s="14">
        <v>0</v>
      </c>
      <c r="AS26" s="14">
        <v>0</v>
      </c>
      <c r="AT26" s="14">
        <v>0</v>
      </c>
      <c r="AU26" s="14">
        <v>0</v>
      </c>
      <c r="AV26" s="14">
        <v>0</v>
      </c>
      <c r="AW26" s="14">
        <v>0</v>
      </c>
      <c r="AX26" s="14">
        <v>0</v>
      </c>
      <c r="AY26" s="14">
        <v>0</v>
      </c>
      <c r="AZ26" s="14">
        <v>0</v>
      </c>
      <c r="BA26" s="14">
        <v>0</v>
      </c>
      <c r="BB26" s="14">
        <v>0</v>
      </c>
      <c r="BC26" s="14">
        <v>0</v>
      </c>
      <c r="BD26" s="14">
        <v>0</v>
      </c>
      <c r="BE26" s="14">
        <v>0</v>
      </c>
      <c r="BF26" s="14">
        <v>0</v>
      </c>
      <c r="BG26" s="14">
        <v>0</v>
      </c>
      <c r="BH26" s="14">
        <v>0</v>
      </c>
      <c r="BI26" s="14">
        <v>0</v>
      </c>
      <c r="BJ26" s="14">
        <v>0</v>
      </c>
      <c r="BK26" s="14">
        <v>0</v>
      </c>
      <c r="BL26" s="14">
        <v>0</v>
      </c>
      <c r="BM26" s="14"/>
      <c r="BN26" s="14"/>
      <c r="BO26" s="14"/>
      <c r="BP26" s="14"/>
      <c r="BQ26" s="14"/>
    </row>
    <row r="27" spans="2:69" x14ac:dyDescent="0.2">
      <c r="B27" s="9" t="str">
        <f>Paramètres!A9</f>
        <v>Rédaction</v>
      </c>
      <c r="C27" s="15" t="e">
        <f>COUNTIFS(#REF!,1,#REF!,'Suivi evolution'!$B12)</f>
        <v>#REF!</v>
      </c>
      <c r="D27" s="11"/>
      <c r="E27" s="14">
        <v>0</v>
      </c>
      <c r="F27" s="14">
        <v>0</v>
      </c>
      <c r="G27" s="14">
        <v>0</v>
      </c>
      <c r="H27" s="14">
        <v>0</v>
      </c>
      <c r="I27" s="14">
        <v>0</v>
      </c>
      <c r="J27" s="14">
        <v>0</v>
      </c>
      <c r="K27" s="14">
        <v>0</v>
      </c>
      <c r="L27" s="14">
        <v>0</v>
      </c>
      <c r="M27" s="14">
        <v>0</v>
      </c>
      <c r="N27" s="14">
        <v>0</v>
      </c>
      <c r="O27" s="14">
        <v>0</v>
      </c>
      <c r="P27" s="14">
        <v>0</v>
      </c>
      <c r="Q27" s="14">
        <v>0</v>
      </c>
      <c r="R27" s="14">
        <v>0</v>
      </c>
      <c r="S27" s="14">
        <v>0</v>
      </c>
      <c r="T27" s="14">
        <v>0</v>
      </c>
      <c r="U27" s="14">
        <v>0</v>
      </c>
      <c r="V27" s="14">
        <v>0</v>
      </c>
      <c r="W27" s="14">
        <v>0</v>
      </c>
      <c r="X27" s="14">
        <v>0</v>
      </c>
      <c r="Y27" s="14">
        <v>0</v>
      </c>
      <c r="Z27" s="14">
        <v>0</v>
      </c>
      <c r="AA27" s="14">
        <v>0</v>
      </c>
      <c r="AB27" s="14">
        <v>0</v>
      </c>
      <c r="AC27" s="14">
        <v>0</v>
      </c>
      <c r="AD27" s="14">
        <v>0</v>
      </c>
      <c r="AE27" s="14">
        <v>0</v>
      </c>
      <c r="AF27" s="14">
        <v>0</v>
      </c>
      <c r="AG27" s="14">
        <v>0</v>
      </c>
      <c r="AH27" s="14">
        <v>0</v>
      </c>
      <c r="AI27" s="14">
        <v>0</v>
      </c>
      <c r="AJ27" s="14">
        <v>0</v>
      </c>
      <c r="AK27" s="14">
        <v>0</v>
      </c>
      <c r="AL27" s="14">
        <v>0</v>
      </c>
      <c r="AM27" s="14">
        <v>0</v>
      </c>
      <c r="AN27" s="14">
        <v>0</v>
      </c>
      <c r="AO27" s="14">
        <v>0</v>
      </c>
      <c r="AP27" s="14">
        <v>0</v>
      </c>
      <c r="AQ27" s="14">
        <v>0</v>
      </c>
      <c r="AR27" s="14">
        <v>0</v>
      </c>
      <c r="AS27" s="14">
        <v>0</v>
      </c>
      <c r="AT27" s="14">
        <v>0</v>
      </c>
      <c r="AU27" s="14">
        <v>0</v>
      </c>
      <c r="AV27" s="14">
        <v>0</v>
      </c>
      <c r="AW27" s="14">
        <v>0</v>
      </c>
      <c r="AX27" s="14">
        <v>0</v>
      </c>
      <c r="AY27" s="14">
        <v>0</v>
      </c>
      <c r="AZ27" s="14">
        <v>0</v>
      </c>
      <c r="BA27" s="14">
        <v>0</v>
      </c>
      <c r="BB27" s="14">
        <v>0</v>
      </c>
      <c r="BC27" s="14">
        <v>0</v>
      </c>
      <c r="BD27" s="14">
        <v>0</v>
      </c>
      <c r="BE27" s="14">
        <v>0</v>
      </c>
      <c r="BF27" s="14">
        <v>0</v>
      </c>
      <c r="BG27" s="14">
        <v>0</v>
      </c>
      <c r="BH27" s="14">
        <v>0</v>
      </c>
      <c r="BI27" s="14">
        <v>0</v>
      </c>
      <c r="BJ27" s="14">
        <v>0</v>
      </c>
      <c r="BK27" s="14">
        <v>0</v>
      </c>
      <c r="BL27" s="14">
        <v>0</v>
      </c>
      <c r="BM27" s="14"/>
      <c r="BN27" s="14"/>
      <c r="BO27" s="14"/>
      <c r="BP27" s="14"/>
      <c r="BQ27" s="14"/>
    </row>
    <row r="28" spans="2:69" x14ac:dyDescent="0.2">
      <c r="B28" s="9" t="str">
        <f>Paramètres!A10</f>
        <v>ITG</v>
      </c>
      <c r="C28" s="15" t="e">
        <f>COUNTIFS(#REF!,1,#REF!,'Suivi evolution'!$B13)</f>
        <v>#REF!</v>
      </c>
      <c r="D28" s="11"/>
      <c r="E28" s="14">
        <v>0</v>
      </c>
      <c r="F28" s="14">
        <v>0</v>
      </c>
      <c r="G28" s="14">
        <v>0</v>
      </c>
      <c r="H28" s="14">
        <v>0</v>
      </c>
      <c r="I28" s="14">
        <v>0</v>
      </c>
      <c r="J28" s="14">
        <v>1</v>
      </c>
      <c r="K28" s="14">
        <v>1</v>
      </c>
      <c r="L28" s="14">
        <v>1</v>
      </c>
      <c r="M28" s="14">
        <v>1</v>
      </c>
      <c r="N28" s="14">
        <v>1</v>
      </c>
      <c r="O28" s="14">
        <v>1</v>
      </c>
      <c r="P28" s="14">
        <v>1</v>
      </c>
      <c r="Q28" s="14">
        <v>1</v>
      </c>
      <c r="R28" s="14">
        <v>1</v>
      </c>
      <c r="S28" s="14">
        <v>1</v>
      </c>
      <c r="T28" s="14">
        <v>1</v>
      </c>
      <c r="U28" s="14">
        <v>1</v>
      </c>
      <c r="V28" s="14">
        <v>1</v>
      </c>
      <c r="W28" s="14">
        <v>1</v>
      </c>
      <c r="X28" s="14">
        <v>1</v>
      </c>
      <c r="Y28" s="14">
        <v>1</v>
      </c>
      <c r="Z28" s="14">
        <v>1</v>
      </c>
      <c r="AA28" s="14">
        <v>1</v>
      </c>
      <c r="AB28" s="14">
        <v>1</v>
      </c>
      <c r="AC28" s="14">
        <v>1</v>
      </c>
      <c r="AD28" s="14">
        <v>1</v>
      </c>
      <c r="AE28" s="14">
        <v>1</v>
      </c>
      <c r="AF28" s="14">
        <v>1</v>
      </c>
      <c r="AG28" s="14">
        <v>1</v>
      </c>
      <c r="AH28" s="14">
        <v>1</v>
      </c>
      <c r="AI28" s="14">
        <v>1</v>
      </c>
      <c r="AJ28" s="14">
        <v>1</v>
      </c>
      <c r="AK28" s="14">
        <v>1</v>
      </c>
      <c r="AL28" s="14">
        <v>1</v>
      </c>
      <c r="AM28" s="14">
        <v>1</v>
      </c>
      <c r="AN28" s="14">
        <v>1</v>
      </c>
      <c r="AO28" s="14">
        <v>1</v>
      </c>
      <c r="AP28" s="14">
        <v>1</v>
      </c>
      <c r="AQ28" s="14">
        <v>2</v>
      </c>
      <c r="AR28" s="14">
        <v>2</v>
      </c>
      <c r="AS28" s="14">
        <v>2</v>
      </c>
      <c r="AT28" s="14">
        <v>2</v>
      </c>
      <c r="AU28" s="14">
        <v>2</v>
      </c>
      <c r="AV28" s="14">
        <v>2</v>
      </c>
      <c r="AW28" s="14">
        <v>2</v>
      </c>
      <c r="AX28" s="14">
        <v>2</v>
      </c>
      <c r="AY28" s="14">
        <v>2</v>
      </c>
      <c r="AZ28" s="14">
        <v>2</v>
      </c>
      <c r="BA28" s="14">
        <v>2</v>
      </c>
      <c r="BB28" s="14">
        <v>2</v>
      </c>
      <c r="BC28" s="14">
        <v>2</v>
      </c>
      <c r="BD28" s="14">
        <v>2</v>
      </c>
      <c r="BE28" s="14">
        <v>2</v>
      </c>
      <c r="BF28" s="14">
        <v>2</v>
      </c>
      <c r="BG28" s="14">
        <v>2</v>
      </c>
      <c r="BH28" s="14">
        <v>2</v>
      </c>
      <c r="BI28" s="14">
        <v>2</v>
      </c>
      <c r="BJ28" s="14">
        <v>2</v>
      </c>
      <c r="BK28" s="14">
        <v>2</v>
      </c>
      <c r="BL28" s="14">
        <v>2</v>
      </c>
      <c r="BM28" s="14"/>
      <c r="BN28" s="14"/>
      <c r="BO28" s="14"/>
      <c r="BP28" s="14"/>
      <c r="BQ28" s="14"/>
    </row>
    <row r="29" spans="2:69" x14ac:dyDescent="0.2">
      <c r="B29" s="9" t="str">
        <f>Paramètres!A11</f>
        <v>Infra</v>
      </c>
      <c r="C29" s="15" t="e">
        <f>COUNTIFS(#REF!,1,#REF!,'Suivi evolution'!$B14)</f>
        <v>#REF!</v>
      </c>
      <c r="D29" s="11"/>
      <c r="E29" s="14"/>
      <c r="F29" s="14"/>
      <c r="G29" s="14"/>
      <c r="H29" s="14"/>
      <c r="I29" s="14"/>
      <c r="J29" s="14"/>
      <c r="K29" s="14"/>
      <c r="L29" s="14"/>
      <c r="M29" s="14"/>
      <c r="N29" s="14"/>
      <c r="O29" s="14"/>
      <c r="P29" s="14"/>
      <c r="Q29" s="14"/>
      <c r="R29" s="14"/>
      <c r="S29" s="14"/>
      <c r="T29" s="14"/>
      <c r="U29" s="14"/>
      <c r="V29" s="14"/>
      <c r="W29" s="14"/>
      <c r="X29" s="14"/>
      <c r="Y29" s="14"/>
      <c r="Z29" s="14"/>
      <c r="AA29" s="14"/>
      <c r="AB29" s="14"/>
      <c r="AC29" s="14"/>
      <c r="AD29" s="14"/>
      <c r="AE29" s="14"/>
      <c r="AF29" s="14"/>
      <c r="AG29" s="14"/>
      <c r="AH29" s="14"/>
      <c r="AI29" s="14"/>
      <c r="AJ29" s="14"/>
      <c r="AK29" s="14"/>
      <c r="AL29" s="14"/>
      <c r="AM29" s="14"/>
      <c r="AN29" s="14"/>
      <c r="AO29" s="14"/>
      <c r="AP29" s="14"/>
      <c r="AQ29" s="14"/>
      <c r="AR29" s="14"/>
      <c r="AS29" s="14"/>
      <c r="AT29" s="14"/>
      <c r="AU29" s="14"/>
      <c r="AV29" s="14"/>
      <c r="AW29" s="14"/>
      <c r="AX29" s="14">
        <v>1</v>
      </c>
      <c r="AY29" s="14">
        <v>1</v>
      </c>
      <c r="AZ29" s="14">
        <v>1</v>
      </c>
      <c r="BA29" s="14">
        <v>1</v>
      </c>
      <c r="BB29" s="14">
        <v>1</v>
      </c>
      <c r="BC29" s="14">
        <v>1</v>
      </c>
      <c r="BD29" s="14">
        <v>1</v>
      </c>
      <c r="BE29" s="14">
        <v>1</v>
      </c>
      <c r="BF29" s="14">
        <v>1</v>
      </c>
      <c r="BG29" s="14">
        <v>0</v>
      </c>
      <c r="BH29" s="14">
        <v>0</v>
      </c>
      <c r="BI29" s="14">
        <v>0</v>
      </c>
      <c r="BJ29" s="14"/>
      <c r="BK29" s="14">
        <v>0</v>
      </c>
      <c r="BL29" s="14">
        <v>0</v>
      </c>
      <c r="BM29" s="14"/>
      <c r="BN29" s="14"/>
      <c r="BO29" s="14"/>
      <c r="BP29" s="14"/>
      <c r="BQ29" s="14"/>
    </row>
    <row r="30" spans="2:69" x14ac:dyDescent="0.2">
      <c r="B30" s="8" t="s">
        <v>1</v>
      </c>
      <c r="C30" s="16" t="e">
        <f>SUM(C20:C29)</f>
        <v>#REF!</v>
      </c>
      <c r="D30" s="11"/>
      <c r="E30" s="17">
        <f t="shared" ref="E30:J30" si="6">SUM(E20:E29)</f>
        <v>2</v>
      </c>
      <c r="F30" s="17">
        <f t="shared" si="6"/>
        <v>4</v>
      </c>
      <c r="G30" s="17">
        <f t="shared" si="6"/>
        <v>7</v>
      </c>
      <c r="H30" s="17">
        <f t="shared" si="6"/>
        <v>7</v>
      </c>
      <c r="I30" s="17">
        <f t="shared" si="6"/>
        <v>10</v>
      </c>
      <c r="J30" s="17">
        <f t="shared" si="6"/>
        <v>7</v>
      </c>
      <c r="K30" s="17">
        <f t="shared" ref="K30:BQ30" si="7">SUM(K20:K29)</f>
        <v>11</v>
      </c>
      <c r="L30" s="17">
        <f t="shared" si="7"/>
        <v>7</v>
      </c>
      <c r="M30" s="17">
        <f t="shared" si="7"/>
        <v>8</v>
      </c>
      <c r="N30" s="17">
        <f t="shared" si="7"/>
        <v>8</v>
      </c>
      <c r="O30" s="17">
        <f t="shared" si="7"/>
        <v>9</v>
      </c>
      <c r="P30" s="17">
        <f t="shared" si="7"/>
        <v>12</v>
      </c>
      <c r="Q30" s="17">
        <f t="shared" si="7"/>
        <v>11</v>
      </c>
      <c r="R30" s="17">
        <f t="shared" si="7"/>
        <v>10</v>
      </c>
      <c r="S30" s="17">
        <f t="shared" si="7"/>
        <v>16</v>
      </c>
      <c r="T30" s="17">
        <f t="shared" si="7"/>
        <v>15</v>
      </c>
      <c r="U30" s="17">
        <f t="shared" si="7"/>
        <v>7</v>
      </c>
      <c r="V30" s="17">
        <f t="shared" si="7"/>
        <v>8</v>
      </c>
      <c r="W30" s="17">
        <f t="shared" si="7"/>
        <v>10</v>
      </c>
      <c r="X30" s="17">
        <f t="shared" si="7"/>
        <v>10</v>
      </c>
      <c r="Y30" s="17">
        <f t="shared" si="7"/>
        <v>14</v>
      </c>
      <c r="Z30" s="17">
        <f t="shared" si="7"/>
        <v>14</v>
      </c>
      <c r="AA30" s="17">
        <f t="shared" si="7"/>
        <v>12</v>
      </c>
      <c r="AB30" s="17">
        <f t="shared" si="7"/>
        <v>11</v>
      </c>
      <c r="AC30" s="17">
        <f t="shared" si="7"/>
        <v>10</v>
      </c>
      <c r="AD30" s="17">
        <f t="shared" si="7"/>
        <v>10</v>
      </c>
      <c r="AE30" s="17">
        <f t="shared" si="7"/>
        <v>6</v>
      </c>
      <c r="AF30" s="17">
        <f t="shared" si="7"/>
        <v>3</v>
      </c>
      <c r="AG30" s="17">
        <f t="shared" si="7"/>
        <v>2</v>
      </c>
      <c r="AH30" s="17">
        <f t="shared" si="7"/>
        <v>2</v>
      </c>
      <c r="AI30" s="17">
        <f t="shared" si="7"/>
        <v>2</v>
      </c>
      <c r="AJ30" s="17">
        <f t="shared" si="7"/>
        <v>2</v>
      </c>
      <c r="AK30" s="17">
        <f t="shared" si="7"/>
        <v>7</v>
      </c>
      <c r="AL30" s="17">
        <f t="shared" si="7"/>
        <v>3</v>
      </c>
      <c r="AM30" s="17">
        <f t="shared" si="7"/>
        <v>5</v>
      </c>
      <c r="AN30" s="17">
        <f t="shared" si="7"/>
        <v>5</v>
      </c>
      <c r="AO30" s="17">
        <f t="shared" si="7"/>
        <v>5</v>
      </c>
      <c r="AP30" s="17">
        <f t="shared" si="7"/>
        <v>4</v>
      </c>
      <c r="AQ30" s="17">
        <f t="shared" si="7"/>
        <v>9</v>
      </c>
      <c r="AR30" s="17">
        <f t="shared" si="7"/>
        <v>8</v>
      </c>
      <c r="AS30" s="17">
        <f t="shared" si="7"/>
        <v>9</v>
      </c>
      <c r="AT30" s="17">
        <f t="shared" si="7"/>
        <v>10</v>
      </c>
      <c r="AU30" s="17">
        <f t="shared" si="7"/>
        <v>7</v>
      </c>
      <c r="AV30" s="17">
        <f t="shared" si="7"/>
        <v>8</v>
      </c>
      <c r="AW30" s="17">
        <f t="shared" si="7"/>
        <v>9</v>
      </c>
      <c r="AX30" s="17">
        <f t="shared" si="7"/>
        <v>11</v>
      </c>
      <c r="AY30" s="17">
        <f t="shared" si="7"/>
        <v>11</v>
      </c>
      <c r="AZ30" s="17">
        <f t="shared" si="7"/>
        <v>11</v>
      </c>
      <c r="BA30" s="17">
        <f t="shared" si="7"/>
        <v>6</v>
      </c>
      <c r="BB30" s="17">
        <f t="shared" si="7"/>
        <v>8</v>
      </c>
      <c r="BC30" s="17">
        <f t="shared" si="7"/>
        <v>5</v>
      </c>
      <c r="BD30" s="17">
        <f t="shared" si="7"/>
        <v>11</v>
      </c>
      <c r="BE30" s="17">
        <f t="shared" si="7"/>
        <v>8</v>
      </c>
      <c r="BF30" s="17">
        <f t="shared" si="7"/>
        <v>6</v>
      </c>
      <c r="BG30" s="17">
        <f t="shared" si="7"/>
        <v>8</v>
      </c>
      <c r="BH30" s="17">
        <f t="shared" si="7"/>
        <v>6</v>
      </c>
      <c r="BI30" s="17">
        <f t="shared" si="7"/>
        <v>6</v>
      </c>
      <c r="BJ30" s="17">
        <f t="shared" si="7"/>
        <v>7</v>
      </c>
      <c r="BK30" s="17">
        <f t="shared" si="7"/>
        <v>7</v>
      </c>
      <c r="BL30" s="17">
        <f t="shared" si="7"/>
        <v>8</v>
      </c>
      <c r="BM30" s="17">
        <f t="shared" si="7"/>
        <v>0</v>
      </c>
      <c r="BN30" s="17">
        <f t="shared" si="7"/>
        <v>0</v>
      </c>
      <c r="BO30" s="17">
        <f t="shared" si="7"/>
        <v>0</v>
      </c>
      <c r="BP30" s="17">
        <f t="shared" si="7"/>
        <v>0</v>
      </c>
      <c r="BQ30" s="17">
        <f t="shared" si="7"/>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tabColor theme="8" tint="0.39997558519241921"/>
  </sheetPr>
  <dimension ref="A1"/>
  <sheetViews>
    <sheetView topLeftCell="A31" workbookViewId="0">
      <selection activeCell="M22" sqref="M22"/>
    </sheetView>
  </sheetViews>
  <sheetFormatPr baseColWidth="10" defaultColWidth="11.42578125" defaultRowHeight="12.75" x14ac:dyDescent="0.2"/>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0" tint="-0.249977111117893"/>
  </sheetPr>
  <dimension ref="A1:A13"/>
  <sheetViews>
    <sheetView workbookViewId="0">
      <selection activeCell="A12" sqref="A12"/>
    </sheetView>
  </sheetViews>
  <sheetFormatPr baseColWidth="10" defaultColWidth="11.42578125" defaultRowHeight="12.75" x14ac:dyDescent="0.2"/>
  <sheetData>
    <row r="1" spans="1:1" x14ac:dyDescent="0.2">
      <c r="A1" s="5" t="s">
        <v>3</v>
      </c>
    </row>
    <row r="2" spans="1:1" x14ac:dyDescent="0.2">
      <c r="A2" s="6" t="s">
        <v>4</v>
      </c>
    </row>
    <row r="3" spans="1:1" x14ac:dyDescent="0.2">
      <c r="A3" s="6" t="s">
        <v>5</v>
      </c>
    </row>
    <row r="4" spans="1:1" x14ac:dyDescent="0.2">
      <c r="A4" s="6" t="s">
        <v>6</v>
      </c>
    </row>
    <row r="5" spans="1:1" x14ac:dyDescent="0.2">
      <c r="A5" s="6" t="s">
        <v>7</v>
      </c>
    </row>
    <row r="6" spans="1:1" x14ac:dyDescent="0.2">
      <c r="A6" s="6" t="s">
        <v>8</v>
      </c>
    </row>
    <row r="7" spans="1:1" x14ac:dyDescent="0.2">
      <c r="A7" s="6" t="s">
        <v>9</v>
      </c>
    </row>
    <row r="8" spans="1:1" x14ac:dyDescent="0.2">
      <c r="A8" s="6" t="s">
        <v>10</v>
      </c>
    </row>
    <row r="9" spans="1:1" x14ac:dyDescent="0.2">
      <c r="A9" s="6" t="s">
        <v>11</v>
      </c>
    </row>
    <row r="10" spans="1:1" x14ac:dyDescent="0.2">
      <c r="A10" s="6" t="s">
        <v>12</v>
      </c>
    </row>
    <row r="11" spans="1:1" x14ac:dyDescent="0.2">
      <c r="A11" s="6" t="s">
        <v>13</v>
      </c>
    </row>
    <row r="12" spans="1:1" x14ac:dyDescent="0.2">
      <c r="A12" s="13"/>
    </row>
    <row r="13" spans="1:1" x14ac:dyDescent="0.2">
      <c r="A13" s="1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tabColor rgb="FF92D050"/>
  </sheetPr>
  <dimension ref="A1:L150"/>
  <sheetViews>
    <sheetView workbookViewId="0">
      <selection activeCell="D12" sqref="D12"/>
    </sheetView>
  </sheetViews>
  <sheetFormatPr baseColWidth="10" defaultColWidth="11.42578125" defaultRowHeight="12.75" x14ac:dyDescent="0.2"/>
  <cols>
    <col min="1" max="1" width="2.28515625" customWidth="1"/>
    <col min="2" max="2" width="5.28515625" style="1" customWidth="1"/>
    <col min="3" max="3" width="5" style="1" hidden="1" customWidth="1"/>
    <col min="4" max="4" width="36.28515625" style="1" customWidth="1"/>
    <col min="5" max="5" width="12.28515625" style="1" customWidth="1"/>
    <col min="6" max="6" width="13.42578125" style="1" customWidth="1"/>
    <col min="7" max="7" width="12" style="1" customWidth="1"/>
    <col min="8" max="8" width="12.7109375" style="1" hidden="1" customWidth="1"/>
    <col min="9" max="9" width="12.7109375" style="1" customWidth="1"/>
    <col min="10" max="10" width="10.28515625" style="1" customWidth="1"/>
    <col min="11" max="11" width="42" customWidth="1"/>
    <col min="12" max="12" width="13.42578125" style="24" customWidth="1"/>
  </cols>
  <sheetData>
    <row r="1" spans="1:12" ht="45" x14ac:dyDescent="0.2">
      <c r="D1" s="4" t="s">
        <v>40</v>
      </c>
      <c r="E1" s="4"/>
    </row>
    <row r="2" spans="1:12" ht="13.5" thickBot="1" x14ac:dyDescent="0.25">
      <c r="B2" s="19" t="s">
        <v>14</v>
      </c>
      <c r="C2" s="20" t="s">
        <v>15</v>
      </c>
      <c r="D2" s="20" t="s">
        <v>16</v>
      </c>
      <c r="E2" s="20" t="s">
        <v>17</v>
      </c>
      <c r="F2" s="20" t="s">
        <v>18</v>
      </c>
      <c r="G2" s="20" t="s">
        <v>19</v>
      </c>
      <c r="H2" s="20" t="s">
        <v>20</v>
      </c>
      <c r="I2" s="20" t="s">
        <v>21</v>
      </c>
      <c r="J2" s="20" t="s">
        <v>22</v>
      </c>
      <c r="K2" s="21" t="s">
        <v>23</v>
      </c>
      <c r="L2" s="25" t="s">
        <v>34</v>
      </c>
    </row>
    <row r="3" spans="1:12" ht="13.5" hidden="1" thickTop="1" x14ac:dyDescent="0.2">
      <c r="A3" s="37"/>
      <c r="B3" s="2">
        <f>1</f>
        <v>1</v>
      </c>
      <c r="C3" s="3"/>
      <c r="D3" s="2" t="s">
        <v>41</v>
      </c>
      <c r="E3" s="2"/>
      <c r="F3" s="2" t="s">
        <v>37</v>
      </c>
      <c r="G3" s="2"/>
      <c r="H3" s="22"/>
      <c r="I3" s="22" t="s">
        <v>30</v>
      </c>
      <c r="J3" s="23" t="s">
        <v>33</v>
      </c>
      <c r="K3" s="18" t="s">
        <v>42</v>
      </c>
      <c r="L3" s="27">
        <v>3</v>
      </c>
    </row>
    <row r="4" spans="1:12" ht="34.5" thickTop="1" x14ac:dyDescent="0.2">
      <c r="A4" s="35"/>
      <c r="B4" s="2">
        <f>B3+1</f>
        <v>2</v>
      </c>
      <c r="C4" s="3"/>
      <c r="D4" s="2" t="s">
        <v>43</v>
      </c>
      <c r="E4" s="2" t="s">
        <v>35</v>
      </c>
      <c r="F4" s="2"/>
      <c r="G4" s="2"/>
      <c r="H4" s="22"/>
      <c r="I4" s="22" t="s">
        <v>24</v>
      </c>
      <c r="J4" s="23" t="s">
        <v>31</v>
      </c>
      <c r="K4" s="18" t="s">
        <v>44</v>
      </c>
      <c r="L4" s="27"/>
    </row>
    <row r="5" spans="1:12" ht="45" x14ac:dyDescent="0.2">
      <c r="A5" s="38"/>
      <c r="B5" s="2">
        <f t="shared" ref="B5:B68" si="0">B4+1</f>
        <v>3</v>
      </c>
      <c r="C5" s="3"/>
      <c r="D5" s="2" t="s">
        <v>45</v>
      </c>
      <c r="E5" s="2" t="s">
        <v>35</v>
      </c>
      <c r="F5" s="2" t="s">
        <v>46</v>
      </c>
      <c r="G5" s="2"/>
      <c r="H5" s="22"/>
      <c r="I5" s="22" t="s">
        <v>27</v>
      </c>
      <c r="J5" s="23" t="s">
        <v>31</v>
      </c>
      <c r="K5" s="18" t="s">
        <v>47</v>
      </c>
      <c r="L5" s="26"/>
    </row>
    <row r="6" spans="1:12" x14ac:dyDescent="0.2">
      <c r="A6" s="38"/>
      <c r="B6" s="2">
        <f t="shared" si="0"/>
        <v>4</v>
      </c>
      <c r="C6" s="3"/>
      <c r="D6" s="2" t="s">
        <v>48</v>
      </c>
      <c r="E6" s="2" t="s">
        <v>35</v>
      </c>
      <c r="F6" s="2"/>
      <c r="G6" s="2"/>
      <c r="H6" s="22"/>
      <c r="I6" s="22" t="s">
        <v>24</v>
      </c>
      <c r="J6" s="23" t="s">
        <v>31</v>
      </c>
      <c r="K6" s="28" t="s">
        <v>49</v>
      </c>
      <c r="L6" s="26"/>
    </row>
    <row r="7" spans="1:12" ht="22.5" hidden="1" x14ac:dyDescent="0.2">
      <c r="A7" s="35"/>
      <c r="B7" s="2">
        <f t="shared" si="0"/>
        <v>5</v>
      </c>
      <c r="C7" s="3"/>
      <c r="D7" s="2" t="s">
        <v>50</v>
      </c>
      <c r="E7" s="2" t="s">
        <v>35</v>
      </c>
      <c r="F7" s="2"/>
      <c r="G7" s="2"/>
      <c r="H7" s="22"/>
      <c r="I7" s="22"/>
      <c r="J7" s="23" t="s">
        <v>33</v>
      </c>
      <c r="K7" s="18" t="s">
        <v>51</v>
      </c>
      <c r="L7" s="27"/>
    </row>
    <row r="8" spans="1:12" ht="22.5" x14ac:dyDescent="0.2">
      <c r="A8" s="38"/>
      <c r="B8" s="2">
        <f t="shared" si="0"/>
        <v>6</v>
      </c>
      <c r="C8" s="3"/>
      <c r="D8" s="2" t="s">
        <v>52</v>
      </c>
      <c r="E8" s="2" t="s">
        <v>35</v>
      </c>
      <c r="F8" s="2"/>
      <c r="G8" s="2"/>
      <c r="H8" s="22"/>
      <c r="I8" s="22"/>
      <c r="J8" s="23" t="s">
        <v>31</v>
      </c>
      <c r="K8" s="28" t="s">
        <v>53</v>
      </c>
      <c r="L8" s="27"/>
    </row>
    <row r="9" spans="1:12" hidden="1" x14ac:dyDescent="0.2">
      <c r="A9" s="35"/>
      <c r="B9" s="2">
        <f t="shared" si="0"/>
        <v>7</v>
      </c>
      <c r="C9" s="3"/>
      <c r="D9" s="2" t="s">
        <v>54</v>
      </c>
      <c r="E9" s="2" t="s">
        <v>35</v>
      </c>
      <c r="F9" s="2" t="s">
        <v>39</v>
      </c>
      <c r="G9" s="2"/>
      <c r="H9" s="22"/>
      <c r="I9" s="22"/>
      <c r="J9" s="23" t="s">
        <v>25</v>
      </c>
      <c r="K9" s="18"/>
      <c r="L9" s="27"/>
    </row>
    <row r="10" spans="1:12" ht="45" hidden="1" x14ac:dyDescent="0.2">
      <c r="A10" s="35"/>
      <c r="B10" s="2">
        <f t="shared" si="0"/>
        <v>8</v>
      </c>
      <c r="C10" s="3"/>
      <c r="D10" s="2" t="s">
        <v>55</v>
      </c>
      <c r="E10" s="2" t="s">
        <v>35</v>
      </c>
      <c r="F10" s="2"/>
      <c r="G10" s="2"/>
      <c r="H10" s="22"/>
      <c r="I10" s="22"/>
      <c r="J10" s="23" t="s">
        <v>33</v>
      </c>
      <c r="K10" s="18" t="s">
        <v>56</v>
      </c>
      <c r="L10" s="27"/>
    </row>
    <row r="11" spans="1:12" ht="33.75" hidden="1" x14ac:dyDescent="0.2">
      <c r="A11" s="38"/>
      <c r="B11" s="2">
        <f t="shared" si="0"/>
        <v>9</v>
      </c>
      <c r="C11" s="3"/>
      <c r="D11" s="2" t="s">
        <v>57</v>
      </c>
      <c r="E11" s="2" t="s">
        <v>35</v>
      </c>
      <c r="F11" s="2" t="s">
        <v>58</v>
      </c>
      <c r="G11" s="2"/>
      <c r="H11" s="22"/>
      <c r="I11" s="22"/>
      <c r="J11" s="23" t="s">
        <v>25</v>
      </c>
      <c r="K11" s="28" t="s">
        <v>53</v>
      </c>
      <c r="L11" s="27"/>
    </row>
    <row r="12" spans="1:12" ht="112.5" x14ac:dyDescent="0.2">
      <c r="A12" s="38"/>
      <c r="B12" s="2">
        <f t="shared" si="0"/>
        <v>10</v>
      </c>
      <c r="C12" s="3"/>
      <c r="D12" s="2" t="s">
        <v>59</v>
      </c>
      <c r="E12" s="2" t="s">
        <v>35</v>
      </c>
      <c r="F12" s="2" t="s">
        <v>60</v>
      </c>
      <c r="G12" s="2"/>
      <c r="H12" s="22"/>
      <c r="I12" s="22"/>
      <c r="J12" s="23" t="s">
        <v>32</v>
      </c>
      <c r="K12" s="18" t="s">
        <v>61</v>
      </c>
      <c r="L12" s="27" t="s">
        <v>62</v>
      </c>
    </row>
    <row r="13" spans="1:12" ht="22.5" hidden="1" x14ac:dyDescent="0.2">
      <c r="A13" s="35"/>
      <c r="B13" s="2">
        <f t="shared" si="0"/>
        <v>11</v>
      </c>
      <c r="C13" s="3"/>
      <c r="D13" s="2" t="s">
        <v>63</v>
      </c>
      <c r="E13" s="2"/>
      <c r="F13" s="2" t="s">
        <v>64</v>
      </c>
      <c r="G13" s="2"/>
      <c r="H13" s="22"/>
      <c r="I13" s="22"/>
      <c r="J13" s="23" t="s">
        <v>25</v>
      </c>
      <c r="K13" s="18" t="s">
        <v>65</v>
      </c>
      <c r="L13" s="26"/>
    </row>
    <row r="14" spans="1:12" ht="56.25" x14ac:dyDescent="0.2">
      <c r="A14" s="35"/>
      <c r="B14" s="2">
        <f t="shared" si="0"/>
        <v>12</v>
      </c>
      <c r="C14" s="3"/>
      <c r="D14" s="2" t="s">
        <v>66</v>
      </c>
      <c r="E14" s="2" t="s">
        <v>67</v>
      </c>
      <c r="F14" s="2" t="s">
        <v>68</v>
      </c>
      <c r="G14" s="2"/>
      <c r="H14" s="22"/>
      <c r="I14" s="22"/>
      <c r="J14" s="23" t="s">
        <v>31</v>
      </c>
      <c r="K14" s="18" t="s">
        <v>69</v>
      </c>
      <c r="L14" s="27"/>
    </row>
    <row r="15" spans="1:12" ht="22.5" x14ac:dyDescent="0.2">
      <c r="A15" s="35"/>
      <c r="B15" s="2">
        <f t="shared" si="0"/>
        <v>13</v>
      </c>
      <c r="C15" s="3"/>
      <c r="D15" s="2" t="s">
        <v>70</v>
      </c>
      <c r="E15" s="2" t="s">
        <v>67</v>
      </c>
      <c r="F15" s="2" t="s">
        <v>71</v>
      </c>
      <c r="G15" s="2"/>
      <c r="H15" s="22"/>
      <c r="I15" s="22"/>
      <c r="J15" s="23" t="s">
        <v>31</v>
      </c>
      <c r="K15" s="18"/>
      <c r="L15" s="27"/>
    </row>
    <row r="16" spans="1:12" ht="45" x14ac:dyDescent="0.2">
      <c r="A16" s="35"/>
      <c r="B16" s="2">
        <f t="shared" si="0"/>
        <v>14</v>
      </c>
      <c r="C16" s="3"/>
      <c r="D16" s="2" t="s">
        <v>72</v>
      </c>
      <c r="E16" s="2" t="s">
        <v>67</v>
      </c>
      <c r="F16" s="2" t="s">
        <v>68</v>
      </c>
      <c r="G16" s="2"/>
      <c r="H16" s="22"/>
      <c r="I16" s="22"/>
      <c r="J16" s="23" t="s">
        <v>31</v>
      </c>
      <c r="K16" s="18"/>
      <c r="L16" s="27"/>
    </row>
    <row r="17" spans="1:12" ht="22.5" x14ac:dyDescent="0.2">
      <c r="A17" s="35"/>
      <c r="B17" s="2">
        <f t="shared" si="0"/>
        <v>15</v>
      </c>
      <c r="C17" s="3"/>
      <c r="D17" s="2" t="s">
        <v>73</v>
      </c>
      <c r="E17" s="2" t="s">
        <v>35</v>
      </c>
      <c r="F17" s="2" t="s">
        <v>74</v>
      </c>
      <c r="G17" s="2"/>
      <c r="H17" s="22"/>
      <c r="I17" s="22"/>
      <c r="J17" s="23" t="s">
        <v>32</v>
      </c>
      <c r="K17" s="18"/>
      <c r="L17" s="27"/>
    </row>
    <row r="18" spans="1:12" ht="22.5" hidden="1" x14ac:dyDescent="0.2">
      <c r="A18" s="35"/>
      <c r="B18" s="2">
        <f t="shared" si="0"/>
        <v>16</v>
      </c>
      <c r="C18" s="3"/>
      <c r="D18" s="2" t="s">
        <v>75</v>
      </c>
      <c r="E18" s="2"/>
      <c r="F18" s="2" t="s">
        <v>28</v>
      </c>
      <c r="G18" s="2">
        <v>42031</v>
      </c>
      <c r="H18" s="22"/>
      <c r="I18" s="22"/>
      <c r="J18" s="23" t="s">
        <v>25</v>
      </c>
      <c r="K18" s="18" t="s">
        <v>76</v>
      </c>
      <c r="L18" s="27"/>
    </row>
    <row r="19" spans="1:12" ht="33.75" x14ac:dyDescent="0.2">
      <c r="A19" s="35"/>
      <c r="B19" s="2">
        <f t="shared" si="0"/>
        <v>17</v>
      </c>
      <c r="C19" s="3"/>
      <c r="D19" s="2" t="s">
        <v>77</v>
      </c>
      <c r="E19" s="2" t="s">
        <v>35</v>
      </c>
      <c r="F19" s="2" t="s">
        <v>28</v>
      </c>
      <c r="G19" s="2"/>
      <c r="H19" s="22"/>
      <c r="I19" s="22"/>
      <c r="J19" s="23" t="s">
        <v>31</v>
      </c>
      <c r="K19" s="18"/>
      <c r="L19" s="27"/>
    </row>
    <row r="20" spans="1:12" ht="33.75" hidden="1" x14ac:dyDescent="0.2">
      <c r="A20" s="35"/>
      <c r="B20" s="2">
        <f t="shared" si="0"/>
        <v>18</v>
      </c>
      <c r="C20" s="3"/>
      <c r="D20" s="2" t="s">
        <v>78</v>
      </c>
      <c r="E20" s="2"/>
      <c r="F20" s="2" t="s">
        <v>28</v>
      </c>
      <c r="G20" s="2"/>
      <c r="H20" s="22"/>
      <c r="I20" s="22"/>
      <c r="J20" s="23" t="s">
        <v>25</v>
      </c>
      <c r="K20" s="18"/>
      <c r="L20" s="27"/>
    </row>
    <row r="21" spans="1:12" ht="56.25" x14ac:dyDescent="0.2">
      <c r="A21" s="35"/>
      <c r="B21" s="32">
        <f t="shared" si="0"/>
        <v>19</v>
      </c>
      <c r="C21" s="3"/>
      <c r="D21" s="32" t="s">
        <v>79</v>
      </c>
      <c r="E21" s="32" t="s">
        <v>35</v>
      </c>
      <c r="F21" s="32" t="s">
        <v>80</v>
      </c>
      <c r="G21" s="32"/>
      <c r="H21" s="22"/>
      <c r="I21" s="33"/>
      <c r="J21" s="34" t="s">
        <v>31</v>
      </c>
      <c r="K21" s="32" t="s">
        <v>81</v>
      </c>
      <c r="L21" s="27"/>
    </row>
    <row r="22" spans="1:12" ht="168.75" x14ac:dyDescent="0.2">
      <c r="A22" s="35"/>
      <c r="B22" s="32">
        <f t="shared" si="0"/>
        <v>20</v>
      </c>
      <c r="C22" s="3"/>
      <c r="D22" s="32" t="s">
        <v>82</v>
      </c>
      <c r="E22" s="32" t="s">
        <v>35</v>
      </c>
      <c r="F22" s="32" t="s">
        <v>36</v>
      </c>
      <c r="G22" s="32"/>
      <c r="H22" s="22"/>
      <c r="I22" s="33" t="s">
        <v>24</v>
      </c>
      <c r="J22" s="34" t="s">
        <v>32</v>
      </c>
      <c r="K22" s="32" t="s">
        <v>83</v>
      </c>
      <c r="L22" s="27"/>
    </row>
    <row r="23" spans="1:12" x14ac:dyDescent="0.2">
      <c r="A23" s="35"/>
      <c r="B23" s="32">
        <f t="shared" si="0"/>
        <v>21</v>
      </c>
      <c r="C23" s="3"/>
      <c r="D23" s="32" t="s">
        <v>84</v>
      </c>
      <c r="E23" s="32" t="s">
        <v>35</v>
      </c>
      <c r="F23" s="32" t="s">
        <v>85</v>
      </c>
      <c r="G23" s="32"/>
      <c r="H23" s="22"/>
      <c r="I23" s="33"/>
      <c r="J23" s="34" t="s">
        <v>31</v>
      </c>
      <c r="K23" s="32"/>
      <c r="L23" s="27"/>
    </row>
    <row r="24" spans="1:12" ht="22.5" x14ac:dyDescent="0.2">
      <c r="A24" s="35"/>
      <c r="B24" s="32">
        <f t="shared" si="0"/>
        <v>22</v>
      </c>
      <c r="C24" s="3"/>
      <c r="D24" s="32" t="s">
        <v>86</v>
      </c>
      <c r="E24" s="32" t="s">
        <v>35</v>
      </c>
      <c r="F24" s="32" t="s">
        <v>87</v>
      </c>
      <c r="G24" s="32"/>
      <c r="H24" s="22"/>
      <c r="I24" s="33"/>
      <c r="J24" s="34" t="s">
        <v>32</v>
      </c>
      <c r="K24" s="32" t="s">
        <v>88</v>
      </c>
      <c r="L24" s="27"/>
    </row>
    <row r="25" spans="1:12" ht="22.5" x14ac:dyDescent="0.2">
      <c r="A25" s="35"/>
      <c r="B25" s="32">
        <f t="shared" si="0"/>
        <v>23</v>
      </c>
      <c r="C25" s="3"/>
      <c r="D25" s="32" t="s">
        <v>89</v>
      </c>
      <c r="E25" s="32" t="s">
        <v>90</v>
      </c>
      <c r="F25" s="32" t="s">
        <v>38</v>
      </c>
      <c r="G25" s="32"/>
      <c r="H25" s="22"/>
      <c r="I25" s="33"/>
      <c r="J25" s="34" t="s">
        <v>31</v>
      </c>
      <c r="K25" s="32" t="s">
        <v>91</v>
      </c>
      <c r="L25" s="27"/>
    </row>
    <row r="26" spans="1:12" ht="22.5" x14ac:dyDescent="0.2">
      <c r="A26" s="35"/>
      <c r="B26" s="32">
        <f t="shared" si="0"/>
        <v>24</v>
      </c>
      <c r="C26" s="3"/>
      <c r="D26" s="32" t="s">
        <v>92</v>
      </c>
      <c r="E26" s="32" t="s">
        <v>90</v>
      </c>
      <c r="F26" s="32" t="s">
        <v>93</v>
      </c>
      <c r="G26" s="32"/>
      <c r="H26" s="22"/>
      <c r="I26" s="33"/>
      <c r="J26" s="34" t="s">
        <v>31</v>
      </c>
      <c r="K26" s="32"/>
      <c r="L26" s="27"/>
    </row>
    <row r="27" spans="1:12" hidden="1" x14ac:dyDescent="0.2">
      <c r="A27" s="35"/>
      <c r="B27" s="32">
        <f t="shared" si="0"/>
        <v>25</v>
      </c>
      <c r="C27" s="3"/>
      <c r="D27" s="32" t="s">
        <v>94</v>
      </c>
      <c r="E27" s="32" t="s">
        <v>95</v>
      </c>
      <c r="F27" s="32" t="s">
        <v>96</v>
      </c>
      <c r="G27" s="36">
        <v>42075</v>
      </c>
      <c r="H27" s="22"/>
      <c r="I27" s="33" t="s">
        <v>24</v>
      </c>
      <c r="J27" s="34" t="s">
        <v>25</v>
      </c>
      <c r="K27" s="32"/>
      <c r="L27" s="27"/>
    </row>
    <row r="28" spans="1:12" ht="22.5" x14ac:dyDescent="0.2">
      <c r="A28" s="35"/>
      <c r="B28" s="32">
        <f t="shared" si="0"/>
        <v>26</v>
      </c>
      <c r="C28" s="3"/>
      <c r="D28" s="32" t="s">
        <v>97</v>
      </c>
      <c r="E28" s="32" t="s">
        <v>95</v>
      </c>
      <c r="F28" s="32" t="s">
        <v>98</v>
      </c>
      <c r="G28" s="32" t="s">
        <v>29</v>
      </c>
      <c r="H28" s="22"/>
      <c r="I28" s="33" t="s">
        <v>30</v>
      </c>
      <c r="J28" s="34" t="s">
        <v>31</v>
      </c>
      <c r="K28" s="32" t="s">
        <v>99</v>
      </c>
      <c r="L28" s="27"/>
    </row>
    <row r="29" spans="1:12" ht="56.25" x14ac:dyDescent="0.2">
      <c r="A29" s="35"/>
      <c r="B29" s="32">
        <f t="shared" si="0"/>
        <v>27</v>
      </c>
      <c r="C29" s="3"/>
      <c r="D29" s="32" t="s">
        <v>100</v>
      </c>
      <c r="E29" s="32" t="s">
        <v>95</v>
      </c>
      <c r="F29" s="32" t="s">
        <v>101</v>
      </c>
      <c r="G29" s="36"/>
      <c r="H29" s="22"/>
      <c r="I29" s="33" t="s">
        <v>27</v>
      </c>
      <c r="J29" s="34" t="s">
        <v>32</v>
      </c>
      <c r="K29" s="32" t="s">
        <v>102</v>
      </c>
      <c r="L29" s="27"/>
    </row>
    <row r="30" spans="1:12" hidden="1" x14ac:dyDescent="0.2">
      <c r="A30" s="35"/>
      <c r="B30" s="32">
        <f t="shared" si="0"/>
        <v>28</v>
      </c>
      <c r="C30" s="3"/>
      <c r="D30" s="32" t="s">
        <v>103</v>
      </c>
      <c r="E30" s="32" t="s">
        <v>95</v>
      </c>
      <c r="F30" s="32" t="s">
        <v>98</v>
      </c>
      <c r="G30" s="32"/>
      <c r="H30" s="22"/>
      <c r="I30" s="33" t="s">
        <v>24</v>
      </c>
      <c r="J30" s="34" t="s">
        <v>25</v>
      </c>
      <c r="K30" s="32"/>
      <c r="L30" s="27"/>
    </row>
    <row r="31" spans="1:12" hidden="1" x14ac:dyDescent="0.2">
      <c r="B31" s="32">
        <f t="shared" si="0"/>
        <v>29</v>
      </c>
      <c r="C31" s="29"/>
      <c r="D31" s="32" t="s">
        <v>104</v>
      </c>
      <c r="E31" s="32" t="s">
        <v>95</v>
      </c>
      <c r="F31" s="32" t="s">
        <v>105</v>
      </c>
      <c r="G31" s="32"/>
      <c r="H31" s="31"/>
      <c r="I31" s="33" t="s">
        <v>24</v>
      </c>
      <c r="J31" s="34" t="s">
        <v>25</v>
      </c>
      <c r="K31" s="32" t="s">
        <v>106</v>
      </c>
      <c r="L31" s="27"/>
    </row>
    <row r="32" spans="1:12" hidden="1" x14ac:dyDescent="0.2">
      <c r="B32" s="32">
        <f t="shared" si="0"/>
        <v>30</v>
      </c>
      <c r="C32" s="29"/>
      <c r="D32" s="32" t="s">
        <v>107</v>
      </c>
      <c r="E32" s="32" t="s">
        <v>95</v>
      </c>
      <c r="F32" s="32" t="s">
        <v>37</v>
      </c>
      <c r="G32" s="32"/>
      <c r="H32" s="31"/>
      <c r="I32" s="33" t="s">
        <v>24</v>
      </c>
      <c r="J32" s="34" t="s">
        <v>25</v>
      </c>
      <c r="K32" s="32"/>
      <c r="L32" s="27"/>
    </row>
    <row r="33" spans="2:12" ht="22.5" x14ac:dyDescent="0.2">
      <c r="B33" s="32">
        <f t="shared" si="0"/>
        <v>31</v>
      </c>
      <c r="C33" s="29"/>
      <c r="D33" s="32" t="s">
        <v>108</v>
      </c>
      <c r="E33" s="32" t="s">
        <v>95</v>
      </c>
      <c r="F33" s="32" t="s">
        <v>98</v>
      </c>
      <c r="G33" s="32" t="s">
        <v>29</v>
      </c>
      <c r="H33" s="31"/>
      <c r="I33" s="33" t="s">
        <v>27</v>
      </c>
      <c r="J33" s="34" t="s">
        <v>25</v>
      </c>
      <c r="K33" s="32" t="s">
        <v>109</v>
      </c>
      <c r="L33" s="27"/>
    </row>
    <row r="34" spans="2:12" ht="22.5" hidden="1" x14ac:dyDescent="0.2">
      <c r="B34" s="32">
        <f t="shared" si="0"/>
        <v>32</v>
      </c>
      <c r="C34" s="29"/>
      <c r="D34" s="32" t="s">
        <v>110</v>
      </c>
      <c r="E34" s="32" t="s">
        <v>95</v>
      </c>
      <c r="F34" s="32" t="s">
        <v>111</v>
      </c>
      <c r="G34" s="32"/>
      <c r="H34" s="31"/>
      <c r="I34" s="33" t="s">
        <v>24</v>
      </c>
      <c r="J34" s="34" t="s">
        <v>25</v>
      </c>
      <c r="K34" s="32"/>
      <c r="L34" s="27"/>
    </row>
    <row r="35" spans="2:12" ht="67.5" hidden="1" x14ac:dyDescent="0.2">
      <c r="B35" s="32">
        <f t="shared" si="0"/>
        <v>33</v>
      </c>
      <c r="C35" s="29"/>
      <c r="D35" s="32" t="s">
        <v>112</v>
      </c>
      <c r="E35" s="32" t="s">
        <v>95</v>
      </c>
      <c r="F35" s="32" t="s">
        <v>98</v>
      </c>
      <c r="G35" s="36">
        <v>42075</v>
      </c>
      <c r="H35" s="31"/>
      <c r="I35" s="33" t="s">
        <v>24</v>
      </c>
      <c r="J35" s="34" t="s">
        <v>25</v>
      </c>
      <c r="K35" s="32" t="s">
        <v>113</v>
      </c>
      <c r="L35" s="27"/>
    </row>
    <row r="36" spans="2:12" ht="22.5" x14ac:dyDescent="0.2">
      <c r="B36" s="32">
        <f t="shared" si="0"/>
        <v>34</v>
      </c>
      <c r="C36" s="29"/>
      <c r="D36" s="32" t="s">
        <v>114</v>
      </c>
      <c r="E36" s="32" t="s">
        <v>95</v>
      </c>
      <c r="F36" s="32" t="s">
        <v>105</v>
      </c>
      <c r="G36" s="32"/>
      <c r="H36" s="31"/>
      <c r="I36" s="33" t="s">
        <v>24</v>
      </c>
      <c r="J36" s="34" t="s">
        <v>32</v>
      </c>
      <c r="K36" s="32" t="s">
        <v>115</v>
      </c>
      <c r="L36" s="27"/>
    </row>
    <row r="37" spans="2:12" ht="33.75" hidden="1" x14ac:dyDescent="0.2">
      <c r="B37" s="32">
        <f t="shared" si="0"/>
        <v>35</v>
      </c>
      <c r="C37" s="29"/>
      <c r="D37" s="32" t="s">
        <v>116</v>
      </c>
      <c r="E37" s="32" t="s">
        <v>95</v>
      </c>
      <c r="F37" s="32" t="s">
        <v>105</v>
      </c>
      <c r="G37" s="32"/>
      <c r="H37" s="31"/>
      <c r="I37" s="33" t="s">
        <v>24</v>
      </c>
      <c r="J37" s="34" t="s">
        <v>26</v>
      </c>
      <c r="K37" s="32" t="s">
        <v>117</v>
      </c>
      <c r="L37" s="27"/>
    </row>
    <row r="38" spans="2:12" hidden="1" x14ac:dyDescent="0.2">
      <c r="B38" s="32">
        <f t="shared" si="0"/>
        <v>36</v>
      </c>
      <c r="C38" s="29"/>
      <c r="D38" s="32" t="s">
        <v>118</v>
      </c>
      <c r="E38" s="32" t="s">
        <v>95</v>
      </c>
      <c r="F38" s="32" t="s">
        <v>105</v>
      </c>
      <c r="G38" s="32"/>
      <c r="H38" s="31"/>
      <c r="I38" s="33" t="s">
        <v>24</v>
      </c>
      <c r="J38" s="34" t="s">
        <v>25</v>
      </c>
      <c r="K38" s="32" t="s">
        <v>106</v>
      </c>
      <c r="L38" s="27"/>
    </row>
    <row r="39" spans="2:12" ht="22.5" hidden="1" x14ac:dyDescent="0.2">
      <c r="B39" s="32">
        <f t="shared" si="0"/>
        <v>37</v>
      </c>
      <c r="C39" s="29"/>
      <c r="D39" s="32" t="s">
        <v>119</v>
      </c>
      <c r="E39" s="32" t="s">
        <v>95</v>
      </c>
      <c r="F39" s="32" t="s">
        <v>105</v>
      </c>
      <c r="G39" s="32"/>
      <c r="H39" s="31"/>
      <c r="I39" s="33" t="s">
        <v>27</v>
      </c>
      <c r="J39" s="34" t="s">
        <v>33</v>
      </c>
      <c r="K39" s="32" t="s">
        <v>120</v>
      </c>
      <c r="L39" s="27"/>
    </row>
    <row r="40" spans="2:12" ht="56.25" hidden="1" x14ac:dyDescent="0.2">
      <c r="B40" s="32">
        <f t="shared" si="0"/>
        <v>38</v>
      </c>
      <c r="C40" s="29"/>
      <c r="D40" s="32" t="s">
        <v>121</v>
      </c>
      <c r="E40" s="32" t="s">
        <v>95</v>
      </c>
      <c r="F40" s="32" t="s">
        <v>122</v>
      </c>
      <c r="G40" s="36">
        <v>42114</v>
      </c>
      <c r="H40" s="31"/>
      <c r="I40" s="33" t="s">
        <v>27</v>
      </c>
      <c r="J40" s="34" t="s">
        <v>25</v>
      </c>
      <c r="K40" s="32" t="s">
        <v>123</v>
      </c>
      <c r="L40" s="27"/>
    </row>
    <row r="41" spans="2:12" ht="45" hidden="1" x14ac:dyDescent="0.2">
      <c r="B41" s="32">
        <f t="shared" si="0"/>
        <v>39</v>
      </c>
      <c r="C41" s="29"/>
      <c r="D41" s="32" t="s">
        <v>124</v>
      </c>
      <c r="E41" s="32" t="s">
        <v>95</v>
      </c>
      <c r="F41" s="32" t="s">
        <v>122</v>
      </c>
      <c r="G41" s="36">
        <v>42095</v>
      </c>
      <c r="H41" s="31"/>
      <c r="I41" s="33" t="s">
        <v>27</v>
      </c>
      <c r="J41" s="34" t="s">
        <v>25</v>
      </c>
      <c r="K41" s="32" t="s">
        <v>125</v>
      </c>
      <c r="L41" s="27"/>
    </row>
    <row r="42" spans="2:12" ht="22.5" hidden="1" x14ac:dyDescent="0.2">
      <c r="B42" s="32">
        <f t="shared" si="0"/>
        <v>40</v>
      </c>
      <c r="C42" s="29"/>
      <c r="D42" s="32" t="s">
        <v>126</v>
      </c>
      <c r="E42" s="32" t="s">
        <v>95</v>
      </c>
      <c r="F42" s="32" t="s">
        <v>127</v>
      </c>
      <c r="G42" s="32"/>
      <c r="H42" s="31"/>
      <c r="I42" s="33" t="s">
        <v>24</v>
      </c>
      <c r="J42" s="34" t="s">
        <v>25</v>
      </c>
      <c r="K42" s="32" t="s">
        <v>128</v>
      </c>
      <c r="L42" s="27"/>
    </row>
    <row r="43" spans="2:12" hidden="1" x14ac:dyDescent="0.2">
      <c r="B43" s="32">
        <f t="shared" si="0"/>
        <v>41</v>
      </c>
      <c r="C43" s="29"/>
      <c r="D43" s="32" t="s">
        <v>129</v>
      </c>
      <c r="E43" s="32" t="s">
        <v>95</v>
      </c>
      <c r="F43" s="32" t="s">
        <v>37</v>
      </c>
      <c r="G43" s="32"/>
      <c r="H43" s="31"/>
      <c r="I43" s="33" t="s">
        <v>24</v>
      </c>
      <c r="J43" s="34" t="s">
        <v>25</v>
      </c>
      <c r="K43" s="32"/>
      <c r="L43" s="27"/>
    </row>
    <row r="44" spans="2:12" ht="67.5" x14ac:dyDescent="0.2">
      <c r="B44" s="32">
        <f t="shared" si="0"/>
        <v>42</v>
      </c>
      <c r="C44" s="29"/>
      <c r="D44" s="32" t="s">
        <v>130</v>
      </c>
      <c r="E44" s="32" t="s">
        <v>35</v>
      </c>
      <c r="F44" s="32" t="s">
        <v>36</v>
      </c>
      <c r="G44" s="32"/>
      <c r="H44" s="31"/>
      <c r="I44" s="33" t="s">
        <v>24</v>
      </c>
      <c r="J44" s="34" t="s">
        <v>25</v>
      </c>
      <c r="K44" s="32" t="s">
        <v>131</v>
      </c>
      <c r="L44" s="27"/>
    </row>
    <row r="45" spans="2:12" x14ac:dyDescent="0.2">
      <c r="B45" s="32">
        <f t="shared" si="0"/>
        <v>43</v>
      </c>
      <c r="C45" s="29"/>
      <c r="D45" s="32" t="s">
        <v>132</v>
      </c>
      <c r="E45" s="32" t="s">
        <v>35</v>
      </c>
      <c r="F45" s="32" t="s">
        <v>133</v>
      </c>
      <c r="G45" s="32"/>
      <c r="H45" s="31"/>
      <c r="I45" s="33" t="s">
        <v>24</v>
      </c>
      <c r="J45" s="34" t="s">
        <v>32</v>
      </c>
      <c r="K45" s="32"/>
      <c r="L45" s="27"/>
    </row>
    <row r="46" spans="2:12" ht="33.75" x14ac:dyDescent="0.2">
      <c r="B46" s="32">
        <f t="shared" si="0"/>
        <v>44</v>
      </c>
      <c r="C46" s="29"/>
      <c r="D46" s="32" t="s">
        <v>134</v>
      </c>
      <c r="E46" s="32" t="s">
        <v>95</v>
      </c>
      <c r="F46" s="32" t="s">
        <v>135</v>
      </c>
      <c r="G46" s="32"/>
      <c r="H46" s="31"/>
      <c r="I46" s="33" t="s">
        <v>30</v>
      </c>
      <c r="J46" s="34" t="s">
        <v>32</v>
      </c>
      <c r="K46" s="32" t="s">
        <v>136</v>
      </c>
      <c r="L46" s="27"/>
    </row>
    <row r="47" spans="2:12" ht="22.5" x14ac:dyDescent="0.2">
      <c r="B47" s="32">
        <f t="shared" si="0"/>
        <v>45</v>
      </c>
      <c r="C47" s="29"/>
      <c r="D47" s="32" t="s">
        <v>137</v>
      </c>
      <c r="E47" s="32" t="s">
        <v>35</v>
      </c>
      <c r="F47" s="32" t="s">
        <v>36</v>
      </c>
      <c r="G47" s="32"/>
      <c r="H47" s="31"/>
      <c r="I47" s="33" t="s">
        <v>24</v>
      </c>
      <c r="J47" s="34" t="s">
        <v>31</v>
      </c>
      <c r="K47" s="32" t="s">
        <v>138</v>
      </c>
      <c r="L47" s="27"/>
    </row>
    <row r="48" spans="2:12" ht="45" x14ac:dyDescent="0.2">
      <c r="B48" s="32">
        <f t="shared" si="0"/>
        <v>46</v>
      </c>
      <c r="C48" s="29"/>
      <c r="D48" s="32" t="s">
        <v>139</v>
      </c>
      <c r="E48" s="32" t="s">
        <v>35</v>
      </c>
      <c r="F48" s="32" t="s">
        <v>140</v>
      </c>
      <c r="G48" s="32"/>
      <c r="H48" s="31"/>
      <c r="I48" s="33" t="s">
        <v>24</v>
      </c>
      <c r="J48" s="34" t="s">
        <v>32</v>
      </c>
      <c r="K48" s="32" t="s">
        <v>141</v>
      </c>
      <c r="L48" s="27"/>
    </row>
    <row r="49" spans="2:12" ht="56.25" x14ac:dyDescent="0.2">
      <c r="B49" s="32">
        <f t="shared" si="0"/>
        <v>47</v>
      </c>
      <c r="C49" s="29"/>
      <c r="D49" s="32" t="s">
        <v>142</v>
      </c>
      <c r="E49" s="32" t="s">
        <v>35</v>
      </c>
      <c r="F49" s="32" t="s">
        <v>143</v>
      </c>
      <c r="G49" s="32"/>
      <c r="H49" s="31"/>
      <c r="I49" s="33"/>
      <c r="J49" s="34" t="s">
        <v>31</v>
      </c>
      <c r="K49" s="32" t="s">
        <v>144</v>
      </c>
      <c r="L49" s="27"/>
    </row>
    <row r="50" spans="2:12" ht="90" x14ac:dyDescent="0.2">
      <c r="B50" s="32">
        <f t="shared" si="0"/>
        <v>48</v>
      </c>
      <c r="C50" s="29"/>
      <c r="D50" s="32" t="s">
        <v>145</v>
      </c>
      <c r="E50" s="32" t="s">
        <v>35</v>
      </c>
      <c r="F50" s="32" t="s">
        <v>146</v>
      </c>
      <c r="G50" s="36">
        <v>42246</v>
      </c>
      <c r="H50" s="31"/>
      <c r="I50" s="33"/>
      <c r="J50" s="34" t="s">
        <v>31</v>
      </c>
      <c r="K50" s="32" t="s">
        <v>147</v>
      </c>
      <c r="L50" s="27"/>
    </row>
    <row r="51" spans="2:12" x14ac:dyDescent="0.2">
      <c r="B51" s="32">
        <f t="shared" si="0"/>
        <v>49</v>
      </c>
      <c r="C51" s="29"/>
      <c r="D51" s="32"/>
      <c r="E51" s="32"/>
      <c r="F51" s="32"/>
      <c r="G51" s="32"/>
      <c r="H51" s="31"/>
      <c r="I51" s="33"/>
      <c r="J51" s="34"/>
      <c r="K51" s="32"/>
      <c r="L51" s="27"/>
    </row>
    <row r="52" spans="2:12" x14ac:dyDescent="0.2">
      <c r="B52" s="32">
        <f t="shared" si="0"/>
        <v>50</v>
      </c>
      <c r="C52" s="29"/>
      <c r="D52" s="32"/>
      <c r="E52" s="32"/>
      <c r="F52" s="32"/>
      <c r="G52" s="32"/>
      <c r="H52" s="31"/>
      <c r="I52" s="33"/>
      <c r="J52" s="34"/>
      <c r="K52" s="32"/>
      <c r="L52" s="27"/>
    </row>
    <row r="53" spans="2:12" x14ac:dyDescent="0.2">
      <c r="B53" s="32">
        <f t="shared" si="0"/>
        <v>51</v>
      </c>
      <c r="C53" s="29"/>
      <c r="D53" s="32"/>
      <c r="E53" s="32"/>
      <c r="F53" s="32"/>
      <c r="G53" s="32"/>
      <c r="H53" s="31"/>
      <c r="I53" s="33"/>
      <c r="J53" s="34"/>
      <c r="K53" s="32"/>
      <c r="L53" s="27"/>
    </row>
    <row r="54" spans="2:12" x14ac:dyDescent="0.2">
      <c r="B54" s="32">
        <f t="shared" si="0"/>
        <v>52</v>
      </c>
      <c r="C54" s="29"/>
      <c r="D54" s="32"/>
      <c r="E54" s="32"/>
      <c r="F54" s="32"/>
      <c r="G54" s="32"/>
      <c r="H54" s="31"/>
      <c r="I54" s="33"/>
      <c r="J54" s="34"/>
      <c r="K54" s="32"/>
      <c r="L54" s="27"/>
    </row>
    <row r="55" spans="2:12" x14ac:dyDescent="0.2">
      <c r="B55" s="32">
        <f t="shared" si="0"/>
        <v>53</v>
      </c>
      <c r="C55" s="29"/>
      <c r="D55" s="32"/>
      <c r="E55" s="32"/>
      <c r="F55" s="32"/>
      <c r="G55" s="32"/>
      <c r="H55" s="31"/>
      <c r="I55" s="33"/>
      <c r="J55" s="34"/>
      <c r="K55" s="32"/>
      <c r="L55" s="27"/>
    </row>
    <row r="56" spans="2:12" x14ac:dyDescent="0.2">
      <c r="B56" s="32">
        <f t="shared" si="0"/>
        <v>54</v>
      </c>
      <c r="C56" s="29"/>
      <c r="D56" s="32"/>
      <c r="E56" s="32"/>
      <c r="F56" s="32"/>
      <c r="G56" s="32"/>
      <c r="H56" s="31"/>
      <c r="I56" s="33"/>
      <c r="J56" s="34"/>
      <c r="K56" s="32"/>
      <c r="L56" s="27"/>
    </row>
    <row r="57" spans="2:12" x14ac:dyDescent="0.2">
      <c r="B57" s="32">
        <f t="shared" si="0"/>
        <v>55</v>
      </c>
      <c r="C57" s="29"/>
      <c r="D57" s="32"/>
      <c r="E57" s="32"/>
      <c r="F57" s="32"/>
      <c r="G57" s="32"/>
      <c r="H57" s="31"/>
      <c r="I57" s="33"/>
      <c r="J57" s="34"/>
      <c r="K57" s="32"/>
      <c r="L57" s="27"/>
    </row>
    <row r="58" spans="2:12" x14ac:dyDescent="0.2">
      <c r="B58" s="32">
        <f t="shared" si="0"/>
        <v>56</v>
      </c>
      <c r="C58" s="29"/>
      <c r="D58" s="32"/>
      <c r="E58" s="32"/>
      <c r="F58" s="32"/>
      <c r="G58" s="32"/>
      <c r="H58" s="31"/>
      <c r="I58" s="33"/>
      <c r="J58" s="34"/>
      <c r="K58" s="32"/>
      <c r="L58" s="27"/>
    </row>
    <row r="59" spans="2:12" x14ac:dyDescent="0.2">
      <c r="B59" s="32">
        <f t="shared" si="0"/>
        <v>57</v>
      </c>
      <c r="C59" s="29"/>
      <c r="D59" s="32"/>
      <c r="E59" s="32"/>
      <c r="F59" s="32"/>
      <c r="G59" s="32"/>
      <c r="H59" s="31"/>
      <c r="I59" s="33"/>
      <c r="J59" s="34"/>
      <c r="K59" s="32"/>
      <c r="L59" s="27"/>
    </row>
    <row r="60" spans="2:12" x14ac:dyDescent="0.2">
      <c r="B60" s="32">
        <f t="shared" si="0"/>
        <v>58</v>
      </c>
      <c r="C60" s="29"/>
      <c r="D60" s="32"/>
      <c r="E60" s="32"/>
      <c r="F60" s="32"/>
      <c r="G60" s="32"/>
      <c r="H60" s="31"/>
      <c r="I60" s="33"/>
      <c r="J60" s="34"/>
      <c r="K60" s="32"/>
      <c r="L60" s="27"/>
    </row>
    <row r="61" spans="2:12" x14ac:dyDescent="0.2">
      <c r="B61" s="32">
        <f t="shared" si="0"/>
        <v>59</v>
      </c>
      <c r="C61" s="29"/>
      <c r="D61" s="32"/>
      <c r="E61" s="32"/>
      <c r="F61" s="32"/>
      <c r="G61" s="32"/>
      <c r="H61" s="31"/>
      <c r="I61" s="33"/>
      <c r="J61" s="34"/>
      <c r="K61" s="32"/>
      <c r="L61" s="27"/>
    </row>
    <row r="62" spans="2:12" x14ac:dyDescent="0.2">
      <c r="B62" s="32">
        <f t="shared" si="0"/>
        <v>60</v>
      </c>
      <c r="C62" s="29"/>
      <c r="D62" s="32"/>
      <c r="E62" s="32"/>
      <c r="F62" s="32"/>
      <c r="G62" s="32"/>
      <c r="H62" s="31"/>
      <c r="I62" s="33"/>
      <c r="J62" s="34"/>
      <c r="K62" s="32"/>
      <c r="L62" s="27"/>
    </row>
    <row r="63" spans="2:12" x14ac:dyDescent="0.2">
      <c r="B63" s="32">
        <f t="shared" si="0"/>
        <v>61</v>
      </c>
      <c r="C63" s="29"/>
      <c r="D63" s="32"/>
      <c r="E63" s="32"/>
      <c r="F63" s="32"/>
      <c r="G63" s="32"/>
      <c r="H63" s="31"/>
      <c r="I63" s="33"/>
      <c r="J63" s="34"/>
      <c r="K63" s="32"/>
      <c r="L63" s="27"/>
    </row>
    <row r="64" spans="2:12" x14ac:dyDescent="0.2">
      <c r="B64" s="32">
        <f t="shared" si="0"/>
        <v>62</v>
      </c>
      <c r="C64" s="29"/>
      <c r="D64" s="32"/>
      <c r="E64" s="32"/>
      <c r="F64" s="32"/>
      <c r="G64" s="32"/>
      <c r="H64" s="31"/>
      <c r="I64" s="33"/>
      <c r="J64" s="34"/>
      <c r="K64" s="32"/>
      <c r="L64" s="27"/>
    </row>
    <row r="65" spans="2:12" x14ac:dyDescent="0.2">
      <c r="B65" s="32">
        <f t="shared" si="0"/>
        <v>63</v>
      </c>
      <c r="C65" s="29"/>
      <c r="D65" s="32"/>
      <c r="E65" s="32"/>
      <c r="F65" s="32"/>
      <c r="G65" s="32"/>
      <c r="H65" s="31"/>
      <c r="I65" s="33"/>
      <c r="J65" s="34"/>
      <c r="K65" s="32"/>
      <c r="L65" s="27"/>
    </row>
    <row r="66" spans="2:12" x14ac:dyDescent="0.2">
      <c r="B66" s="32">
        <f t="shared" si="0"/>
        <v>64</v>
      </c>
      <c r="C66" s="29"/>
      <c r="D66" s="32"/>
      <c r="E66" s="32"/>
      <c r="F66" s="32"/>
      <c r="G66" s="32"/>
      <c r="H66" s="31"/>
      <c r="I66" s="33"/>
      <c r="J66" s="34"/>
      <c r="K66" s="32"/>
      <c r="L66" s="27"/>
    </row>
    <row r="67" spans="2:12" x14ac:dyDescent="0.2">
      <c r="B67" s="32">
        <f t="shared" si="0"/>
        <v>65</v>
      </c>
      <c r="C67" s="29"/>
      <c r="D67" s="32"/>
      <c r="E67" s="32"/>
      <c r="F67" s="32"/>
      <c r="G67" s="32"/>
      <c r="H67" s="31"/>
      <c r="I67" s="33"/>
      <c r="J67" s="34"/>
      <c r="K67" s="32"/>
      <c r="L67" s="27"/>
    </row>
    <row r="68" spans="2:12" x14ac:dyDescent="0.2">
      <c r="B68" s="32">
        <f t="shared" si="0"/>
        <v>66</v>
      </c>
      <c r="C68" s="29"/>
      <c r="D68" s="32"/>
      <c r="E68" s="32"/>
      <c r="F68" s="32"/>
      <c r="G68" s="32"/>
      <c r="H68" s="31"/>
      <c r="I68" s="33"/>
      <c r="J68" s="34"/>
      <c r="K68" s="32"/>
      <c r="L68" s="27"/>
    </row>
    <row r="69" spans="2:12" x14ac:dyDescent="0.2">
      <c r="B69" s="32">
        <f t="shared" ref="B69:B83" si="1">B68+1</f>
        <v>67</v>
      </c>
      <c r="C69" s="29"/>
      <c r="D69" s="32"/>
      <c r="E69" s="32"/>
      <c r="F69" s="32"/>
      <c r="G69" s="32"/>
      <c r="H69" s="31"/>
      <c r="I69" s="33"/>
      <c r="J69" s="34"/>
      <c r="K69" s="32"/>
      <c r="L69" s="27"/>
    </row>
    <row r="70" spans="2:12" x14ac:dyDescent="0.2">
      <c r="B70" s="32">
        <f t="shared" si="1"/>
        <v>68</v>
      </c>
      <c r="C70" s="29"/>
      <c r="D70" s="32"/>
      <c r="E70" s="32"/>
      <c r="F70" s="32"/>
      <c r="G70" s="32"/>
      <c r="H70" s="31"/>
      <c r="I70" s="33"/>
      <c r="J70" s="34"/>
      <c r="K70" s="32"/>
      <c r="L70" s="27"/>
    </row>
    <row r="71" spans="2:12" x14ac:dyDescent="0.2">
      <c r="B71" s="32">
        <f t="shared" si="1"/>
        <v>69</v>
      </c>
      <c r="C71" s="29"/>
      <c r="D71" s="32"/>
      <c r="E71" s="32"/>
      <c r="F71" s="32"/>
      <c r="G71" s="32"/>
      <c r="H71" s="31"/>
      <c r="I71" s="33"/>
      <c r="J71" s="34"/>
      <c r="K71" s="32"/>
      <c r="L71" s="27"/>
    </row>
    <row r="72" spans="2:12" x14ac:dyDescent="0.2">
      <c r="B72" s="32">
        <f t="shared" si="1"/>
        <v>70</v>
      </c>
      <c r="C72" s="29"/>
      <c r="D72" s="32"/>
      <c r="E72" s="32"/>
      <c r="F72" s="32"/>
      <c r="G72" s="32"/>
      <c r="H72" s="31"/>
      <c r="I72" s="33"/>
      <c r="J72" s="34"/>
      <c r="K72" s="32"/>
      <c r="L72" s="27"/>
    </row>
    <row r="73" spans="2:12" x14ac:dyDescent="0.2">
      <c r="B73" s="32">
        <f t="shared" si="1"/>
        <v>71</v>
      </c>
      <c r="C73" s="29"/>
      <c r="D73" s="32"/>
      <c r="E73" s="32"/>
      <c r="F73" s="32"/>
      <c r="G73" s="32"/>
      <c r="H73" s="31"/>
      <c r="I73" s="33"/>
      <c r="J73" s="34"/>
      <c r="K73" s="32"/>
      <c r="L73" s="27"/>
    </row>
    <row r="74" spans="2:12" x14ac:dyDescent="0.2">
      <c r="B74" s="32">
        <f t="shared" si="1"/>
        <v>72</v>
      </c>
      <c r="C74" s="29"/>
      <c r="D74" s="32"/>
      <c r="E74" s="32"/>
      <c r="F74" s="32"/>
      <c r="G74" s="32"/>
      <c r="H74" s="31"/>
      <c r="I74" s="33"/>
      <c r="J74" s="34"/>
      <c r="K74" s="32"/>
      <c r="L74" s="27"/>
    </row>
    <row r="75" spans="2:12" x14ac:dyDescent="0.2">
      <c r="B75" s="32">
        <f t="shared" si="1"/>
        <v>73</v>
      </c>
      <c r="C75" s="29"/>
      <c r="D75" s="32"/>
      <c r="E75" s="32"/>
      <c r="F75" s="32"/>
      <c r="G75" s="32"/>
      <c r="H75" s="31"/>
      <c r="I75" s="33"/>
      <c r="J75" s="34"/>
      <c r="K75" s="32"/>
      <c r="L75" s="27"/>
    </row>
    <row r="76" spans="2:12" x14ac:dyDescent="0.2">
      <c r="B76" s="32">
        <f t="shared" si="1"/>
        <v>74</v>
      </c>
      <c r="C76" s="29"/>
      <c r="D76" s="32"/>
      <c r="E76" s="32"/>
      <c r="F76" s="32"/>
      <c r="G76" s="32"/>
      <c r="H76" s="31"/>
      <c r="I76" s="33"/>
      <c r="J76" s="34"/>
      <c r="K76" s="32"/>
      <c r="L76" s="27"/>
    </row>
    <row r="77" spans="2:12" x14ac:dyDescent="0.2">
      <c r="B77" s="32">
        <f t="shared" si="1"/>
        <v>75</v>
      </c>
      <c r="C77" s="29"/>
      <c r="D77" s="32"/>
      <c r="E77" s="32"/>
      <c r="F77" s="32"/>
      <c r="G77" s="32"/>
      <c r="H77" s="31"/>
      <c r="I77" s="33"/>
      <c r="J77" s="34"/>
      <c r="K77" s="32"/>
      <c r="L77" s="27"/>
    </row>
    <row r="78" spans="2:12" x14ac:dyDescent="0.2">
      <c r="B78" s="32">
        <f t="shared" si="1"/>
        <v>76</v>
      </c>
      <c r="C78" s="29"/>
      <c r="D78" s="32"/>
      <c r="E78" s="32"/>
      <c r="F78" s="32"/>
      <c r="G78" s="32"/>
      <c r="H78" s="31"/>
      <c r="I78" s="33"/>
      <c r="J78" s="34"/>
      <c r="K78" s="32"/>
      <c r="L78" s="27"/>
    </row>
    <row r="79" spans="2:12" x14ac:dyDescent="0.2">
      <c r="B79" s="32">
        <f t="shared" si="1"/>
        <v>77</v>
      </c>
      <c r="C79" s="29"/>
      <c r="D79" s="32"/>
      <c r="E79" s="32"/>
      <c r="F79" s="32"/>
      <c r="G79" s="32"/>
      <c r="H79" s="31"/>
      <c r="I79" s="33"/>
      <c r="J79" s="34"/>
      <c r="K79" s="32"/>
      <c r="L79" s="27"/>
    </row>
    <row r="80" spans="2:12" x14ac:dyDescent="0.2">
      <c r="B80" s="32">
        <f t="shared" si="1"/>
        <v>78</v>
      </c>
      <c r="C80" s="29"/>
      <c r="D80" s="32"/>
      <c r="E80" s="32"/>
      <c r="F80" s="32"/>
      <c r="G80" s="32"/>
      <c r="H80" s="31"/>
      <c r="I80" s="33"/>
      <c r="J80" s="34"/>
      <c r="K80" s="32"/>
      <c r="L80" s="27"/>
    </row>
    <row r="81" spans="2:12" x14ac:dyDescent="0.2">
      <c r="B81" s="32">
        <f t="shared" si="1"/>
        <v>79</v>
      </c>
      <c r="C81" s="29"/>
      <c r="D81" s="32"/>
      <c r="E81" s="32"/>
      <c r="F81" s="32"/>
      <c r="G81" s="32"/>
      <c r="H81" s="31"/>
      <c r="I81" s="33"/>
      <c r="J81" s="34"/>
      <c r="K81" s="32"/>
      <c r="L81" s="27"/>
    </row>
    <row r="82" spans="2:12" x14ac:dyDescent="0.2">
      <c r="B82" s="32">
        <f t="shared" si="1"/>
        <v>80</v>
      </c>
      <c r="C82" s="29"/>
      <c r="D82" s="32"/>
      <c r="E82" s="32"/>
      <c r="F82" s="32"/>
      <c r="G82" s="32"/>
      <c r="H82" s="31"/>
      <c r="I82" s="33"/>
      <c r="J82" s="34"/>
      <c r="K82" s="32"/>
      <c r="L82" s="27"/>
    </row>
    <row r="83" spans="2:12" x14ac:dyDescent="0.2">
      <c r="B83" s="32">
        <f t="shared" si="1"/>
        <v>81</v>
      </c>
      <c r="C83" s="29"/>
      <c r="D83" s="32"/>
      <c r="E83" s="32"/>
      <c r="F83" s="32"/>
      <c r="G83" s="32"/>
      <c r="H83" s="31"/>
      <c r="I83" s="33"/>
      <c r="J83" s="34"/>
      <c r="K83" s="32"/>
      <c r="L83" s="27"/>
    </row>
    <row r="84" spans="2:12" x14ac:dyDescent="0.2">
      <c r="B84" s="2"/>
      <c r="G84" s="2"/>
    </row>
    <row r="85" spans="2:12" x14ac:dyDescent="0.2">
      <c r="B85" s="2"/>
      <c r="G85" s="2"/>
    </row>
    <row r="86" spans="2:12" x14ac:dyDescent="0.2">
      <c r="B86" s="2"/>
      <c r="G86" s="2"/>
    </row>
    <row r="87" spans="2:12" x14ac:dyDescent="0.2">
      <c r="B87" s="2"/>
      <c r="G87" s="2"/>
    </row>
    <row r="88" spans="2:12" x14ac:dyDescent="0.2">
      <c r="B88" s="2"/>
      <c r="G88" s="2"/>
    </row>
    <row r="89" spans="2:12" x14ac:dyDescent="0.2">
      <c r="B89" s="2"/>
      <c r="G89" s="2"/>
    </row>
    <row r="90" spans="2:12" x14ac:dyDescent="0.2">
      <c r="B90" s="2"/>
      <c r="G90" s="2"/>
    </row>
    <row r="91" spans="2:12" x14ac:dyDescent="0.2">
      <c r="B91" s="2"/>
      <c r="G91" s="2"/>
    </row>
    <row r="92" spans="2:12" x14ac:dyDescent="0.2">
      <c r="B92" s="2"/>
      <c r="G92" s="2"/>
    </row>
    <row r="93" spans="2:12" x14ac:dyDescent="0.2">
      <c r="B93" s="2"/>
      <c r="G93" s="2"/>
    </row>
    <row r="94" spans="2:12" x14ac:dyDescent="0.2">
      <c r="B94" s="2"/>
      <c r="G94" s="2"/>
    </row>
    <row r="95" spans="2:12" x14ac:dyDescent="0.2">
      <c r="B95" s="2"/>
      <c r="G95" s="2"/>
    </row>
    <row r="96" spans="2:12" x14ac:dyDescent="0.2">
      <c r="B96" s="2"/>
      <c r="G96" s="2"/>
    </row>
    <row r="97" spans="2:7" x14ac:dyDescent="0.2">
      <c r="B97" s="2"/>
      <c r="G97" s="2"/>
    </row>
    <row r="98" spans="2:7" x14ac:dyDescent="0.2">
      <c r="B98" s="30"/>
      <c r="G98" s="30"/>
    </row>
    <row r="99" spans="2:7" x14ac:dyDescent="0.2">
      <c r="B99" s="30"/>
      <c r="G99" s="30"/>
    </row>
    <row r="100" spans="2:7" x14ac:dyDescent="0.2">
      <c r="B100" s="30"/>
      <c r="G100" s="2"/>
    </row>
    <row r="101" spans="2:7" x14ac:dyDescent="0.2">
      <c r="B101" s="30"/>
      <c r="G101" s="30"/>
    </row>
    <row r="102" spans="2:7" x14ac:dyDescent="0.2">
      <c r="B102" s="30"/>
      <c r="G102" s="2"/>
    </row>
    <row r="103" spans="2:7" x14ac:dyDescent="0.2">
      <c r="B103" s="30"/>
      <c r="G103" s="30"/>
    </row>
    <row r="104" spans="2:7" x14ac:dyDescent="0.2">
      <c r="B104" s="30"/>
      <c r="G104" s="30"/>
    </row>
    <row r="105" spans="2:7" x14ac:dyDescent="0.2">
      <c r="B105" s="30"/>
      <c r="G105" s="30"/>
    </row>
    <row r="106" spans="2:7" x14ac:dyDescent="0.2">
      <c r="B106" s="30"/>
      <c r="G106" s="30"/>
    </row>
    <row r="107" spans="2:7" x14ac:dyDescent="0.2">
      <c r="B107" s="30"/>
      <c r="G107" s="30"/>
    </row>
    <row r="108" spans="2:7" x14ac:dyDescent="0.2">
      <c r="B108" s="30"/>
      <c r="G108" s="30"/>
    </row>
    <row r="109" spans="2:7" x14ac:dyDescent="0.2">
      <c r="B109" s="30"/>
      <c r="G109" s="30"/>
    </row>
    <row r="110" spans="2:7" x14ac:dyDescent="0.2">
      <c r="B110" s="30"/>
      <c r="G110" s="30"/>
    </row>
    <row r="111" spans="2:7" x14ac:dyDescent="0.2">
      <c r="B111" s="30"/>
      <c r="G111" s="30"/>
    </row>
    <row r="112" spans="2:7" x14ac:dyDescent="0.2">
      <c r="B112" s="30"/>
      <c r="G112" s="30"/>
    </row>
    <row r="113" spans="2:7" x14ac:dyDescent="0.2">
      <c r="B113" s="30"/>
      <c r="G113" s="30"/>
    </row>
    <row r="114" spans="2:7" x14ac:dyDescent="0.2">
      <c r="B114" s="30"/>
      <c r="G114" s="30"/>
    </row>
    <row r="115" spans="2:7" x14ac:dyDescent="0.2">
      <c r="B115" s="30"/>
      <c r="G115" s="30"/>
    </row>
    <row r="116" spans="2:7" x14ac:dyDescent="0.2">
      <c r="B116" s="30"/>
      <c r="G116" s="30"/>
    </row>
    <row r="117" spans="2:7" x14ac:dyDescent="0.2">
      <c r="B117" s="30"/>
      <c r="G117" s="30"/>
    </row>
    <row r="118" spans="2:7" x14ac:dyDescent="0.2">
      <c r="B118" s="30"/>
      <c r="G118" s="30"/>
    </row>
    <row r="119" spans="2:7" x14ac:dyDescent="0.2">
      <c r="B119" s="30"/>
      <c r="G119" s="30"/>
    </row>
    <row r="120" spans="2:7" x14ac:dyDescent="0.2">
      <c r="B120" s="30"/>
      <c r="G120" s="30"/>
    </row>
    <row r="121" spans="2:7" x14ac:dyDescent="0.2">
      <c r="B121" s="30"/>
      <c r="G121" s="30"/>
    </row>
    <row r="122" spans="2:7" x14ac:dyDescent="0.2">
      <c r="B122" s="30"/>
      <c r="G122" s="30"/>
    </row>
    <row r="123" spans="2:7" x14ac:dyDescent="0.2">
      <c r="B123" s="30"/>
      <c r="G123" s="30"/>
    </row>
    <row r="124" spans="2:7" x14ac:dyDescent="0.2">
      <c r="B124" s="30"/>
      <c r="G124" s="30"/>
    </row>
    <row r="125" spans="2:7" x14ac:dyDescent="0.2">
      <c r="B125" s="30"/>
      <c r="G125" s="30"/>
    </row>
    <row r="126" spans="2:7" x14ac:dyDescent="0.2">
      <c r="B126" s="30"/>
      <c r="G126" s="30"/>
    </row>
    <row r="127" spans="2:7" x14ac:dyDescent="0.2">
      <c r="B127" s="30"/>
      <c r="G127" s="30"/>
    </row>
    <row r="128" spans="2:7" x14ac:dyDescent="0.2">
      <c r="B128" s="30"/>
      <c r="G128" s="30"/>
    </row>
    <row r="129" spans="2:7" x14ac:dyDescent="0.2">
      <c r="B129" s="30"/>
      <c r="G129" s="30"/>
    </row>
    <row r="130" spans="2:7" x14ac:dyDescent="0.2">
      <c r="B130" s="30"/>
      <c r="G130" s="30"/>
    </row>
    <row r="131" spans="2:7" x14ac:dyDescent="0.2">
      <c r="B131" s="30"/>
      <c r="G131" s="30"/>
    </row>
    <row r="132" spans="2:7" x14ac:dyDescent="0.2">
      <c r="B132" s="30"/>
      <c r="G132" s="30"/>
    </row>
    <row r="133" spans="2:7" x14ac:dyDescent="0.2">
      <c r="B133" s="30"/>
      <c r="G133" s="30"/>
    </row>
    <row r="134" spans="2:7" x14ac:dyDescent="0.2">
      <c r="B134" s="30"/>
      <c r="G134" s="30"/>
    </row>
    <row r="135" spans="2:7" x14ac:dyDescent="0.2">
      <c r="B135" s="30"/>
      <c r="G135" s="30"/>
    </row>
    <row r="136" spans="2:7" x14ac:dyDescent="0.2">
      <c r="B136" s="30"/>
      <c r="G136" s="30"/>
    </row>
    <row r="137" spans="2:7" x14ac:dyDescent="0.2">
      <c r="B137" s="30"/>
      <c r="G137" s="30"/>
    </row>
    <row r="138" spans="2:7" x14ac:dyDescent="0.2">
      <c r="B138" s="30"/>
      <c r="G138" s="30"/>
    </row>
    <row r="139" spans="2:7" x14ac:dyDescent="0.2">
      <c r="B139" s="30"/>
      <c r="G139" s="30"/>
    </row>
    <row r="140" spans="2:7" x14ac:dyDescent="0.2">
      <c r="B140" s="30"/>
      <c r="G140" s="30"/>
    </row>
    <row r="141" spans="2:7" x14ac:dyDescent="0.2">
      <c r="B141" s="30"/>
      <c r="G141" s="30"/>
    </row>
    <row r="142" spans="2:7" x14ac:dyDescent="0.2">
      <c r="B142" s="30"/>
      <c r="G142" s="30"/>
    </row>
    <row r="143" spans="2:7" x14ac:dyDescent="0.2">
      <c r="B143" s="30"/>
      <c r="G143" s="30"/>
    </row>
    <row r="144" spans="2:7" x14ac:dyDescent="0.2">
      <c r="B144" s="30"/>
      <c r="G144" s="30"/>
    </row>
    <row r="145" spans="2:7" x14ac:dyDescent="0.2">
      <c r="B145" s="30"/>
      <c r="G145" s="30"/>
    </row>
    <row r="146" spans="2:7" x14ac:dyDescent="0.2">
      <c r="B146" s="30"/>
      <c r="G146" s="30"/>
    </row>
    <row r="147" spans="2:7" x14ac:dyDescent="0.2">
      <c r="B147" s="30"/>
      <c r="G147" s="30"/>
    </row>
    <row r="148" spans="2:7" x14ac:dyDescent="0.2">
      <c r="B148" s="30"/>
      <c r="G148" s="30"/>
    </row>
    <row r="149" spans="2:7" x14ac:dyDescent="0.2">
      <c r="B149" s="30"/>
      <c r="G149" s="30"/>
    </row>
    <row r="150" spans="2:7" x14ac:dyDescent="0.2">
      <c r="B150" s="30"/>
      <c r="G150" s="30"/>
    </row>
  </sheetData>
  <conditionalFormatting sqref="I1:I24 I31:I1048576">
    <cfRule type="cellIs" dxfId="136" priority="104" operator="equal">
      <formula>"Bloquant"</formula>
    </cfRule>
  </conditionalFormatting>
  <conditionalFormatting sqref="I31:I32 K31:K32 I36 K36 I33:K35 I37:K1048576 I1:K24">
    <cfRule type="expression" dxfId="135" priority="103" stopIfTrue="1">
      <formula>($J1="Réalisé")</formula>
    </cfRule>
    <cfRule type="expression" dxfId="134" priority="105">
      <formula>AND($G1&lt;&gt;"",$G1&lt;TODAY())</formula>
    </cfRule>
  </conditionalFormatting>
  <conditionalFormatting sqref="J1:J24 J33:J35 J37:J1048576">
    <cfRule type="cellIs" dxfId="133" priority="100" operator="equal">
      <formula>"En cours"</formula>
    </cfRule>
    <cfRule type="cellIs" dxfId="132" priority="101" operator="equal">
      <formula>"A faire"</formula>
    </cfRule>
    <cfRule type="cellIs" dxfId="131" priority="102" stopIfTrue="1" operator="equal">
      <formula>"En attente"</formula>
    </cfRule>
  </conditionalFormatting>
  <conditionalFormatting sqref="D1:F24 F31:F32 F34 D31:D43 F36:F43 D44:F45 D46 F46 D47:F1048576">
    <cfRule type="expression" dxfId="130" priority="107" stopIfTrue="1">
      <formula>($J1="Réalisé")</formula>
    </cfRule>
    <cfRule type="expression" dxfId="129" priority="108">
      <formula>AND($G1&lt;&gt;"",$G1&lt;TODAY())</formula>
    </cfRule>
  </conditionalFormatting>
  <conditionalFormatting sqref="L1:L24 L31:L1048576">
    <cfRule type="cellIs" dxfId="128" priority="109" operator="equal">
      <formula>"???"</formula>
    </cfRule>
    <cfRule type="expression" dxfId="127" priority="111" stopIfTrue="1">
      <formula>($J1="Réalisé")</formula>
    </cfRule>
    <cfRule type="expression" dxfId="126" priority="112">
      <formula>AND($G1&lt;&gt;"",$G1&lt;TODAY())</formula>
    </cfRule>
  </conditionalFormatting>
  <conditionalFormatting sqref="G1:G13 G77:G82 G87 G151:G1048576">
    <cfRule type="cellIs" dxfId="125" priority="113" stopIfTrue="1" operator="equal">
      <formula>"???"</formula>
    </cfRule>
    <cfRule type="expression" dxfId="124" priority="114" stopIfTrue="1">
      <formula>AND($G1&lt;&gt;"",$G1&lt;TODAY())</formula>
    </cfRule>
  </conditionalFormatting>
  <conditionalFormatting sqref="F31:F32 K31:L32 F34 K36:L36 C14:F24 H14:L24 H36:I36 H31:I32 C77:L82 C83:F86 H83:L86 B151:L1048576 C88:F150 H88:L150 B87:L87 H33:L35 C31:D43 F36:F43 C44:F45 H37:L76 C46:D46 F46 B1:L13 C47:F76">
    <cfRule type="expression" dxfId="123" priority="99" stopIfTrue="1">
      <formula>($J1="Annulé")</formula>
    </cfRule>
  </conditionalFormatting>
  <conditionalFormatting sqref="I25:I30">
    <cfRule type="cellIs" dxfId="122" priority="90" operator="equal">
      <formula>"Bloquant"</formula>
    </cfRule>
  </conditionalFormatting>
  <conditionalFormatting sqref="I25:K30">
    <cfRule type="expression" dxfId="121" priority="89" stopIfTrue="1">
      <formula>($J25="Réalisé")</formula>
    </cfRule>
    <cfRule type="expression" dxfId="120" priority="91">
      <formula>AND($G25&lt;&gt;"",$G25&lt;TODAY())</formula>
    </cfRule>
  </conditionalFormatting>
  <conditionalFormatting sqref="J25:J30">
    <cfRule type="cellIs" dxfId="119" priority="86" operator="equal">
      <formula>"En cours"</formula>
    </cfRule>
    <cfRule type="cellIs" dxfId="118" priority="87" operator="equal">
      <formula>"A faire"</formula>
    </cfRule>
    <cfRule type="cellIs" dxfId="117" priority="88" stopIfTrue="1" operator="equal">
      <formula>"En attente"</formula>
    </cfRule>
  </conditionalFormatting>
  <conditionalFormatting sqref="D25:F30">
    <cfRule type="expression" dxfId="116" priority="92" stopIfTrue="1">
      <formula>($J25="Réalisé")</formula>
    </cfRule>
    <cfRule type="expression" dxfId="115" priority="93">
      <formula>AND($G25&lt;&gt;"",$G25&lt;TODAY())</formula>
    </cfRule>
  </conditionalFormatting>
  <conditionalFormatting sqref="L25:L30">
    <cfRule type="cellIs" dxfId="114" priority="94" operator="equal">
      <formula>"???"</formula>
    </cfRule>
    <cfRule type="expression" dxfId="113" priority="95" stopIfTrue="1">
      <formula>($J25="Réalisé")</formula>
    </cfRule>
    <cfRule type="expression" dxfId="112" priority="96">
      <formula>AND($G25&lt;&gt;"",$G25&lt;TODAY())</formula>
    </cfRule>
  </conditionalFormatting>
  <conditionalFormatting sqref="C25:F30 H25:L30">
    <cfRule type="expression" dxfId="111" priority="85" stopIfTrue="1">
      <formula>($J25="Annulé")</formula>
    </cfRule>
  </conditionalFormatting>
  <conditionalFormatting sqref="E31">
    <cfRule type="expression" dxfId="110" priority="83" stopIfTrue="1">
      <formula>($J31="Réalisé")</formula>
    </cfRule>
    <cfRule type="expression" dxfId="109" priority="84">
      <formula>AND($G31&lt;&gt;"",$G31&lt;TODAY())</formula>
    </cfRule>
  </conditionalFormatting>
  <conditionalFormatting sqref="E31">
    <cfRule type="expression" dxfId="108" priority="82" stopIfTrue="1">
      <formula>($J31="Annulé")</formula>
    </cfRule>
  </conditionalFormatting>
  <conditionalFormatting sqref="J31">
    <cfRule type="expression" dxfId="107" priority="80" stopIfTrue="1">
      <formula>($J31="Réalisé")</formula>
    </cfRule>
    <cfRule type="expression" dxfId="106" priority="81">
      <formula>AND($G31&lt;&gt;"",$G31&lt;TODAY())</formula>
    </cfRule>
  </conditionalFormatting>
  <conditionalFormatting sqref="J31">
    <cfRule type="cellIs" dxfId="105" priority="77" operator="equal">
      <formula>"En cours"</formula>
    </cfRule>
    <cfRule type="cellIs" dxfId="104" priority="78" operator="equal">
      <formula>"A faire"</formula>
    </cfRule>
    <cfRule type="cellIs" dxfId="103" priority="79" stopIfTrue="1" operator="equal">
      <formula>"En attente"</formula>
    </cfRule>
  </conditionalFormatting>
  <conditionalFormatting sqref="J31">
    <cfRule type="expression" dxfId="102" priority="76" stopIfTrue="1">
      <formula>($J31="Annulé")</formula>
    </cfRule>
  </conditionalFormatting>
  <conditionalFormatting sqref="E32">
    <cfRule type="expression" dxfId="101" priority="74" stopIfTrue="1">
      <formula>($J32="Réalisé")</formula>
    </cfRule>
    <cfRule type="expression" dxfId="100" priority="75">
      <formula>AND($G32&lt;&gt;"",$G32&lt;TODAY())</formula>
    </cfRule>
  </conditionalFormatting>
  <conditionalFormatting sqref="E32">
    <cfRule type="expression" dxfId="99" priority="73" stopIfTrue="1">
      <formula>($J32="Annulé")</formula>
    </cfRule>
  </conditionalFormatting>
  <conditionalFormatting sqref="J32">
    <cfRule type="expression" dxfId="98" priority="71" stopIfTrue="1">
      <formula>($J32="Réalisé")</formula>
    </cfRule>
    <cfRule type="expression" dxfId="97" priority="72">
      <formula>AND($G32&lt;&gt;"",$G32&lt;TODAY())</formula>
    </cfRule>
  </conditionalFormatting>
  <conditionalFormatting sqref="J32">
    <cfRule type="cellIs" dxfId="96" priority="68" operator="equal">
      <formula>"En cours"</formula>
    </cfRule>
    <cfRule type="cellIs" dxfId="95" priority="69" operator="equal">
      <formula>"A faire"</formula>
    </cfRule>
    <cfRule type="cellIs" dxfId="94" priority="70" stopIfTrue="1" operator="equal">
      <formula>"En attente"</formula>
    </cfRule>
  </conditionalFormatting>
  <conditionalFormatting sqref="J32">
    <cfRule type="expression" dxfId="93" priority="67" stopIfTrue="1">
      <formula>($J32="Annulé")</formula>
    </cfRule>
  </conditionalFormatting>
  <conditionalFormatting sqref="E33">
    <cfRule type="expression" dxfId="92" priority="65" stopIfTrue="1">
      <formula>($J33="Réalisé")</formula>
    </cfRule>
    <cfRule type="expression" dxfId="91" priority="66">
      <formula>AND($G33&lt;&gt;"",$G33&lt;TODAY())</formula>
    </cfRule>
  </conditionalFormatting>
  <conditionalFormatting sqref="E33">
    <cfRule type="expression" dxfId="90" priority="64" stopIfTrue="1">
      <formula>($J33="Annulé")</formula>
    </cfRule>
  </conditionalFormatting>
  <conditionalFormatting sqref="F33">
    <cfRule type="expression" dxfId="89" priority="62" stopIfTrue="1">
      <formula>($J33="Réalisé")</formula>
    </cfRule>
    <cfRule type="expression" dxfId="88" priority="63">
      <formula>AND($G33&lt;&gt;"",$G33&lt;TODAY())</formula>
    </cfRule>
  </conditionalFormatting>
  <conditionalFormatting sqref="F33">
    <cfRule type="expression" dxfId="87" priority="61" stopIfTrue="1">
      <formula>($J33="Annulé")</formula>
    </cfRule>
  </conditionalFormatting>
  <conditionalFormatting sqref="E34">
    <cfRule type="expression" dxfId="86" priority="59" stopIfTrue="1">
      <formula>($J34="Réalisé")</formula>
    </cfRule>
    <cfRule type="expression" dxfId="85" priority="60">
      <formula>AND($G34&lt;&gt;"",$G34&lt;TODAY())</formula>
    </cfRule>
  </conditionalFormatting>
  <conditionalFormatting sqref="E34">
    <cfRule type="expression" dxfId="84" priority="58" stopIfTrue="1">
      <formula>($J34="Annulé")</formula>
    </cfRule>
  </conditionalFormatting>
  <conditionalFormatting sqref="E35">
    <cfRule type="expression" dxfId="83" priority="56" stopIfTrue="1">
      <formula>($J35="Réalisé")</formula>
    </cfRule>
    <cfRule type="expression" dxfId="82" priority="57">
      <formula>AND($G35&lt;&gt;"",$G35&lt;TODAY())</formula>
    </cfRule>
  </conditionalFormatting>
  <conditionalFormatting sqref="E35">
    <cfRule type="expression" dxfId="81" priority="55" stopIfTrue="1">
      <formula>($J35="Annulé")</formula>
    </cfRule>
  </conditionalFormatting>
  <conditionalFormatting sqref="F35">
    <cfRule type="expression" dxfId="80" priority="53" stopIfTrue="1">
      <formula>($J35="Réalisé")</formula>
    </cfRule>
    <cfRule type="expression" dxfId="79" priority="54">
      <formula>AND($G35&lt;&gt;"",$G35&lt;TODAY())</formula>
    </cfRule>
  </conditionalFormatting>
  <conditionalFormatting sqref="F35">
    <cfRule type="expression" dxfId="78" priority="52" stopIfTrue="1">
      <formula>($J35="Annulé")</formula>
    </cfRule>
  </conditionalFormatting>
  <conditionalFormatting sqref="E36">
    <cfRule type="expression" dxfId="77" priority="50" stopIfTrue="1">
      <formula>($J36="Réalisé")</formula>
    </cfRule>
    <cfRule type="expression" dxfId="76" priority="51">
      <formula>AND($G36&lt;&gt;"",$G36&lt;TODAY())</formula>
    </cfRule>
  </conditionalFormatting>
  <conditionalFormatting sqref="E36">
    <cfRule type="expression" dxfId="75" priority="49" stopIfTrue="1">
      <formula>($J36="Annulé")</formula>
    </cfRule>
  </conditionalFormatting>
  <conditionalFormatting sqref="J36">
    <cfRule type="expression" dxfId="74" priority="47" stopIfTrue="1">
      <formula>($J36="Réalisé")</formula>
    </cfRule>
    <cfRule type="expression" dxfId="73" priority="48">
      <formula>AND($G36&lt;&gt;"",$G36&lt;TODAY())</formula>
    </cfRule>
  </conditionalFormatting>
  <conditionalFormatting sqref="J36">
    <cfRule type="cellIs" dxfId="72" priority="44" operator="equal">
      <formula>"En cours"</formula>
    </cfRule>
    <cfRule type="cellIs" dxfId="71" priority="45" operator="equal">
      <formula>"A faire"</formula>
    </cfRule>
    <cfRule type="cellIs" dxfId="70" priority="46" stopIfTrue="1" operator="equal">
      <formula>"En attente"</formula>
    </cfRule>
  </conditionalFormatting>
  <conditionalFormatting sqref="J36">
    <cfRule type="expression" dxfId="69" priority="43" stopIfTrue="1">
      <formula>($J36="Annulé")</formula>
    </cfRule>
  </conditionalFormatting>
  <conditionalFormatting sqref="E37">
    <cfRule type="expression" dxfId="68" priority="41" stopIfTrue="1">
      <formula>($J37="Réalisé")</formula>
    </cfRule>
    <cfRule type="expression" dxfId="67" priority="42">
      <formula>AND($G37&lt;&gt;"",$G37&lt;TODAY())</formula>
    </cfRule>
  </conditionalFormatting>
  <conditionalFormatting sqref="E37">
    <cfRule type="expression" dxfId="66" priority="40" stopIfTrue="1">
      <formula>($J37="Annulé")</formula>
    </cfRule>
  </conditionalFormatting>
  <conditionalFormatting sqref="E38">
    <cfRule type="expression" dxfId="65" priority="38" stopIfTrue="1">
      <formula>($J38="Réalisé")</formula>
    </cfRule>
    <cfRule type="expression" dxfId="64" priority="39">
      <formula>AND($G38&lt;&gt;"",$G38&lt;TODAY())</formula>
    </cfRule>
  </conditionalFormatting>
  <conditionalFormatting sqref="E38">
    <cfRule type="expression" dxfId="63" priority="37" stopIfTrue="1">
      <formula>($J38="Annulé")</formula>
    </cfRule>
  </conditionalFormatting>
  <conditionalFormatting sqref="E39">
    <cfRule type="expression" dxfId="62" priority="35" stopIfTrue="1">
      <formula>($J39="Réalisé")</formula>
    </cfRule>
    <cfRule type="expression" dxfId="61" priority="36">
      <formula>AND($G39&lt;&gt;"",$G39&lt;TODAY())</formula>
    </cfRule>
  </conditionalFormatting>
  <conditionalFormatting sqref="E39">
    <cfRule type="expression" dxfId="60" priority="34" stopIfTrue="1">
      <formula>($J39="Annulé")</formula>
    </cfRule>
  </conditionalFormatting>
  <conditionalFormatting sqref="E40">
    <cfRule type="expression" dxfId="59" priority="32" stopIfTrue="1">
      <formula>($J40="Réalisé")</formula>
    </cfRule>
    <cfRule type="expression" dxfId="58" priority="33">
      <formula>AND($G40&lt;&gt;"",$G40&lt;TODAY())</formula>
    </cfRule>
  </conditionalFormatting>
  <conditionalFormatting sqref="E40">
    <cfRule type="expression" dxfId="57" priority="31" stopIfTrue="1">
      <formula>($J40="Annulé")</formula>
    </cfRule>
  </conditionalFormatting>
  <conditionalFormatting sqref="E41">
    <cfRule type="expression" dxfId="56" priority="29" stopIfTrue="1">
      <formula>($J41="Réalisé")</formula>
    </cfRule>
    <cfRule type="expression" dxfId="55" priority="30">
      <formula>AND($G41&lt;&gt;"",$G41&lt;TODAY())</formula>
    </cfRule>
  </conditionalFormatting>
  <conditionalFormatting sqref="E41">
    <cfRule type="expression" dxfId="54" priority="28" stopIfTrue="1">
      <formula>($J41="Annulé")</formula>
    </cfRule>
  </conditionalFormatting>
  <conditionalFormatting sqref="G98:G99 G101 G103:G150 G24:G25 G27 G3:G17 G29:G91">
    <cfRule type="expression" dxfId="53" priority="26" stopIfTrue="1">
      <formula>($J3="Réalisé")</formula>
    </cfRule>
    <cfRule type="expression" dxfId="52" priority="27">
      <formula>AND($G3&lt;&gt;"",$G3&lt;TODAY())</formula>
    </cfRule>
  </conditionalFormatting>
  <conditionalFormatting sqref="G98:G99 G101 G88:G91 G103:G150 G83:G86 G24:G25 G27 G14:G17 G29:G76">
    <cfRule type="expression" dxfId="51" priority="25" stopIfTrue="1">
      <formula>($J14="Annulé")</formula>
    </cfRule>
  </conditionalFormatting>
  <conditionalFormatting sqref="G92:G97 G18:G23">
    <cfRule type="expression" dxfId="50" priority="23" stopIfTrue="1">
      <formula>($J18="Réalisé")</formula>
    </cfRule>
    <cfRule type="expression" dxfId="49" priority="24">
      <formula>AND($G18&lt;&gt;"",$G18&lt;TODAY())</formula>
    </cfRule>
  </conditionalFormatting>
  <conditionalFormatting sqref="G92:G97 G18:G23">
    <cfRule type="expression" dxfId="48" priority="22" stopIfTrue="1">
      <formula>($J18="Annulé")</formula>
    </cfRule>
  </conditionalFormatting>
  <conditionalFormatting sqref="G100 G26">
    <cfRule type="expression" dxfId="47" priority="20" stopIfTrue="1">
      <formula>($J26="Réalisé")</formula>
    </cfRule>
    <cfRule type="expression" dxfId="46" priority="21">
      <formula>AND($G26&lt;&gt;"",$G26&lt;TODAY())</formula>
    </cfRule>
  </conditionalFormatting>
  <conditionalFormatting sqref="G100 G26">
    <cfRule type="expression" dxfId="45" priority="19" stopIfTrue="1">
      <formula>($J26="Annulé")</formula>
    </cfRule>
  </conditionalFormatting>
  <conditionalFormatting sqref="G102 G28">
    <cfRule type="expression" dxfId="44" priority="17" stopIfTrue="1">
      <formula>($J28="Réalisé")</formula>
    </cfRule>
    <cfRule type="expression" dxfId="43" priority="18">
      <formula>AND($G28&lt;&gt;"",$G28&lt;TODAY())</formula>
    </cfRule>
  </conditionalFormatting>
  <conditionalFormatting sqref="G102 G28">
    <cfRule type="expression" dxfId="42" priority="16" stopIfTrue="1">
      <formula>($J28="Annulé")</formula>
    </cfRule>
  </conditionalFormatting>
  <conditionalFormatting sqref="B98:B150 B24:B91 B3:B17">
    <cfRule type="expression" dxfId="41" priority="14" stopIfTrue="1">
      <formula>($J3="Réalisé")</formula>
    </cfRule>
    <cfRule type="expression" dxfId="40" priority="15">
      <formula>AND($G3&lt;&gt;"",$G3&lt;TODAY())</formula>
    </cfRule>
  </conditionalFormatting>
  <conditionalFormatting sqref="B88:B91 B98:B150 B14:B17 B24:B86">
    <cfRule type="expression" dxfId="39" priority="13" stopIfTrue="1">
      <formula>($J14="Annulé")</formula>
    </cfRule>
  </conditionalFormatting>
  <conditionalFormatting sqref="B92:B97 B18:B23">
    <cfRule type="expression" dxfId="38" priority="11" stopIfTrue="1">
      <formula>($J18="Réalisé")</formula>
    </cfRule>
    <cfRule type="expression" dxfId="37" priority="12">
      <formula>AND($G18&lt;&gt;"",$G18&lt;TODAY())</formula>
    </cfRule>
  </conditionalFormatting>
  <conditionalFormatting sqref="B92:B97 B18:B23">
    <cfRule type="expression" dxfId="36" priority="10" stopIfTrue="1">
      <formula>($J18="Annulé")</formula>
    </cfRule>
  </conditionalFormatting>
  <conditionalFormatting sqref="E42">
    <cfRule type="expression" dxfId="35" priority="8" stopIfTrue="1">
      <formula>($J42="Réalisé")</formula>
    </cfRule>
    <cfRule type="expression" dxfId="34" priority="9">
      <formula>AND($G42&lt;&gt;"",$G42&lt;TODAY())</formula>
    </cfRule>
  </conditionalFormatting>
  <conditionalFormatting sqref="E42">
    <cfRule type="expression" dxfId="33" priority="7" stopIfTrue="1">
      <formula>($J42="Annulé")</formula>
    </cfRule>
  </conditionalFormatting>
  <conditionalFormatting sqref="E43">
    <cfRule type="expression" dxfId="32" priority="5" stopIfTrue="1">
      <formula>($J43="Réalisé")</formula>
    </cfRule>
    <cfRule type="expression" dxfId="31" priority="6">
      <formula>AND($G43&lt;&gt;"",$G43&lt;TODAY())</formula>
    </cfRule>
  </conditionalFormatting>
  <conditionalFormatting sqref="E43">
    <cfRule type="expression" dxfId="30" priority="4" stopIfTrue="1">
      <formula>($J43="Annulé")</formula>
    </cfRule>
  </conditionalFormatting>
  <conditionalFormatting sqref="E46">
    <cfRule type="expression" dxfId="29" priority="2" stopIfTrue="1">
      <formula>($J46="Réalisé")</formula>
    </cfRule>
    <cfRule type="expression" dxfId="28" priority="3">
      <formula>AND($G46&lt;&gt;"",$G46&lt;TODAY())</formula>
    </cfRule>
  </conditionalFormatting>
  <conditionalFormatting sqref="E46">
    <cfRule type="expression" dxfId="27" priority="1" stopIfTrue="1">
      <formula>($J46="Annulé")</formula>
    </cfRule>
  </conditionalFormatting>
  <dataValidations count="1">
    <dataValidation type="list" allowBlank="1" showInputMessage="1" showErrorMessage="1" sqref="H20:I20 J3:J83" xr:uid="{00000000-0002-0000-0300-000000000000}">
      <formula1>"A faire,En cours,Réalisé,Annulé, En attente"</formula1>
    </dataValidation>
  </dataValidations>
  <pageMargins left="0.7" right="0.7" top="0.75" bottom="0.75" header="0.3" footer="0.3"/>
  <pageSetup paperSize="9" orientation="portrait"/>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dimension ref="B8:R128"/>
  <sheetViews>
    <sheetView workbookViewId="0">
      <selection activeCell="C47" sqref="C47:P47"/>
    </sheetView>
  </sheetViews>
  <sheetFormatPr baseColWidth="10" defaultColWidth="11.42578125" defaultRowHeight="12.75" x14ac:dyDescent="0.2"/>
  <cols>
    <col min="1" max="1" width="14.28515625" style="85" customWidth="1"/>
    <col min="2" max="2" width="25.28515625" style="85" customWidth="1"/>
    <col min="3" max="16384" width="11.42578125" style="85"/>
  </cols>
  <sheetData>
    <row r="8" spans="2:2" ht="21" x14ac:dyDescent="0.35">
      <c r="B8" s="84" t="s">
        <v>227</v>
      </c>
    </row>
    <row r="10" spans="2:2" ht="15" x14ac:dyDescent="0.2">
      <c r="B10" s="66" t="s">
        <v>224</v>
      </c>
    </row>
    <row r="12" spans="2:2" ht="15" x14ac:dyDescent="0.2">
      <c r="B12" s="62"/>
    </row>
    <row r="13" spans="2:2" ht="15" x14ac:dyDescent="0.2">
      <c r="B13" s="62"/>
    </row>
    <row r="14" spans="2:2" ht="15" x14ac:dyDescent="0.2">
      <c r="B14" s="62"/>
    </row>
    <row r="15" spans="2:2" ht="15" x14ac:dyDescent="0.2">
      <c r="B15" s="62"/>
    </row>
    <row r="16" spans="2:2" ht="15" x14ac:dyDescent="0.2">
      <c r="B16" s="62"/>
    </row>
    <row r="17" spans="2:18" ht="15" x14ac:dyDescent="0.2">
      <c r="B17" s="62"/>
    </row>
    <row r="18" spans="2:18" ht="15" x14ac:dyDescent="0.2">
      <c r="B18" s="62"/>
    </row>
    <row r="19" spans="2:18" ht="15" x14ac:dyDescent="0.2">
      <c r="B19" s="62"/>
    </row>
    <row r="20" spans="2:18" ht="15" x14ac:dyDescent="0.2">
      <c r="B20" s="62"/>
    </row>
    <row r="21" spans="2:18" s="87" customFormat="1" ht="21" x14ac:dyDescent="0.25">
      <c r="B21" s="136" t="s">
        <v>238</v>
      </c>
      <c r="C21" s="136"/>
      <c r="D21" s="136"/>
      <c r="E21" s="136"/>
      <c r="F21" s="136"/>
      <c r="G21" s="136"/>
      <c r="H21" s="136"/>
      <c r="I21" s="136"/>
      <c r="J21" s="136"/>
      <c r="K21" s="136"/>
      <c r="L21" s="136"/>
      <c r="M21" s="136"/>
      <c r="N21" s="136"/>
      <c r="O21" s="136"/>
      <c r="P21" s="85"/>
      <c r="Q21" s="85"/>
    </row>
    <row r="22" spans="2:18" ht="15.75" x14ac:dyDescent="0.25">
      <c r="B22" s="64" t="s">
        <v>239</v>
      </c>
      <c r="C22" s="63"/>
      <c r="D22" s="63"/>
      <c r="E22" s="63"/>
      <c r="F22" s="63"/>
    </row>
    <row r="23" spans="2:18" ht="15.75" x14ac:dyDescent="0.25">
      <c r="B23" s="64" t="s">
        <v>225</v>
      </c>
      <c r="C23" s="86" t="s">
        <v>236</v>
      </c>
      <c r="D23" s="63"/>
      <c r="E23" s="63"/>
      <c r="F23" s="63"/>
    </row>
    <row r="24" spans="2:18" ht="15.75" x14ac:dyDescent="0.25">
      <c r="B24" s="64" t="s">
        <v>228</v>
      </c>
      <c r="C24" s="63" t="s">
        <v>240</v>
      </c>
      <c r="D24" s="63"/>
      <c r="E24" s="63"/>
      <c r="F24" s="63"/>
    </row>
    <row r="25" spans="2:18" ht="15.75" x14ac:dyDescent="0.25">
      <c r="B25" s="64" t="s">
        <v>229</v>
      </c>
      <c r="C25" s="138" t="s">
        <v>256</v>
      </c>
      <c r="D25" s="138"/>
      <c r="E25" s="138"/>
      <c r="F25" s="138"/>
      <c r="G25" s="138"/>
      <c r="H25" s="138"/>
      <c r="I25" s="138"/>
      <c r="J25" s="138"/>
      <c r="K25" s="138"/>
      <c r="L25" s="138"/>
      <c r="M25" s="138"/>
      <c r="N25" s="138"/>
      <c r="O25" s="138"/>
      <c r="P25" s="138"/>
      <c r="Q25" s="138"/>
      <c r="R25" s="138"/>
    </row>
    <row r="26" spans="2:18" ht="15.75" x14ac:dyDescent="0.25">
      <c r="B26" s="64" t="s">
        <v>262</v>
      </c>
      <c r="C26" s="133" t="s">
        <v>257</v>
      </c>
      <c r="D26" s="133"/>
      <c r="E26" s="133"/>
      <c r="F26" s="133"/>
      <c r="G26" s="133"/>
      <c r="H26" s="133"/>
      <c r="I26" s="133"/>
      <c r="J26" s="133"/>
      <c r="K26" s="133"/>
      <c r="L26" s="133"/>
      <c r="M26" s="133"/>
      <c r="N26" s="133"/>
      <c r="O26" s="133"/>
      <c r="P26" s="133"/>
      <c r="Q26" s="87"/>
      <c r="R26" s="87"/>
    </row>
    <row r="27" spans="2:18" ht="15.75" x14ac:dyDescent="0.25">
      <c r="B27" s="64" t="s">
        <v>230</v>
      </c>
      <c r="C27" s="86" t="s">
        <v>258</v>
      </c>
      <c r="D27" s="87"/>
      <c r="E27" s="87"/>
      <c r="F27" s="87"/>
      <c r="G27" s="87"/>
      <c r="H27" s="87"/>
      <c r="I27" s="87"/>
      <c r="J27" s="87"/>
      <c r="K27" s="87"/>
      <c r="L27" s="87"/>
      <c r="M27" s="87"/>
      <c r="N27" s="87"/>
      <c r="O27" s="87"/>
      <c r="P27" s="87"/>
      <c r="Q27" s="87"/>
      <c r="R27" s="87"/>
    </row>
    <row r="28" spans="2:18" ht="15.75" x14ac:dyDescent="0.25">
      <c r="B28" s="64" t="s">
        <v>231</v>
      </c>
      <c r="C28" s="86" t="s">
        <v>259</v>
      </c>
      <c r="D28" s="87"/>
      <c r="E28" s="87"/>
      <c r="F28" s="87"/>
      <c r="G28" s="87"/>
      <c r="H28" s="87"/>
      <c r="I28" s="87"/>
      <c r="J28" s="87"/>
      <c r="K28" s="87"/>
      <c r="L28" s="87"/>
      <c r="M28" s="87"/>
      <c r="N28" s="87"/>
      <c r="O28" s="87"/>
      <c r="P28" s="87"/>
      <c r="Q28" s="87"/>
      <c r="R28" s="87"/>
    </row>
    <row r="29" spans="2:18" ht="15.75" x14ac:dyDescent="0.25">
      <c r="B29" s="65" t="s">
        <v>226</v>
      </c>
      <c r="C29" s="134" t="s">
        <v>241</v>
      </c>
      <c r="D29" s="134"/>
      <c r="E29" s="134"/>
      <c r="F29" s="134"/>
      <c r="G29" s="134"/>
      <c r="H29" s="134"/>
      <c r="I29" s="134"/>
      <c r="J29" s="134"/>
      <c r="K29" s="134"/>
      <c r="L29" s="134"/>
      <c r="M29" s="134"/>
      <c r="N29" s="134"/>
      <c r="O29" s="134"/>
      <c r="P29" s="134"/>
      <c r="Q29" s="87"/>
      <c r="R29" s="87"/>
    </row>
    <row r="30" spans="2:18" ht="15.75" x14ac:dyDescent="0.25">
      <c r="B30" s="64"/>
      <c r="C30" s="86"/>
      <c r="D30" s="87"/>
      <c r="E30" s="87"/>
      <c r="F30" s="87"/>
      <c r="G30" s="87"/>
      <c r="H30" s="87"/>
      <c r="I30" s="87"/>
      <c r="J30" s="87"/>
      <c r="K30" s="87"/>
      <c r="L30" s="87"/>
      <c r="M30" s="87"/>
      <c r="N30" s="87"/>
      <c r="O30" s="87"/>
      <c r="P30" s="87"/>
      <c r="Q30" s="87"/>
      <c r="R30" s="87"/>
    </row>
    <row r="31" spans="2:18" ht="15.75" x14ac:dyDescent="0.25">
      <c r="B31" s="64"/>
      <c r="C31" s="86"/>
      <c r="D31" s="87"/>
      <c r="E31" s="87"/>
      <c r="F31" s="87"/>
      <c r="G31" s="87"/>
      <c r="H31" s="87"/>
      <c r="I31" s="87"/>
      <c r="J31" s="87"/>
      <c r="K31" s="87"/>
      <c r="L31" s="87"/>
      <c r="M31" s="87"/>
      <c r="N31" s="87"/>
      <c r="O31" s="87"/>
      <c r="P31" s="87"/>
      <c r="Q31" s="87"/>
      <c r="R31" s="87"/>
    </row>
    <row r="32" spans="2:18" ht="15.75" x14ac:dyDescent="0.25">
      <c r="B32" s="64"/>
      <c r="C32" s="86"/>
      <c r="D32" s="87"/>
      <c r="E32" s="87"/>
      <c r="F32" s="87"/>
      <c r="G32" s="87"/>
      <c r="H32" s="87"/>
      <c r="I32" s="87"/>
      <c r="J32" s="87"/>
      <c r="K32" s="87"/>
      <c r="L32" s="87"/>
      <c r="M32" s="87"/>
      <c r="N32" s="87"/>
      <c r="O32" s="87"/>
      <c r="P32" s="87"/>
      <c r="Q32" s="87"/>
      <c r="R32" s="87"/>
    </row>
    <row r="33" spans="2:18" ht="15.75" x14ac:dyDescent="0.25">
      <c r="B33" s="64"/>
      <c r="C33" s="86"/>
      <c r="D33" s="87"/>
      <c r="E33" s="87"/>
      <c r="F33" s="87"/>
      <c r="G33" s="87"/>
      <c r="H33" s="87"/>
      <c r="I33" s="87"/>
      <c r="J33" s="87"/>
      <c r="K33" s="87"/>
      <c r="L33" s="87"/>
      <c r="M33" s="87"/>
      <c r="N33" s="87"/>
      <c r="O33" s="87"/>
      <c r="P33" s="87"/>
      <c r="Q33" s="87"/>
      <c r="R33" s="87"/>
    </row>
    <row r="34" spans="2:18" ht="27" customHeight="1" x14ac:dyDescent="0.25">
      <c r="B34" s="64"/>
      <c r="C34" s="86"/>
      <c r="D34" s="87"/>
      <c r="E34" s="87"/>
      <c r="F34" s="87"/>
      <c r="G34" s="87"/>
      <c r="H34" s="87"/>
      <c r="I34" s="87"/>
      <c r="J34" s="87"/>
      <c r="K34" s="87"/>
      <c r="L34" s="87"/>
      <c r="M34" s="87"/>
      <c r="N34" s="87"/>
      <c r="O34" s="87"/>
      <c r="P34" s="87"/>
      <c r="Q34" s="87"/>
      <c r="R34" s="87"/>
    </row>
    <row r="35" spans="2:18" ht="15.75" x14ac:dyDescent="0.25">
      <c r="B35" s="64" t="s">
        <v>232</v>
      </c>
      <c r="C35" s="86" t="s">
        <v>260</v>
      </c>
      <c r="D35" s="87"/>
      <c r="E35" s="87"/>
      <c r="F35" s="87"/>
      <c r="G35" s="87"/>
      <c r="H35" s="87"/>
      <c r="I35" s="87"/>
      <c r="J35" s="87"/>
      <c r="K35" s="87"/>
      <c r="L35" s="87"/>
      <c r="M35" s="87"/>
      <c r="N35" s="87"/>
      <c r="O35" s="87"/>
      <c r="P35" s="87"/>
      <c r="Q35" s="87"/>
      <c r="R35" s="87"/>
    </row>
    <row r="36" spans="2:18" ht="43.15" customHeight="1" x14ac:dyDescent="0.25">
      <c r="B36" s="88" t="s">
        <v>233</v>
      </c>
      <c r="C36" s="139" t="s">
        <v>242</v>
      </c>
      <c r="D36" s="139"/>
      <c r="E36" s="139"/>
      <c r="F36" s="139"/>
      <c r="G36" s="139"/>
      <c r="H36" s="139"/>
      <c r="I36" s="139"/>
      <c r="J36" s="139"/>
      <c r="K36" s="139"/>
      <c r="L36" s="139"/>
      <c r="M36" s="139"/>
      <c r="N36" s="139"/>
      <c r="O36" s="139"/>
      <c r="P36" s="139"/>
      <c r="Q36" s="87"/>
      <c r="R36" s="87"/>
    </row>
    <row r="37" spans="2:18" ht="15.75" x14ac:dyDescent="0.25">
      <c r="C37" s="86"/>
      <c r="D37" s="87"/>
      <c r="E37" s="87"/>
      <c r="F37" s="87"/>
      <c r="G37" s="87"/>
      <c r="H37" s="87"/>
      <c r="I37" s="87"/>
      <c r="J37" s="87"/>
      <c r="K37" s="87"/>
      <c r="L37" s="87"/>
      <c r="M37" s="87"/>
      <c r="N37" s="87"/>
      <c r="O37" s="87"/>
      <c r="P37" s="87"/>
      <c r="Q37" s="87"/>
      <c r="R37" s="87"/>
    </row>
    <row r="38" spans="2:18" ht="15.75" x14ac:dyDescent="0.25">
      <c r="B38" s="64"/>
      <c r="C38" s="86"/>
      <c r="D38" s="87"/>
      <c r="E38" s="87"/>
      <c r="F38" s="87"/>
      <c r="G38" s="87"/>
      <c r="H38" s="87"/>
      <c r="I38" s="87"/>
      <c r="J38" s="87"/>
      <c r="K38" s="87"/>
      <c r="L38" s="87"/>
      <c r="M38" s="87"/>
      <c r="N38" s="87"/>
      <c r="O38" s="87"/>
      <c r="P38" s="87"/>
      <c r="Q38" s="87"/>
      <c r="R38" s="87"/>
    </row>
    <row r="39" spans="2:18" ht="15.75" x14ac:dyDescent="0.25">
      <c r="B39" s="64"/>
      <c r="C39" s="86"/>
      <c r="D39" s="87"/>
      <c r="E39" s="87"/>
      <c r="F39" s="87"/>
      <c r="G39" s="87"/>
      <c r="H39" s="87"/>
      <c r="I39" s="87"/>
      <c r="J39" s="87"/>
      <c r="K39" s="87"/>
      <c r="L39" s="87"/>
      <c r="M39" s="87"/>
      <c r="N39" s="87"/>
      <c r="O39" s="87"/>
      <c r="P39" s="87"/>
      <c r="Q39" s="87"/>
      <c r="R39" s="87"/>
    </row>
    <row r="40" spans="2:18" ht="15.75" x14ac:dyDescent="0.25">
      <c r="B40" s="64"/>
      <c r="C40" s="86"/>
      <c r="D40" s="87"/>
      <c r="E40" s="87"/>
      <c r="F40" s="87"/>
      <c r="G40" s="87"/>
      <c r="H40" s="87"/>
      <c r="I40" s="87"/>
      <c r="J40" s="87"/>
      <c r="K40" s="87"/>
      <c r="L40" s="87"/>
      <c r="M40" s="87"/>
      <c r="N40" s="87"/>
      <c r="O40" s="87"/>
      <c r="P40" s="87"/>
      <c r="Q40" s="87"/>
      <c r="R40" s="87"/>
    </row>
    <row r="41" spans="2:18" ht="52.15" customHeight="1" x14ac:dyDescent="0.25">
      <c r="B41" s="65"/>
      <c r="C41" s="133"/>
      <c r="D41" s="133"/>
      <c r="E41" s="133"/>
      <c r="F41" s="133"/>
      <c r="G41" s="133"/>
      <c r="H41" s="133"/>
      <c r="I41" s="133"/>
      <c r="J41" s="133"/>
      <c r="K41" s="133"/>
      <c r="L41" s="133"/>
      <c r="M41" s="133"/>
      <c r="N41" s="133"/>
      <c r="O41" s="133"/>
      <c r="P41" s="133"/>
    </row>
    <row r="42" spans="2:18" ht="15.75" x14ac:dyDescent="0.25">
      <c r="B42" s="64" t="s">
        <v>234</v>
      </c>
      <c r="C42" s="86" t="s">
        <v>235</v>
      </c>
    </row>
    <row r="43" spans="2:18" ht="15.75" x14ac:dyDescent="0.25">
      <c r="B43" s="64"/>
      <c r="C43" s="86"/>
    </row>
    <row r="44" spans="2:18" ht="28.5" customHeight="1" x14ac:dyDescent="0.25">
      <c r="B44" s="94" t="s">
        <v>243</v>
      </c>
      <c r="C44" s="86"/>
    </row>
    <row r="45" spans="2:18" ht="69" customHeight="1" x14ac:dyDescent="0.2">
      <c r="B45" s="89" t="s">
        <v>244</v>
      </c>
      <c r="C45" s="137" t="s">
        <v>245</v>
      </c>
      <c r="D45" s="137"/>
      <c r="E45" s="137"/>
      <c r="F45" s="137"/>
      <c r="G45" s="137"/>
      <c r="H45" s="137"/>
      <c r="I45" s="137"/>
      <c r="J45" s="137"/>
      <c r="K45" s="137"/>
      <c r="L45" s="137"/>
      <c r="M45" s="137"/>
      <c r="N45" s="137"/>
      <c r="O45" s="137"/>
      <c r="P45" s="137"/>
    </row>
    <row r="46" spans="2:18" ht="50.65" customHeight="1" x14ac:dyDescent="0.2">
      <c r="B46" s="90" t="s">
        <v>246</v>
      </c>
      <c r="C46" s="137" t="s">
        <v>247</v>
      </c>
      <c r="D46" s="137"/>
      <c r="E46" s="137"/>
      <c r="F46" s="137"/>
      <c r="G46" s="137"/>
      <c r="H46" s="137"/>
      <c r="I46" s="137"/>
      <c r="J46" s="137"/>
      <c r="K46" s="137"/>
      <c r="L46" s="137"/>
      <c r="M46" s="137"/>
      <c r="N46" s="137"/>
      <c r="O46" s="137"/>
      <c r="P46" s="137"/>
    </row>
    <row r="47" spans="2:18" ht="38.1" customHeight="1" x14ac:dyDescent="0.2">
      <c r="B47" s="91" t="s">
        <v>248</v>
      </c>
      <c r="C47" s="137" t="s">
        <v>249</v>
      </c>
      <c r="D47" s="137"/>
      <c r="E47" s="137"/>
      <c r="F47" s="137"/>
      <c r="G47" s="137"/>
      <c r="H47" s="137"/>
      <c r="I47" s="137"/>
      <c r="J47" s="137"/>
      <c r="K47" s="137"/>
      <c r="L47" s="137"/>
      <c r="M47" s="137"/>
      <c r="N47" s="137"/>
      <c r="O47" s="137"/>
      <c r="P47" s="137"/>
    </row>
    <row r="48" spans="2:18" ht="15.75" x14ac:dyDescent="0.25">
      <c r="B48" s="63"/>
      <c r="C48" s="63"/>
    </row>
    <row r="49" spans="2:15" ht="21" x14ac:dyDescent="0.2">
      <c r="B49" s="136" t="s">
        <v>250</v>
      </c>
      <c r="C49" s="136"/>
      <c r="D49" s="136"/>
      <c r="E49" s="136"/>
      <c r="F49" s="136"/>
      <c r="G49" s="136"/>
      <c r="H49" s="136"/>
      <c r="I49" s="136"/>
      <c r="J49" s="136"/>
      <c r="K49" s="136"/>
      <c r="L49" s="136"/>
      <c r="M49" s="136"/>
      <c r="N49" s="136"/>
      <c r="O49" s="136"/>
    </row>
    <row r="50" spans="2:15" ht="21" x14ac:dyDescent="0.2">
      <c r="B50" s="103" t="s">
        <v>265</v>
      </c>
      <c r="C50" s="92"/>
      <c r="D50" s="92"/>
      <c r="E50" s="92"/>
      <c r="F50" s="92"/>
      <c r="G50" s="92"/>
      <c r="H50" s="92"/>
      <c r="I50" s="92"/>
      <c r="J50" s="92"/>
      <c r="K50" s="92"/>
      <c r="L50" s="92"/>
      <c r="M50" s="92"/>
      <c r="N50" s="92"/>
      <c r="O50" s="92"/>
    </row>
    <row r="51" spans="2:15" ht="21" x14ac:dyDescent="0.2">
      <c r="B51" s="102" t="s">
        <v>266</v>
      </c>
      <c r="C51" s="92"/>
      <c r="D51" s="92"/>
      <c r="E51" s="92"/>
      <c r="F51" s="92"/>
      <c r="G51" s="92"/>
      <c r="H51" s="92"/>
      <c r="I51" s="92"/>
      <c r="J51" s="92"/>
      <c r="K51" s="92"/>
      <c r="L51" s="92"/>
      <c r="M51" s="92"/>
      <c r="N51" s="92"/>
      <c r="O51" s="92"/>
    </row>
    <row r="52" spans="2:15" ht="21" x14ac:dyDescent="0.2">
      <c r="B52" s="92"/>
      <c r="C52" s="92"/>
      <c r="D52" s="92"/>
      <c r="E52" s="92"/>
      <c r="F52" s="92"/>
      <c r="G52" s="92"/>
      <c r="H52" s="92"/>
      <c r="I52" s="92"/>
      <c r="J52" s="92"/>
      <c r="K52" s="92"/>
      <c r="L52" s="92"/>
      <c r="M52" s="92"/>
      <c r="N52" s="92"/>
      <c r="O52" s="92"/>
    </row>
    <row r="53" spans="2:15" ht="21" x14ac:dyDescent="0.2">
      <c r="B53" s="103" t="s">
        <v>267</v>
      </c>
      <c r="C53" s="92"/>
      <c r="D53" s="92"/>
      <c r="E53" s="92"/>
      <c r="F53" s="92"/>
      <c r="G53" s="92"/>
      <c r="H53" s="92"/>
      <c r="I53" s="92"/>
      <c r="J53" s="92"/>
      <c r="K53" s="92"/>
      <c r="L53" s="92"/>
      <c r="M53" s="92"/>
      <c r="N53" s="92"/>
      <c r="O53" s="92"/>
    </row>
    <row r="54" spans="2:15" ht="21" x14ac:dyDescent="0.2">
      <c r="B54" s="65" t="s">
        <v>263</v>
      </c>
      <c r="C54" s="92"/>
      <c r="D54" s="92"/>
      <c r="E54" s="92"/>
      <c r="F54" s="92"/>
      <c r="G54" s="92"/>
      <c r="H54" s="92"/>
      <c r="I54" s="92"/>
      <c r="J54" s="92"/>
      <c r="K54" s="92"/>
      <c r="L54" s="92"/>
      <c r="M54" s="92"/>
      <c r="N54" s="92"/>
      <c r="O54" s="92"/>
    </row>
    <row r="55" spans="2:15" ht="21" x14ac:dyDescent="0.2">
      <c r="B55" s="102" t="s">
        <v>264</v>
      </c>
      <c r="C55" s="92"/>
      <c r="D55" s="92"/>
      <c r="E55" s="92"/>
      <c r="F55" s="92"/>
      <c r="G55" s="92"/>
      <c r="H55" s="92"/>
      <c r="I55" s="92"/>
      <c r="J55" s="92"/>
      <c r="K55" s="92"/>
      <c r="L55" s="92"/>
      <c r="M55" s="92"/>
      <c r="N55" s="92"/>
      <c r="O55" s="92"/>
    </row>
    <row r="56" spans="2:15" ht="21" x14ac:dyDescent="0.2">
      <c r="B56" s="92"/>
      <c r="C56" s="92"/>
      <c r="D56" s="92"/>
      <c r="E56" s="92"/>
      <c r="F56" s="92"/>
      <c r="G56" s="92"/>
      <c r="H56" s="92"/>
      <c r="I56" s="92"/>
      <c r="J56" s="92"/>
      <c r="K56" s="92"/>
      <c r="L56" s="92"/>
      <c r="M56" s="92"/>
      <c r="N56" s="92"/>
      <c r="O56" s="92"/>
    </row>
    <row r="57" spans="2:15" ht="21" x14ac:dyDescent="0.2">
      <c r="B57" s="92"/>
      <c r="C57" s="92"/>
      <c r="D57" s="92"/>
      <c r="E57" s="92"/>
      <c r="F57" s="92"/>
      <c r="G57" s="92"/>
      <c r="H57" s="92"/>
      <c r="I57" s="92"/>
      <c r="J57" s="92"/>
      <c r="K57" s="92"/>
      <c r="L57" s="92"/>
      <c r="M57" s="92"/>
      <c r="N57" s="92"/>
      <c r="O57" s="92"/>
    </row>
    <row r="58" spans="2:15" ht="21" x14ac:dyDescent="0.2">
      <c r="B58" s="92"/>
      <c r="C58" s="92"/>
      <c r="D58" s="92"/>
      <c r="E58" s="92"/>
      <c r="F58" s="92"/>
      <c r="G58" s="92"/>
      <c r="H58" s="92"/>
      <c r="I58" s="92"/>
      <c r="J58" s="92"/>
      <c r="K58" s="92"/>
      <c r="L58" s="92"/>
      <c r="M58" s="92"/>
      <c r="N58" s="92"/>
      <c r="O58" s="92"/>
    </row>
    <row r="59" spans="2:15" ht="21" x14ac:dyDescent="0.2">
      <c r="B59" s="92"/>
      <c r="C59" s="92"/>
      <c r="D59" s="92"/>
      <c r="E59" s="92"/>
      <c r="F59" s="92"/>
      <c r="G59" s="92"/>
      <c r="H59" s="92"/>
      <c r="I59" s="92"/>
      <c r="J59" s="92"/>
      <c r="K59" s="92"/>
      <c r="L59" s="92"/>
      <c r="M59" s="92"/>
      <c r="N59" s="92"/>
      <c r="O59" s="92"/>
    </row>
    <row r="60" spans="2:15" ht="21" x14ac:dyDescent="0.2">
      <c r="B60" s="92"/>
      <c r="C60" s="92"/>
      <c r="D60" s="92"/>
      <c r="E60" s="92"/>
      <c r="F60" s="92"/>
      <c r="G60" s="92"/>
      <c r="H60" s="92"/>
      <c r="I60" s="92"/>
      <c r="J60" s="92"/>
      <c r="K60" s="92"/>
      <c r="L60" s="92"/>
      <c r="M60" s="92"/>
      <c r="N60" s="92"/>
      <c r="O60" s="92"/>
    </row>
    <row r="61" spans="2:15" ht="21" x14ac:dyDescent="0.2">
      <c r="B61" s="92"/>
      <c r="C61" s="92"/>
      <c r="D61" s="92"/>
      <c r="E61" s="92"/>
      <c r="F61" s="92"/>
      <c r="G61" s="92"/>
      <c r="H61" s="92"/>
      <c r="I61" s="92"/>
      <c r="J61" s="92"/>
      <c r="K61" s="92"/>
      <c r="L61" s="92"/>
      <c r="M61" s="92"/>
      <c r="N61" s="92"/>
      <c r="O61" s="92"/>
    </row>
    <row r="62" spans="2:15" ht="21" x14ac:dyDescent="0.2">
      <c r="B62" s="92"/>
      <c r="C62" s="92"/>
      <c r="D62" s="92"/>
      <c r="E62" s="92"/>
      <c r="F62" s="92"/>
      <c r="G62" s="92"/>
      <c r="H62" s="92"/>
      <c r="I62" s="92"/>
      <c r="J62" s="92"/>
      <c r="K62" s="92"/>
      <c r="L62" s="92"/>
      <c r="M62" s="92"/>
      <c r="N62" s="92"/>
      <c r="O62" s="92"/>
    </row>
    <row r="63" spans="2:15" ht="13.9" customHeight="1" x14ac:dyDescent="0.2">
      <c r="B63" s="92"/>
      <c r="C63" s="92"/>
      <c r="D63" s="92"/>
      <c r="E63" s="92"/>
      <c r="F63" s="92"/>
      <c r="G63" s="92"/>
      <c r="H63" s="92"/>
      <c r="I63" s="92"/>
      <c r="J63" s="92"/>
      <c r="K63" s="92"/>
      <c r="L63" s="92"/>
      <c r="M63" s="92"/>
      <c r="N63" s="92"/>
      <c r="O63" s="92"/>
    </row>
    <row r="64" spans="2:15" ht="15.75" x14ac:dyDescent="0.25">
      <c r="B64" s="64" t="s">
        <v>251</v>
      </c>
    </row>
    <row r="65" spans="2:16" ht="15.75" x14ac:dyDescent="0.25">
      <c r="B65" s="86" t="s">
        <v>252</v>
      </c>
    </row>
    <row r="66" spans="2:16" ht="15.75" x14ac:dyDescent="0.25">
      <c r="B66" s="86" t="s">
        <v>268</v>
      </c>
    </row>
    <row r="67" spans="2:16" ht="15.75" x14ac:dyDescent="0.25">
      <c r="B67" s="65"/>
      <c r="C67" s="86"/>
      <c r="D67" s="63"/>
      <c r="E67" s="63"/>
      <c r="F67" s="63"/>
    </row>
    <row r="68" spans="2:16" ht="45" customHeight="1" x14ac:dyDescent="0.25">
      <c r="B68" s="65"/>
      <c r="C68" s="133"/>
      <c r="D68" s="133"/>
      <c r="E68" s="133"/>
      <c r="F68" s="133"/>
      <c r="G68" s="133"/>
      <c r="H68" s="133"/>
      <c r="I68" s="133"/>
      <c r="J68" s="133"/>
      <c r="K68" s="133"/>
      <c r="L68" s="133"/>
      <c r="M68" s="133"/>
      <c r="N68" s="133"/>
      <c r="O68" s="133"/>
      <c r="P68" s="133"/>
    </row>
    <row r="69" spans="2:16" ht="15.75" x14ac:dyDescent="0.25">
      <c r="C69" s="86"/>
      <c r="D69" s="63"/>
      <c r="E69" s="63"/>
      <c r="F69" s="63"/>
    </row>
    <row r="70" spans="2:16" ht="15.75" x14ac:dyDescent="0.25">
      <c r="C70" s="86"/>
    </row>
    <row r="74" spans="2:16" ht="15.75" x14ac:dyDescent="0.25">
      <c r="B74" s="65"/>
      <c r="C74" s="86"/>
    </row>
    <row r="75" spans="2:16" ht="15.75" x14ac:dyDescent="0.25">
      <c r="B75" s="133" t="s">
        <v>269</v>
      </c>
      <c r="C75" s="133"/>
      <c r="D75" s="133"/>
      <c r="E75" s="133"/>
      <c r="F75" s="133"/>
      <c r="G75" s="133"/>
      <c r="H75" s="133"/>
      <c r="I75" s="133"/>
      <c r="J75" s="133"/>
      <c r="K75" s="133"/>
      <c r="L75" s="133"/>
      <c r="M75" s="133"/>
      <c r="N75" s="133"/>
      <c r="O75" s="133"/>
      <c r="P75" s="133"/>
    </row>
    <row r="86" spans="2:14" ht="15.75" x14ac:dyDescent="0.25">
      <c r="B86" s="133" t="s">
        <v>270</v>
      </c>
      <c r="C86" s="133"/>
      <c r="D86" s="133"/>
      <c r="E86" s="133"/>
      <c r="F86" s="133"/>
      <c r="G86" s="133"/>
      <c r="H86" s="133"/>
      <c r="I86" s="133"/>
      <c r="J86" s="133"/>
      <c r="K86" s="133"/>
      <c r="L86" s="133"/>
    </row>
    <row r="88" spans="2:14" ht="15.75" x14ac:dyDescent="0.25">
      <c r="B88" s="64" t="s">
        <v>253</v>
      </c>
    </row>
    <row r="89" spans="2:14" ht="15.75" x14ac:dyDescent="0.25">
      <c r="B89" s="133" t="s">
        <v>254</v>
      </c>
      <c r="C89" s="133"/>
      <c r="D89" s="133"/>
      <c r="E89" s="133"/>
      <c r="F89" s="133"/>
      <c r="G89" s="133"/>
      <c r="H89" s="133"/>
      <c r="I89" s="133"/>
      <c r="J89" s="133"/>
      <c r="K89" s="133"/>
      <c r="L89" s="133"/>
    </row>
    <row r="90" spans="2:14" ht="35.65" customHeight="1" x14ac:dyDescent="0.2">
      <c r="B90" s="134" t="s">
        <v>255</v>
      </c>
      <c r="C90" s="134"/>
      <c r="D90" s="134"/>
      <c r="E90" s="134"/>
      <c r="F90" s="134"/>
      <c r="G90" s="134"/>
      <c r="H90" s="134"/>
      <c r="I90" s="134"/>
      <c r="J90" s="134"/>
      <c r="K90" s="134"/>
      <c r="L90" s="134"/>
      <c r="M90" s="134"/>
      <c r="N90" s="134"/>
    </row>
    <row r="91" spans="2:14" ht="15.75" x14ac:dyDescent="0.25">
      <c r="D91" s="93"/>
    </row>
    <row r="92" spans="2:14" ht="15.75" x14ac:dyDescent="0.25">
      <c r="D92" s="93"/>
    </row>
    <row r="93" spans="2:14" ht="15.75" x14ac:dyDescent="0.25">
      <c r="D93" s="93"/>
    </row>
    <row r="94" spans="2:14" ht="15.75" x14ac:dyDescent="0.25">
      <c r="D94" s="93"/>
    </row>
    <row r="95" spans="2:14" ht="15.75" x14ac:dyDescent="0.25">
      <c r="D95" s="93"/>
    </row>
    <row r="96" spans="2:14" ht="15.75" x14ac:dyDescent="0.25">
      <c r="D96" s="93"/>
    </row>
    <row r="97" spans="2:16" ht="15.75" x14ac:dyDescent="0.25">
      <c r="D97" s="93"/>
    </row>
    <row r="98" spans="2:16" ht="15.75" x14ac:dyDescent="0.25">
      <c r="D98" s="93"/>
    </row>
    <row r="103" spans="2:16" ht="21.6" customHeight="1" x14ac:dyDescent="0.25">
      <c r="B103" s="125" t="s">
        <v>278</v>
      </c>
      <c r="C103" s="108"/>
      <c r="D103" s="108"/>
      <c r="E103" s="108"/>
      <c r="F103" s="108"/>
      <c r="G103" s="108"/>
      <c r="H103" s="108"/>
      <c r="I103" s="108"/>
      <c r="J103" s="108"/>
      <c r="K103" s="108"/>
      <c r="L103" s="108"/>
      <c r="M103" s="108"/>
      <c r="N103" s="108"/>
      <c r="O103" s="108"/>
    </row>
    <row r="104" spans="2:16" ht="24" customHeight="1" x14ac:dyDescent="0.2">
      <c r="B104" s="134" t="s">
        <v>282</v>
      </c>
      <c r="C104" s="134"/>
      <c r="D104" s="134"/>
      <c r="E104" s="134"/>
      <c r="F104" s="134"/>
      <c r="G104" s="134"/>
      <c r="H104" s="134"/>
      <c r="I104" s="134"/>
      <c r="J104" s="134"/>
      <c r="K104" s="134"/>
      <c r="L104" s="134"/>
      <c r="M104" s="134"/>
      <c r="N104" s="134"/>
      <c r="O104" s="134"/>
      <c r="P104" s="134"/>
    </row>
    <row r="105" spans="2:16" ht="27" customHeight="1" x14ac:dyDescent="0.2">
      <c r="B105" s="135" t="s">
        <v>279</v>
      </c>
      <c r="C105" s="135"/>
      <c r="D105" s="135"/>
      <c r="E105" s="135"/>
      <c r="F105" s="135"/>
      <c r="G105" s="135"/>
      <c r="H105" s="135"/>
      <c r="I105" s="135"/>
      <c r="J105" s="135"/>
      <c r="K105" s="135"/>
      <c r="L105" s="135"/>
      <c r="M105" s="135"/>
      <c r="N105" s="135"/>
      <c r="O105" s="135"/>
      <c r="P105" s="135"/>
    </row>
    <row r="106" spans="2:16" ht="29.45" customHeight="1" x14ac:dyDescent="0.2">
      <c r="B106" s="134" t="s">
        <v>281</v>
      </c>
      <c r="C106" s="134"/>
      <c r="D106" s="134"/>
      <c r="E106" s="134"/>
      <c r="F106" s="134"/>
      <c r="G106" s="134"/>
      <c r="H106" s="134"/>
      <c r="I106" s="134"/>
      <c r="J106" s="134"/>
      <c r="K106" s="134"/>
      <c r="L106" s="134"/>
      <c r="M106" s="134"/>
      <c r="N106" s="134"/>
      <c r="O106" s="134"/>
      <c r="P106" s="134"/>
    </row>
    <row r="107" spans="2:16" ht="34.9" customHeight="1" x14ac:dyDescent="0.2">
      <c r="B107" s="135" t="s">
        <v>280</v>
      </c>
      <c r="C107" s="135"/>
      <c r="D107" s="135"/>
      <c r="E107" s="135"/>
      <c r="F107" s="135"/>
      <c r="G107" s="135"/>
      <c r="H107" s="135"/>
      <c r="I107" s="135"/>
      <c r="J107" s="135"/>
      <c r="K107" s="135"/>
      <c r="L107" s="135"/>
      <c r="M107" s="135"/>
      <c r="N107" s="135"/>
      <c r="O107" s="135"/>
      <c r="P107" s="124"/>
    </row>
    <row r="109" spans="2:16" ht="15.75" x14ac:dyDescent="0.25">
      <c r="B109" s="86" t="s">
        <v>283</v>
      </c>
    </row>
    <row r="128" spans="2:16" ht="86.45" customHeight="1" x14ac:dyDescent="0.2">
      <c r="B128" s="134" t="s">
        <v>284</v>
      </c>
      <c r="C128" s="134"/>
      <c r="D128" s="134"/>
      <c r="E128" s="134"/>
      <c r="F128" s="134"/>
      <c r="G128" s="134"/>
      <c r="H128" s="134"/>
      <c r="I128" s="134"/>
      <c r="J128" s="134"/>
      <c r="K128" s="134"/>
      <c r="L128" s="134"/>
      <c r="M128" s="134"/>
      <c r="N128" s="134"/>
      <c r="O128" s="134"/>
      <c r="P128" s="134"/>
    </row>
  </sheetData>
  <mergeCells count="20">
    <mergeCell ref="B128:P128"/>
    <mergeCell ref="B21:O21"/>
    <mergeCell ref="C45:P45"/>
    <mergeCell ref="C46:P46"/>
    <mergeCell ref="C47:P47"/>
    <mergeCell ref="B49:O49"/>
    <mergeCell ref="C25:R25"/>
    <mergeCell ref="C26:P26"/>
    <mergeCell ref="C41:P41"/>
    <mergeCell ref="C29:P29"/>
    <mergeCell ref="C36:P36"/>
    <mergeCell ref="C68:P68"/>
    <mergeCell ref="B86:L86"/>
    <mergeCell ref="B106:P106"/>
    <mergeCell ref="B105:P105"/>
    <mergeCell ref="B107:O107"/>
    <mergeCell ref="B89:L89"/>
    <mergeCell ref="B90:N90"/>
    <mergeCell ref="B75:P75"/>
    <mergeCell ref="B104:P10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dimension ref="A1:K82"/>
  <sheetViews>
    <sheetView showGridLines="0" tabSelected="1" zoomScale="85" zoomScaleNormal="85" workbookViewId="0">
      <selection activeCell="F18" sqref="F18"/>
    </sheetView>
  </sheetViews>
  <sheetFormatPr baseColWidth="10" defaultColWidth="11.42578125" defaultRowHeight="15" x14ac:dyDescent="0.25"/>
  <cols>
    <col min="1" max="1" width="4.7109375" style="39" customWidth="1"/>
    <col min="2" max="2" width="5.7109375" style="39" customWidth="1"/>
    <col min="3" max="3" width="39.85546875" style="39" customWidth="1"/>
    <col min="4" max="4" width="31.7109375" style="39" customWidth="1"/>
    <col min="5" max="5" width="22" style="39" customWidth="1"/>
    <col min="6" max="6" width="13.7109375" style="39" customWidth="1"/>
    <col min="7" max="8" width="13.42578125" style="39" customWidth="1"/>
    <col min="9" max="9" width="13.7109375" style="39" customWidth="1"/>
    <col min="10" max="10" width="15.5703125" style="39" customWidth="1"/>
    <col min="11" max="11" width="50.7109375" style="76" customWidth="1"/>
    <col min="12" max="16384" width="11.42578125" style="39"/>
  </cols>
  <sheetData>
    <row r="1" spans="1:11" ht="16.5" customHeight="1" x14ac:dyDescent="0.25"/>
    <row r="2" spans="1:11" ht="16.5" customHeight="1" x14ac:dyDescent="0.25">
      <c r="B2" s="40"/>
      <c r="C2" s="40"/>
      <c r="D2" s="40"/>
    </row>
    <row r="3" spans="1:11" ht="16.5" customHeight="1" x14ac:dyDescent="0.25">
      <c r="B3" s="40"/>
      <c r="C3" s="40"/>
      <c r="D3" s="40"/>
    </row>
    <row r="4" spans="1:11" ht="16.5" customHeight="1" x14ac:dyDescent="0.25">
      <c r="B4" s="40"/>
      <c r="C4" s="40"/>
      <c r="D4" s="40"/>
    </row>
    <row r="5" spans="1:11" ht="16.5" customHeight="1" x14ac:dyDescent="0.25">
      <c r="B5" s="40"/>
      <c r="C5" s="40"/>
      <c r="D5" s="40"/>
    </row>
    <row r="6" spans="1:11" ht="16.5" customHeight="1" x14ac:dyDescent="0.35">
      <c r="C6" s="40"/>
      <c r="J6" s="41"/>
      <c r="K6" s="78"/>
    </row>
    <row r="7" spans="1:11" ht="16.5" customHeight="1" x14ac:dyDescent="0.25">
      <c r="C7" s="57" t="s">
        <v>154</v>
      </c>
      <c r="D7" s="127" t="s">
        <v>285</v>
      </c>
      <c r="F7" s="42"/>
      <c r="I7" s="42"/>
      <c r="J7" s="53" t="s">
        <v>150</v>
      </c>
      <c r="K7" s="60">
        <v>44653</v>
      </c>
    </row>
    <row r="8" spans="1:11" ht="5.0999999999999996" customHeight="1" x14ac:dyDescent="0.25">
      <c r="B8" s="43"/>
      <c r="C8" s="54"/>
      <c r="D8" s="56"/>
      <c r="F8" s="42"/>
      <c r="I8" s="42"/>
      <c r="J8" s="54"/>
      <c r="K8" s="58"/>
    </row>
    <row r="9" spans="1:11" ht="16.5" customHeight="1" x14ac:dyDescent="0.25">
      <c r="C9" s="53" t="s">
        <v>156</v>
      </c>
      <c r="D9" s="127" t="s">
        <v>157</v>
      </c>
      <c r="F9" s="44"/>
      <c r="I9" s="44"/>
      <c r="J9" s="53" t="s">
        <v>152</v>
      </c>
      <c r="K9" s="60">
        <v>44680</v>
      </c>
    </row>
    <row r="10" spans="1:11" ht="5.0999999999999996" customHeight="1" x14ac:dyDescent="0.25">
      <c r="B10" s="45"/>
      <c r="C10" s="55"/>
      <c r="D10" s="56"/>
      <c r="F10" s="42"/>
      <c r="I10" s="42"/>
      <c r="J10" s="55"/>
      <c r="K10" s="59"/>
    </row>
    <row r="11" spans="1:11" ht="16.5" customHeight="1" x14ac:dyDescent="0.25">
      <c r="C11" s="53" t="s">
        <v>151</v>
      </c>
      <c r="D11" s="127" t="s">
        <v>158</v>
      </c>
      <c r="F11" s="44"/>
      <c r="I11" s="44"/>
      <c r="J11" s="53" t="s">
        <v>153</v>
      </c>
      <c r="K11" s="61" t="s">
        <v>223</v>
      </c>
    </row>
    <row r="12" spans="1:11" ht="5.0999999999999996" customHeight="1" x14ac:dyDescent="0.25">
      <c r="B12" s="45"/>
      <c r="C12" s="54"/>
      <c r="D12" s="56"/>
      <c r="F12" s="42"/>
      <c r="G12" s="42"/>
      <c r="H12" s="42"/>
      <c r="I12" s="42"/>
      <c r="J12" s="42"/>
    </row>
    <row r="13" spans="1:11" ht="16.5" customHeight="1" x14ac:dyDescent="0.25">
      <c r="C13" s="53" t="s">
        <v>159</v>
      </c>
      <c r="D13" s="127" t="s">
        <v>160</v>
      </c>
      <c r="F13" s="44"/>
      <c r="G13" s="44"/>
      <c r="H13" s="44"/>
      <c r="I13" s="44"/>
      <c r="J13" s="44"/>
      <c r="K13" s="77"/>
    </row>
    <row r="14" spans="1:11" ht="16.5" customHeight="1" x14ac:dyDescent="0.25">
      <c r="A14" s="46"/>
      <c r="B14" s="47"/>
      <c r="C14" s="47"/>
      <c r="D14" s="47"/>
      <c r="E14" s="47"/>
      <c r="F14" s="47"/>
      <c r="G14" s="47"/>
      <c r="H14" s="47"/>
      <c r="I14" s="47"/>
      <c r="J14" s="47"/>
      <c r="K14" s="47"/>
    </row>
    <row r="15" spans="1:11" s="51" customFormat="1" ht="30" customHeight="1" x14ac:dyDescent="0.25">
      <c r="A15" s="48"/>
      <c r="B15" s="49" t="s">
        <v>148</v>
      </c>
      <c r="C15" s="126" t="s">
        <v>16</v>
      </c>
      <c r="D15" s="50" t="s">
        <v>17</v>
      </c>
      <c r="E15" s="50" t="s">
        <v>261</v>
      </c>
      <c r="F15" s="50" t="s">
        <v>161</v>
      </c>
      <c r="G15" s="50" t="s">
        <v>20</v>
      </c>
      <c r="H15" s="50" t="s">
        <v>21</v>
      </c>
      <c r="I15" s="50" t="s">
        <v>162</v>
      </c>
      <c r="J15" s="50" t="s">
        <v>22</v>
      </c>
      <c r="K15" s="79" t="s">
        <v>149</v>
      </c>
    </row>
    <row r="16" spans="1:11" ht="30" customHeight="1" x14ac:dyDescent="0.25">
      <c r="A16" s="52"/>
      <c r="B16" s="109">
        <v>1</v>
      </c>
      <c r="C16" s="129" t="s">
        <v>165</v>
      </c>
      <c r="D16" s="110" t="s">
        <v>166</v>
      </c>
      <c r="E16" s="110" t="s">
        <v>167</v>
      </c>
      <c r="F16" s="111">
        <v>44864</v>
      </c>
      <c r="G16" s="112">
        <v>1</v>
      </c>
      <c r="H16" s="111" t="s">
        <v>30</v>
      </c>
      <c r="I16" s="106" t="s">
        <v>286</v>
      </c>
      <c r="J16" s="113" t="s">
        <v>25</v>
      </c>
      <c r="K16" s="80" t="s">
        <v>168</v>
      </c>
    </row>
    <row r="17" spans="2:11" ht="30" customHeight="1" x14ac:dyDescent="0.25">
      <c r="B17" s="67">
        <v>2</v>
      </c>
      <c r="C17" s="130" t="s">
        <v>170</v>
      </c>
      <c r="D17" s="68" t="s">
        <v>166</v>
      </c>
      <c r="E17" s="68" t="s">
        <v>169</v>
      </c>
      <c r="F17" s="141">
        <v>44912</v>
      </c>
      <c r="G17" s="70">
        <v>0</v>
      </c>
      <c r="H17" s="69" t="s">
        <v>30</v>
      </c>
      <c r="I17" s="69"/>
      <c r="J17" s="140" t="s">
        <v>32</v>
      </c>
      <c r="K17" s="81" t="s">
        <v>171</v>
      </c>
    </row>
    <row r="18" spans="2:11" ht="30" customHeight="1" x14ac:dyDescent="0.25">
      <c r="B18" s="114">
        <v>3</v>
      </c>
      <c r="C18" s="131" t="s">
        <v>172</v>
      </c>
      <c r="D18" s="115" t="s">
        <v>166</v>
      </c>
      <c r="E18" s="115" t="s">
        <v>169</v>
      </c>
      <c r="F18" s="116">
        <v>44657</v>
      </c>
      <c r="G18" s="117">
        <v>1</v>
      </c>
      <c r="H18" s="116" t="s">
        <v>24</v>
      </c>
      <c r="I18" s="116">
        <v>44656</v>
      </c>
      <c r="J18" s="118" t="s">
        <v>33</v>
      </c>
      <c r="K18" s="107" t="s">
        <v>173</v>
      </c>
    </row>
    <row r="19" spans="2:11" ht="30" customHeight="1" x14ac:dyDescent="0.25">
      <c r="B19" s="109">
        <v>4</v>
      </c>
      <c r="C19" s="129" t="s">
        <v>174</v>
      </c>
      <c r="D19" s="119" t="s">
        <v>166</v>
      </c>
      <c r="E19" s="119" t="s">
        <v>175</v>
      </c>
      <c r="F19" s="120">
        <v>44658</v>
      </c>
      <c r="G19" s="121">
        <v>1</v>
      </c>
      <c r="H19" s="120" t="s">
        <v>24</v>
      </c>
      <c r="I19" s="120">
        <v>44658</v>
      </c>
      <c r="J19" s="122" t="s">
        <v>25</v>
      </c>
      <c r="K19" s="80" t="s">
        <v>176</v>
      </c>
    </row>
    <row r="20" spans="2:11" ht="30" customHeight="1" x14ac:dyDescent="0.25">
      <c r="B20" s="67">
        <v>5</v>
      </c>
      <c r="C20" s="132" t="s">
        <v>203</v>
      </c>
      <c r="D20" s="68" t="s">
        <v>166</v>
      </c>
      <c r="E20" s="68" t="s">
        <v>192</v>
      </c>
      <c r="F20" s="71">
        <v>44693</v>
      </c>
      <c r="G20" s="70">
        <v>0</v>
      </c>
      <c r="H20" s="69" t="s">
        <v>24</v>
      </c>
      <c r="I20" s="69"/>
      <c r="J20" s="72" t="s">
        <v>31</v>
      </c>
      <c r="K20" s="82" t="s">
        <v>204</v>
      </c>
    </row>
    <row r="21" spans="2:11" ht="30" customHeight="1" x14ac:dyDescent="0.25">
      <c r="B21" s="109">
        <v>6</v>
      </c>
      <c r="C21" s="129" t="s">
        <v>179</v>
      </c>
      <c r="D21" s="119" t="s">
        <v>180</v>
      </c>
      <c r="E21" s="119" t="s">
        <v>164</v>
      </c>
      <c r="F21" s="120">
        <v>44667</v>
      </c>
      <c r="G21" s="121">
        <v>1</v>
      </c>
      <c r="H21" s="120" t="s">
        <v>24</v>
      </c>
      <c r="I21" s="120">
        <v>44667</v>
      </c>
      <c r="J21" s="122" t="s">
        <v>25</v>
      </c>
      <c r="K21" s="80" t="s">
        <v>181</v>
      </c>
    </row>
    <row r="22" spans="2:11" ht="30" customHeight="1" x14ac:dyDescent="0.25">
      <c r="B22" s="67">
        <v>7</v>
      </c>
      <c r="C22" s="130" t="s">
        <v>182</v>
      </c>
      <c r="D22" s="68" t="s">
        <v>180</v>
      </c>
      <c r="E22" s="68" t="s">
        <v>183</v>
      </c>
      <c r="F22" s="71">
        <v>44667</v>
      </c>
      <c r="G22" s="70">
        <v>0</v>
      </c>
      <c r="H22" s="69" t="s">
        <v>24</v>
      </c>
      <c r="I22" s="69"/>
      <c r="J22" s="72" t="s">
        <v>26</v>
      </c>
      <c r="K22" s="81" t="s">
        <v>184</v>
      </c>
    </row>
    <row r="23" spans="2:11" ht="30" customHeight="1" x14ac:dyDescent="0.25">
      <c r="B23" s="109">
        <v>8</v>
      </c>
      <c r="C23" s="129" t="s">
        <v>185</v>
      </c>
      <c r="D23" s="119" t="s">
        <v>180</v>
      </c>
      <c r="E23" s="119" t="s">
        <v>186</v>
      </c>
      <c r="F23" s="120">
        <v>44667</v>
      </c>
      <c r="G23" s="121">
        <v>1</v>
      </c>
      <c r="H23" s="120" t="s">
        <v>24</v>
      </c>
      <c r="I23" s="120">
        <v>44667</v>
      </c>
      <c r="J23" s="122" t="s">
        <v>25</v>
      </c>
      <c r="K23" s="80" t="s">
        <v>184</v>
      </c>
    </row>
    <row r="24" spans="2:11" ht="30" customHeight="1" x14ac:dyDescent="0.25">
      <c r="B24" s="67">
        <v>9</v>
      </c>
      <c r="C24" s="130" t="s">
        <v>187</v>
      </c>
      <c r="D24" s="68" t="s">
        <v>180</v>
      </c>
      <c r="E24" s="68" t="s">
        <v>188</v>
      </c>
      <c r="F24" s="71">
        <v>44667</v>
      </c>
      <c r="G24" s="70">
        <v>0</v>
      </c>
      <c r="H24" s="69" t="s">
        <v>24</v>
      </c>
      <c r="I24" s="69"/>
      <c r="J24" s="72" t="s">
        <v>26</v>
      </c>
      <c r="K24" s="81" t="s">
        <v>184</v>
      </c>
    </row>
    <row r="25" spans="2:11" ht="30" customHeight="1" x14ac:dyDescent="0.25">
      <c r="B25" s="109">
        <v>10</v>
      </c>
      <c r="C25" s="129" t="s">
        <v>189</v>
      </c>
      <c r="D25" s="123" t="s">
        <v>180</v>
      </c>
      <c r="E25" s="119" t="s">
        <v>190</v>
      </c>
      <c r="F25" s="120">
        <v>44667</v>
      </c>
      <c r="G25" s="121">
        <v>1</v>
      </c>
      <c r="H25" s="120" t="s">
        <v>24</v>
      </c>
      <c r="I25" s="120">
        <v>44667</v>
      </c>
      <c r="J25" s="122" t="s">
        <v>25</v>
      </c>
      <c r="K25" s="80" t="s">
        <v>184</v>
      </c>
    </row>
    <row r="26" spans="2:11" ht="30" customHeight="1" x14ac:dyDescent="0.25">
      <c r="B26" s="109">
        <v>11</v>
      </c>
      <c r="C26" s="129" t="s">
        <v>194</v>
      </c>
      <c r="D26" s="123" t="s">
        <v>180</v>
      </c>
      <c r="E26" s="119" t="s">
        <v>164</v>
      </c>
      <c r="F26" s="120">
        <v>44680</v>
      </c>
      <c r="G26" s="121">
        <v>1</v>
      </c>
      <c r="H26" s="120" t="s">
        <v>24</v>
      </c>
      <c r="I26" s="120">
        <v>44667</v>
      </c>
      <c r="J26" s="122" t="s">
        <v>25</v>
      </c>
      <c r="K26" s="83" t="s">
        <v>221</v>
      </c>
    </row>
    <row r="27" spans="2:11" ht="30" customHeight="1" x14ac:dyDescent="0.25">
      <c r="B27" s="109">
        <v>12</v>
      </c>
      <c r="C27" s="129" t="s">
        <v>177</v>
      </c>
      <c r="D27" s="123" t="s">
        <v>180</v>
      </c>
      <c r="E27" s="119" t="s">
        <v>191</v>
      </c>
      <c r="F27" s="120">
        <v>44680</v>
      </c>
      <c r="G27" s="121">
        <v>1</v>
      </c>
      <c r="H27" s="120" t="s">
        <v>24</v>
      </c>
      <c r="I27" s="120">
        <v>44680</v>
      </c>
      <c r="J27" s="122" t="s">
        <v>25</v>
      </c>
      <c r="K27" s="80" t="s">
        <v>193</v>
      </c>
    </row>
    <row r="28" spans="2:11" ht="30" customHeight="1" x14ac:dyDescent="0.25">
      <c r="B28" s="67">
        <v>13</v>
      </c>
      <c r="C28" s="132" t="s">
        <v>178</v>
      </c>
      <c r="D28" s="73" t="s">
        <v>180</v>
      </c>
      <c r="E28" s="68" t="s">
        <v>192</v>
      </c>
      <c r="F28" s="71">
        <v>44681</v>
      </c>
      <c r="G28" s="70">
        <v>0.2</v>
      </c>
      <c r="H28" s="69" t="s">
        <v>24</v>
      </c>
      <c r="I28" s="69"/>
      <c r="J28" s="72" t="s">
        <v>26</v>
      </c>
      <c r="K28" s="81" t="s">
        <v>222</v>
      </c>
    </row>
    <row r="29" spans="2:11" ht="30" customHeight="1" x14ac:dyDescent="0.25">
      <c r="B29" s="67">
        <v>14</v>
      </c>
      <c r="C29" s="130" t="s">
        <v>195</v>
      </c>
      <c r="D29" s="73" t="s">
        <v>205</v>
      </c>
      <c r="E29" s="68" t="s">
        <v>191</v>
      </c>
      <c r="F29" s="71">
        <v>44680</v>
      </c>
      <c r="G29" s="70">
        <v>0</v>
      </c>
      <c r="H29" s="69" t="s">
        <v>27</v>
      </c>
      <c r="I29" s="74"/>
      <c r="J29" s="75" t="s">
        <v>31</v>
      </c>
      <c r="K29" s="82"/>
    </row>
    <row r="30" spans="2:11" ht="30" customHeight="1" x14ac:dyDescent="0.25">
      <c r="B30" s="67">
        <v>15</v>
      </c>
      <c r="C30" s="130" t="s">
        <v>196</v>
      </c>
      <c r="D30" s="73" t="s">
        <v>205</v>
      </c>
      <c r="E30" s="68" t="s">
        <v>164</v>
      </c>
      <c r="F30" s="71">
        <v>44741</v>
      </c>
      <c r="G30" s="70">
        <v>0</v>
      </c>
      <c r="H30" s="69" t="s">
        <v>27</v>
      </c>
      <c r="I30" s="74"/>
      <c r="J30" s="75" t="s">
        <v>31</v>
      </c>
      <c r="K30" s="82"/>
    </row>
    <row r="31" spans="2:11" ht="30" customHeight="1" x14ac:dyDescent="0.25">
      <c r="B31" s="67">
        <v>16</v>
      </c>
      <c r="C31" s="130" t="s">
        <v>197</v>
      </c>
      <c r="D31" s="73" t="s">
        <v>205</v>
      </c>
      <c r="E31" s="68" t="s">
        <v>164</v>
      </c>
      <c r="F31" s="71">
        <v>44741</v>
      </c>
      <c r="G31" s="70"/>
      <c r="H31" s="69" t="s">
        <v>27</v>
      </c>
      <c r="I31" s="74"/>
      <c r="J31" s="75" t="s">
        <v>31</v>
      </c>
      <c r="K31" s="82"/>
    </row>
    <row r="32" spans="2:11" ht="30" customHeight="1" x14ac:dyDescent="0.25">
      <c r="B32" s="67">
        <v>17</v>
      </c>
      <c r="C32" s="130" t="s">
        <v>198</v>
      </c>
      <c r="D32" s="73" t="s">
        <v>205</v>
      </c>
      <c r="E32" s="68" t="s">
        <v>206</v>
      </c>
      <c r="F32" s="71">
        <v>44741</v>
      </c>
      <c r="G32" s="70"/>
      <c r="H32" s="69" t="s">
        <v>27</v>
      </c>
      <c r="I32" s="74"/>
      <c r="J32" s="75" t="s">
        <v>31</v>
      </c>
      <c r="K32" s="82"/>
    </row>
    <row r="33" spans="2:11" ht="30" customHeight="1" x14ac:dyDescent="0.25">
      <c r="B33" s="67">
        <v>18</v>
      </c>
      <c r="C33" s="130" t="s">
        <v>199</v>
      </c>
      <c r="D33" s="73" t="s">
        <v>205</v>
      </c>
      <c r="E33" s="68" t="s">
        <v>164</v>
      </c>
      <c r="F33" s="71">
        <v>44741</v>
      </c>
      <c r="G33" s="70"/>
      <c r="H33" s="69" t="s">
        <v>27</v>
      </c>
      <c r="I33" s="74"/>
      <c r="J33" s="75" t="s">
        <v>31</v>
      </c>
      <c r="K33" s="81"/>
    </row>
    <row r="34" spans="2:11" ht="30" customHeight="1" x14ac:dyDescent="0.25">
      <c r="B34" s="67">
        <v>19</v>
      </c>
      <c r="C34" s="130" t="s">
        <v>200</v>
      </c>
      <c r="D34" s="73" t="s">
        <v>205</v>
      </c>
      <c r="E34" s="68" t="s">
        <v>164</v>
      </c>
      <c r="F34" s="71">
        <v>44741</v>
      </c>
      <c r="G34" s="70"/>
      <c r="H34" s="69" t="s">
        <v>27</v>
      </c>
      <c r="I34" s="74"/>
      <c r="J34" s="75" t="s">
        <v>31</v>
      </c>
      <c r="K34" s="81"/>
    </row>
    <row r="35" spans="2:11" ht="30" customHeight="1" x14ac:dyDescent="0.25">
      <c r="B35" s="67">
        <v>20</v>
      </c>
      <c r="C35" s="130" t="s">
        <v>201</v>
      </c>
      <c r="D35" s="73" t="s">
        <v>205</v>
      </c>
      <c r="E35" s="68" t="s">
        <v>206</v>
      </c>
      <c r="F35" s="71">
        <v>44741</v>
      </c>
      <c r="G35" s="70"/>
      <c r="H35" s="69" t="s">
        <v>27</v>
      </c>
      <c r="I35" s="74"/>
      <c r="J35" s="75" t="s">
        <v>31</v>
      </c>
      <c r="K35" s="81"/>
    </row>
    <row r="36" spans="2:11" ht="45" x14ac:dyDescent="0.25">
      <c r="B36" s="67">
        <v>21</v>
      </c>
      <c r="C36" s="130" t="s">
        <v>202</v>
      </c>
      <c r="D36" s="73" t="s">
        <v>205</v>
      </c>
      <c r="E36" s="68" t="s">
        <v>207</v>
      </c>
      <c r="F36" s="71">
        <v>44741</v>
      </c>
      <c r="G36" s="70"/>
      <c r="H36" s="69" t="s">
        <v>27</v>
      </c>
      <c r="I36" s="74"/>
      <c r="J36" s="75" t="s">
        <v>31</v>
      </c>
      <c r="K36" s="82"/>
    </row>
    <row r="37" spans="2:11" ht="75" x14ac:dyDescent="0.25">
      <c r="B37" s="67">
        <v>22</v>
      </c>
      <c r="C37" s="130" t="s">
        <v>208</v>
      </c>
      <c r="D37" s="73" t="s">
        <v>217</v>
      </c>
      <c r="E37" s="68" t="s">
        <v>183</v>
      </c>
      <c r="F37" s="128">
        <v>44709</v>
      </c>
      <c r="G37" s="70"/>
      <c r="H37" s="69" t="s">
        <v>30</v>
      </c>
      <c r="I37" s="74"/>
      <c r="J37" s="75" t="s">
        <v>31</v>
      </c>
      <c r="K37" s="81" t="s">
        <v>155</v>
      </c>
    </row>
    <row r="38" spans="2:11" ht="30" customHeight="1" x14ac:dyDescent="0.25">
      <c r="B38" s="67">
        <v>23</v>
      </c>
      <c r="C38" s="130" t="s">
        <v>209</v>
      </c>
      <c r="D38" s="73" t="s">
        <v>217</v>
      </c>
      <c r="E38" s="68" t="s">
        <v>186</v>
      </c>
      <c r="F38" s="128">
        <v>44709</v>
      </c>
      <c r="G38" s="70"/>
      <c r="H38" s="69" t="s">
        <v>30</v>
      </c>
      <c r="I38" s="74"/>
      <c r="J38" s="75" t="s">
        <v>31</v>
      </c>
      <c r="K38" s="81"/>
    </row>
    <row r="39" spans="2:11" ht="30" customHeight="1" x14ac:dyDescent="0.25">
      <c r="B39" s="67">
        <v>24</v>
      </c>
      <c r="C39" s="130" t="s">
        <v>210</v>
      </c>
      <c r="D39" s="73" t="s">
        <v>217</v>
      </c>
      <c r="E39" s="68" t="s">
        <v>188</v>
      </c>
      <c r="F39" s="128">
        <v>44709</v>
      </c>
      <c r="G39" s="70"/>
      <c r="H39" s="69" t="s">
        <v>30</v>
      </c>
      <c r="I39" s="74"/>
      <c r="J39" s="75" t="s">
        <v>31</v>
      </c>
      <c r="K39" s="81"/>
    </row>
    <row r="40" spans="2:11" ht="30" customHeight="1" x14ac:dyDescent="0.25">
      <c r="B40" s="67">
        <v>25</v>
      </c>
      <c r="C40" s="130" t="s">
        <v>211</v>
      </c>
      <c r="D40" s="73" t="s">
        <v>217</v>
      </c>
      <c r="E40" s="68" t="s">
        <v>190</v>
      </c>
      <c r="F40" s="128">
        <v>44709</v>
      </c>
      <c r="G40" s="70"/>
      <c r="H40" s="69" t="s">
        <v>30</v>
      </c>
      <c r="I40" s="74"/>
      <c r="J40" s="75" t="s">
        <v>31</v>
      </c>
      <c r="K40" s="81"/>
    </row>
    <row r="41" spans="2:11" ht="30" customHeight="1" x14ac:dyDescent="0.25">
      <c r="B41" s="67">
        <v>26</v>
      </c>
      <c r="C41" s="130" t="s">
        <v>212</v>
      </c>
      <c r="D41" s="73" t="s">
        <v>217</v>
      </c>
      <c r="E41" s="68" t="s">
        <v>169</v>
      </c>
      <c r="F41" s="128">
        <v>44709</v>
      </c>
      <c r="G41" s="70"/>
      <c r="H41" s="69" t="s">
        <v>30</v>
      </c>
      <c r="I41" s="74"/>
      <c r="J41" s="75" t="s">
        <v>31</v>
      </c>
      <c r="K41" s="81"/>
    </row>
    <row r="42" spans="2:11" ht="30" customHeight="1" x14ac:dyDescent="0.25">
      <c r="B42" s="67">
        <v>27</v>
      </c>
      <c r="C42" s="130" t="s">
        <v>213</v>
      </c>
      <c r="D42" s="73" t="s">
        <v>217</v>
      </c>
      <c r="E42" s="73" t="s">
        <v>218</v>
      </c>
      <c r="F42" s="128">
        <v>44709</v>
      </c>
      <c r="G42" s="70"/>
      <c r="H42" s="69" t="s">
        <v>30</v>
      </c>
      <c r="I42" s="74"/>
      <c r="J42" s="75" t="s">
        <v>31</v>
      </c>
      <c r="K42" s="81"/>
    </row>
    <row r="43" spans="2:11" ht="30" customHeight="1" x14ac:dyDescent="0.25">
      <c r="B43" s="67">
        <v>28</v>
      </c>
      <c r="C43" s="130" t="s">
        <v>214</v>
      </c>
      <c r="D43" s="73" t="s">
        <v>217</v>
      </c>
      <c r="E43" s="73" t="s">
        <v>164</v>
      </c>
      <c r="F43" s="128">
        <v>44741</v>
      </c>
      <c r="G43" s="70"/>
      <c r="H43" s="69" t="s">
        <v>30</v>
      </c>
      <c r="I43" s="74"/>
      <c r="J43" s="75" t="s">
        <v>31</v>
      </c>
      <c r="K43" s="81"/>
    </row>
    <row r="44" spans="2:11" ht="30" customHeight="1" x14ac:dyDescent="0.25">
      <c r="B44" s="67">
        <v>29</v>
      </c>
      <c r="C44" s="130" t="s">
        <v>215</v>
      </c>
      <c r="D44" s="73" t="s">
        <v>217</v>
      </c>
      <c r="E44" s="73" t="s">
        <v>164</v>
      </c>
      <c r="F44" s="128">
        <v>44741</v>
      </c>
      <c r="G44" s="70"/>
      <c r="H44" s="69" t="s">
        <v>30</v>
      </c>
      <c r="I44" s="74"/>
      <c r="J44" s="75" t="s">
        <v>31</v>
      </c>
      <c r="K44" s="81"/>
    </row>
    <row r="45" spans="2:11" ht="30" customHeight="1" x14ac:dyDescent="0.25">
      <c r="B45" s="67">
        <v>30</v>
      </c>
      <c r="C45" s="130" t="s">
        <v>216</v>
      </c>
      <c r="D45" s="73" t="s">
        <v>217</v>
      </c>
      <c r="E45" s="73" t="s">
        <v>219</v>
      </c>
      <c r="F45" s="128">
        <v>44741</v>
      </c>
      <c r="G45" s="70"/>
      <c r="H45" s="69" t="s">
        <v>30</v>
      </c>
      <c r="I45" s="74"/>
      <c r="J45" s="75" t="s">
        <v>31</v>
      </c>
      <c r="K45" s="81"/>
    </row>
    <row r="46" spans="2:11" ht="30" customHeight="1" x14ac:dyDescent="0.25">
      <c r="B46" s="67">
        <v>31</v>
      </c>
      <c r="C46" s="132" t="s">
        <v>220</v>
      </c>
      <c r="D46" s="73" t="s">
        <v>217</v>
      </c>
      <c r="E46" s="73" t="s">
        <v>192</v>
      </c>
      <c r="F46" s="128">
        <v>44742</v>
      </c>
      <c r="G46" s="70"/>
      <c r="H46" s="69" t="s">
        <v>30</v>
      </c>
      <c r="I46" s="74"/>
      <c r="J46" s="75" t="s">
        <v>31</v>
      </c>
      <c r="K46" s="81"/>
    </row>
    <row r="51" spans="2:10" x14ac:dyDescent="0.25">
      <c r="B51" s="76"/>
      <c r="C51" s="76"/>
      <c r="D51" s="76"/>
      <c r="E51" s="76"/>
      <c r="F51" s="76"/>
      <c r="G51" s="76"/>
      <c r="H51" s="76"/>
      <c r="I51" s="76"/>
      <c r="J51" s="76"/>
    </row>
    <row r="52" spans="2:10" x14ac:dyDescent="0.25">
      <c r="B52" s="76"/>
      <c r="C52" s="76"/>
      <c r="D52" s="76"/>
      <c r="E52" s="76"/>
      <c r="F52" s="76"/>
      <c r="G52" s="76"/>
      <c r="H52" s="76"/>
      <c r="I52" s="76"/>
      <c r="J52" s="76"/>
    </row>
    <row r="53" spans="2:10" ht="14.65" customHeight="1" x14ac:dyDescent="0.25">
      <c r="B53" s="76"/>
      <c r="C53" s="76"/>
      <c r="D53" s="76"/>
      <c r="E53" s="76"/>
      <c r="F53" s="76"/>
      <c r="G53" s="76"/>
      <c r="H53" s="76"/>
      <c r="I53" s="76"/>
      <c r="J53" s="76"/>
    </row>
    <row r="54" spans="2:10" ht="14.65" customHeight="1" x14ac:dyDescent="0.25">
      <c r="B54" s="76"/>
      <c r="C54" s="76"/>
      <c r="D54" s="76"/>
      <c r="E54" s="76"/>
      <c r="F54" s="76"/>
      <c r="G54" s="76"/>
      <c r="H54" s="76"/>
      <c r="I54" s="76"/>
      <c r="J54" s="76"/>
    </row>
    <row r="55" spans="2:10" x14ac:dyDescent="0.25">
      <c r="B55" s="76"/>
      <c r="C55" s="76"/>
      <c r="D55" s="76"/>
      <c r="E55" s="76"/>
      <c r="F55" s="76"/>
      <c r="G55" s="76"/>
      <c r="H55" s="76"/>
      <c r="I55" s="76"/>
      <c r="J55" s="76"/>
    </row>
    <row r="56" spans="2:10" ht="14.65" customHeight="1" x14ac:dyDescent="0.25">
      <c r="B56" s="76"/>
      <c r="C56" s="76"/>
      <c r="D56" s="76"/>
      <c r="E56" s="76"/>
      <c r="F56" s="76"/>
      <c r="G56" s="76"/>
      <c r="H56" s="76"/>
      <c r="I56" s="76"/>
      <c r="J56" s="76"/>
    </row>
    <row r="57" spans="2:10" ht="14.65" customHeight="1" x14ac:dyDescent="0.25">
      <c r="B57" s="76"/>
      <c r="C57" s="76"/>
      <c r="D57" s="76"/>
      <c r="E57" s="76"/>
      <c r="F57" s="76"/>
      <c r="G57" s="76"/>
      <c r="H57" s="76"/>
      <c r="I57" s="76"/>
      <c r="J57" s="76"/>
    </row>
    <row r="58" spans="2:10" ht="14.65" customHeight="1" x14ac:dyDescent="0.25">
      <c r="B58" s="76"/>
      <c r="C58" s="76"/>
      <c r="D58" s="76"/>
      <c r="E58" s="76"/>
      <c r="F58" s="76"/>
      <c r="G58" s="76"/>
      <c r="H58" s="76"/>
      <c r="I58" s="76"/>
      <c r="J58" s="76"/>
    </row>
    <row r="59" spans="2:10" ht="14.65" customHeight="1" x14ac:dyDescent="0.25">
      <c r="B59" s="76"/>
      <c r="C59" s="76"/>
      <c r="D59" s="76"/>
      <c r="E59" s="76"/>
      <c r="F59" s="76"/>
      <c r="G59" s="76"/>
      <c r="H59" s="76"/>
      <c r="I59" s="76"/>
      <c r="J59" s="76"/>
    </row>
    <row r="60" spans="2:10" ht="14.65" customHeight="1" x14ac:dyDescent="0.25">
      <c r="B60" s="76"/>
      <c r="C60" s="76"/>
      <c r="D60" s="76"/>
      <c r="E60" s="76"/>
      <c r="F60" s="76"/>
      <c r="G60" s="76"/>
      <c r="H60" s="76"/>
      <c r="I60" s="76"/>
      <c r="J60" s="76"/>
    </row>
    <row r="61" spans="2:10" ht="14.65" customHeight="1" x14ac:dyDescent="0.25">
      <c r="B61" s="76"/>
      <c r="C61" s="76"/>
      <c r="D61" s="76"/>
      <c r="E61" s="76"/>
      <c r="F61" s="76"/>
      <c r="G61" s="76"/>
      <c r="H61" s="76"/>
      <c r="I61" s="76"/>
      <c r="J61" s="76"/>
    </row>
    <row r="62" spans="2:10" x14ac:dyDescent="0.25">
      <c r="B62" s="76"/>
      <c r="C62" s="76"/>
      <c r="D62" s="76"/>
      <c r="E62" s="76"/>
      <c r="F62" s="76"/>
      <c r="G62" s="76"/>
      <c r="H62" s="76"/>
      <c r="I62" s="76"/>
      <c r="J62" s="76"/>
    </row>
    <row r="63" spans="2:10" x14ac:dyDescent="0.25">
      <c r="B63" s="76"/>
      <c r="C63" s="76"/>
      <c r="D63" s="76"/>
      <c r="E63" s="76"/>
      <c r="F63" s="76"/>
      <c r="G63" s="76"/>
      <c r="H63" s="76"/>
      <c r="I63" s="76"/>
      <c r="J63" s="76"/>
    </row>
    <row r="64" spans="2:10" ht="14.65" customHeight="1" x14ac:dyDescent="0.25">
      <c r="B64" s="76"/>
      <c r="C64" s="76"/>
      <c r="D64" s="76"/>
      <c r="E64" s="76"/>
      <c r="F64" s="76"/>
      <c r="G64" s="76"/>
      <c r="H64" s="76"/>
      <c r="I64" s="76"/>
      <c r="J64" s="76"/>
    </row>
    <row r="65" spans="2:10" x14ac:dyDescent="0.25">
      <c r="B65" s="76"/>
      <c r="C65" s="76"/>
      <c r="D65" s="76"/>
      <c r="E65" s="76"/>
      <c r="F65" s="76"/>
      <c r="G65" s="76"/>
      <c r="H65" s="76"/>
      <c r="I65" s="76"/>
      <c r="J65" s="76"/>
    </row>
    <row r="66" spans="2:10" x14ac:dyDescent="0.25">
      <c r="B66" s="76"/>
      <c r="C66" s="76"/>
      <c r="D66" s="76"/>
      <c r="E66" s="76"/>
      <c r="F66" s="76"/>
      <c r="G66" s="76"/>
      <c r="H66" s="76"/>
      <c r="I66" s="76"/>
      <c r="J66" s="76"/>
    </row>
    <row r="67" spans="2:10" x14ac:dyDescent="0.25">
      <c r="B67" s="76"/>
      <c r="C67" s="76"/>
      <c r="D67" s="76"/>
      <c r="E67" s="76"/>
      <c r="F67" s="76"/>
      <c r="G67" s="76"/>
      <c r="H67" s="76"/>
      <c r="I67" s="76"/>
      <c r="J67" s="76"/>
    </row>
    <row r="68" spans="2:10" x14ac:dyDescent="0.25">
      <c r="B68" s="76"/>
      <c r="C68" s="76"/>
      <c r="D68" s="76"/>
      <c r="E68" s="76"/>
      <c r="F68" s="76"/>
      <c r="G68" s="76"/>
      <c r="H68" s="76"/>
      <c r="I68" s="76"/>
      <c r="J68" s="76"/>
    </row>
    <row r="69" spans="2:10" x14ac:dyDescent="0.25">
      <c r="B69" s="76"/>
      <c r="C69" s="76"/>
      <c r="D69" s="76"/>
      <c r="E69" s="76"/>
      <c r="F69" s="76"/>
      <c r="G69" s="76"/>
      <c r="H69" s="76"/>
      <c r="I69" s="76"/>
      <c r="J69" s="76"/>
    </row>
    <row r="70" spans="2:10" x14ac:dyDescent="0.25">
      <c r="B70" s="76"/>
      <c r="C70" s="76"/>
      <c r="D70" s="76"/>
      <c r="E70" s="76"/>
      <c r="F70" s="76"/>
      <c r="G70" s="76"/>
      <c r="H70" s="76"/>
      <c r="I70" s="76"/>
      <c r="J70" s="76"/>
    </row>
    <row r="71" spans="2:10" x14ac:dyDescent="0.25">
      <c r="B71" s="76"/>
      <c r="C71" s="76"/>
      <c r="D71" s="76"/>
      <c r="E71" s="76"/>
      <c r="F71" s="76"/>
      <c r="G71" s="76"/>
      <c r="H71" s="76"/>
      <c r="I71" s="76"/>
      <c r="J71" s="76"/>
    </row>
    <row r="72" spans="2:10" x14ac:dyDescent="0.25">
      <c r="B72" s="76"/>
      <c r="C72" s="76"/>
      <c r="D72" s="76"/>
      <c r="E72" s="76"/>
      <c r="F72" s="76"/>
      <c r="G72" s="76"/>
      <c r="H72" s="76"/>
      <c r="I72" s="76"/>
      <c r="J72" s="76"/>
    </row>
    <row r="73" spans="2:10" ht="14.65" customHeight="1" x14ac:dyDescent="0.25">
      <c r="B73" s="76"/>
      <c r="C73" s="76"/>
      <c r="D73" s="76"/>
      <c r="E73" s="76"/>
      <c r="F73" s="76"/>
      <c r="G73" s="76"/>
      <c r="H73" s="76"/>
      <c r="I73" s="76"/>
      <c r="J73" s="76"/>
    </row>
    <row r="74" spans="2:10" x14ac:dyDescent="0.25">
      <c r="B74" s="76"/>
      <c r="C74" s="76"/>
      <c r="D74" s="76"/>
      <c r="E74" s="76"/>
      <c r="F74" s="76"/>
      <c r="G74" s="76"/>
      <c r="H74" s="76"/>
      <c r="I74" s="76"/>
      <c r="J74" s="76"/>
    </row>
    <row r="75" spans="2:10" x14ac:dyDescent="0.25">
      <c r="B75" s="76"/>
      <c r="C75" s="76"/>
      <c r="D75" s="76"/>
      <c r="E75" s="76"/>
      <c r="F75" s="76"/>
      <c r="G75" s="76"/>
      <c r="H75" s="76"/>
      <c r="I75" s="76"/>
      <c r="J75" s="76"/>
    </row>
    <row r="76" spans="2:10" ht="14.65" customHeight="1" x14ac:dyDescent="0.25">
      <c r="B76" s="76"/>
      <c r="C76" s="76"/>
      <c r="D76" s="76"/>
      <c r="E76" s="76"/>
      <c r="F76" s="76"/>
      <c r="G76" s="76"/>
      <c r="H76" s="76"/>
      <c r="I76" s="76"/>
      <c r="J76" s="76"/>
    </row>
    <row r="77" spans="2:10" ht="14.65" customHeight="1" x14ac:dyDescent="0.25">
      <c r="B77" s="76"/>
      <c r="C77" s="76"/>
      <c r="D77" s="76"/>
      <c r="E77" s="76"/>
      <c r="F77" s="76"/>
      <c r="G77" s="76"/>
      <c r="H77" s="76"/>
      <c r="I77" s="76"/>
      <c r="J77" s="76"/>
    </row>
    <row r="78" spans="2:10" ht="14.65" customHeight="1" x14ac:dyDescent="0.25">
      <c r="B78" s="76"/>
      <c r="C78" s="76"/>
      <c r="D78" s="76"/>
      <c r="E78" s="76"/>
      <c r="F78" s="76"/>
      <c r="G78" s="76"/>
      <c r="H78" s="76"/>
      <c r="I78" s="76"/>
      <c r="J78" s="76"/>
    </row>
    <row r="79" spans="2:10" ht="14.65" customHeight="1" x14ac:dyDescent="0.25">
      <c r="B79" s="76"/>
      <c r="C79" s="76"/>
      <c r="D79" s="76"/>
      <c r="E79" s="76"/>
      <c r="F79" s="76"/>
      <c r="G79" s="76"/>
      <c r="H79" s="76"/>
      <c r="I79" s="76"/>
      <c r="J79" s="76"/>
    </row>
    <row r="80" spans="2:10" x14ac:dyDescent="0.25">
      <c r="B80" s="76"/>
      <c r="C80" s="76"/>
      <c r="D80" s="76"/>
      <c r="E80" s="76"/>
      <c r="F80" s="76"/>
      <c r="G80" s="76"/>
      <c r="H80" s="76"/>
      <c r="I80" s="76"/>
      <c r="J80" s="76"/>
    </row>
    <row r="81" spans="2:10" ht="14.65" customHeight="1" x14ac:dyDescent="0.25">
      <c r="B81" s="76"/>
      <c r="C81" s="76"/>
      <c r="D81" s="76"/>
      <c r="E81" s="76"/>
      <c r="F81" s="76"/>
      <c r="G81" s="76"/>
      <c r="H81" s="76"/>
      <c r="I81" s="76"/>
      <c r="J81" s="76"/>
    </row>
    <row r="82" spans="2:10" ht="14.65" customHeight="1" x14ac:dyDescent="0.25">
      <c r="B82" s="76"/>
      <c r="C82" s="76"/>
      <c r="D82" s="76"/>
      <c r="E82" s="76"/>
      <c r="F82" s="76"/>
      <c r="G82" s="76"/>
      <c r="H82" s="76"/>
      <c r="I82" s="76"/>
      <c r="J82" s="76"/>
    </row>
  </sheetData>
  <phoneticPr fontId="3" type="noConversion"/>
  <dataValidations count="3">
    <dataValidation type="list" allowBlank="1" showInputMessage="1" showErrorMessage="1" sqref="J16:J46" xr:uid="{00000000-0002-0000-0500-000000000000}">
      <formula1>INDIRECT("Etats")</formula1>
    </dataValidation>
    <dataValidation type="list" allowBlank="1" showInputMessage="1" showErrorMessage="1" sqref="H16:H46" xr:uid="{00000000-0002-0000-0500-000001000000}">
      <formula1>INDIRECT("Priorité")</formula1>
    </dataValidation>
    <dataValidation type="list" allowBlank="1" showInputMessage="1" showErrorMessage="1" sqref="G16:G46" xr:uid="{00000000-0002-0000-0500-000002000000}">
      <formula1>INDIRECT("Réalisation")</formula1>
    </dataValidation>
  </dataValidations>
  <pageMargins left="0.7" right="0.7" top="0.75" bottom="0.75" header="0.3" footer="0.3"/>
  <pageSetup paperSize="9" orientation="portrait"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dimension ref="B2:I9"/>
  <sheetViews>
    <sheetView showGridLines="0" workbookViewId="0">
      <selection activeCell="D25" sqref="D25"/>
    </sheetView>
  </sheetViews>
  <sheetFormatPr baseColWidth="10" defaultColWidth="11.42578125" defaultRowHeight="12.75" x14ac:dyDescent="0.2"/>
  <cols>
    <col min="1" max="1" width="3.7109375" customWidth="1"/>
    <col min="2" max="2" width="16.7109375" style="97" customWidth="1"/>
    <col min="4" max="4" width="11.42578125" style="97"/>
    <col min="6" max="6" width="11.7109375" style="97" customWidth="1"/>
    <col min="8" max="8" width="50.28515625" bestFit="1" customWidth="1"/>
  </cols>
  <sheetData>
    <row r="2" spans="2:9" x14ac:dyDescent="0.2">
      <c r="B2" s="95" t="s">
        <v>22</v>
      </c>
      <c r="D2" s="95" t="s">
        <v>21</v>
      </c>
      <c r="F2" s="98" t="s">
        <v>20</v>
      </c>
      <c r="H2" s="104" t="s">
        <v>237</v>
      </c>
      <c r="I2" s="105">
        <v>5</v>
      </c>
    </row>
    <row r="3" spans="2:9" x14ac:dyDescent="0.2">
      <c r="B3" s="96" t="s">
        <v>31</v>
      </c>
      <c r="D3" s="96" t="s">
        <v>24</v>
      </c>
      <c r="F3" s="99">
        <v>0</v>
      </c>
      <c r="H3" s="104" t="s">
        <v>271</v>
      </c>
      <c r="I3" s="105">
        <v>6</v>
      </c>
    </row>
    <row r="4" spans="2:9" x14ac:dyDescent="0.2">
      <c r="B4" s="96" t="s">
        <v>32</v>
      </c>
      <c r="D4" s="96" t="s">
        <v>27</v>
      </c>
      <c r="F4" s="100">
        <v>0.25</v>
      </c>
      <c r="H4" s="104" t="s">
        <v>272</v>
      </c>
      <c r="I4" s="105">
        <v>7</v>
      </c>
    </row>
    <row r="5" spans="2:9" x14ac:dyDescent="0.2">
      <c r="B5" s="96" t="s">
        <v>25</v>
      </c>
      <c r="D5" s="96" t="s">
        <v>30</v>
      </c>
      <c r="F5" s="99">
        <v>0.5</v>
      </c>
      <c r="H5" s="104" t="s">
        <v>273</v>
      </c>
      <c r="I5" s="105">
        <v>9</v>
      </c>
    </row>
    <row r="6" spans="2:9" x14ac:dyDescent="0.2">
      <c r="B6" s="96" t="s">
        <v>26</v>
      </c>
      <c r="D6" s="96" t="s">
        <v>163</v>
      </c>
      <c r="F6" s="100">
        <v>0.75</v>
      </c>
      <c r="H6" s="104" t="s">
        <v>274</v>
      </c>
      <c r="I6" s="105">
        <v>10</v>
      </c>
    </row>
    <row r="7" spans="2:9" x14ac:dyDescent="0.2">
      <c r="B7" s="96" t="s">
        <v>33</v>
      </c>
      <c r="F7" s="101">
        <v>1</v>
      </c>
      <c r="H7" s="104" t="s">
        <v>275</v>
      </c>
      <c r="I7" s="105">
        <v>2</v>
      </c>
    </row>
    <row r="8" spans="2:9" x14ac:dyDescent="0.2">
      <c r="H8" s="104" t="s">
        <v>276</v>
      </c>
      <c r="I8" s="105">
        <v>11</v>
      </c>
    </row>
    <row r="9" spans="2:9" x14ac:dyDescent="0.2">
      <c r="H9" s="104" t="s">
        <v>277</v>
      </c>
      <c r="I9" s="105">
        <v>15</v>
      </c>
    </row>
  </sheetData>
  <pageMargins left="0.7" right="0.7" top="0.75" bottom="0.75" header="0.3" footer="0.3"/>
  <pageSetup paperSize="9" orientation="portrait" r:id="rId1"/>
  <drawing r:id="rId2"/>
  <tableParts count="3">
    <tablePart r:id="rId3"/>
    <tablePart r:id="rId4"/>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C43B879283B524E8961CFD1CEF7AA58" ma:contentTypeVersion="4" ma:contentTypeDescription="Crée un document." ma:contentTypeScope="" ma:versionID="1d011e59c160169ff8c8c8fd66c613ff">
  <xsd:schema xmlns:xsd="http://www.w3.org/2001/XMLSchema" xmlns:xs="http://www.w3.org/2001/XMLSchema" xmlns:p="http://schemas.microsoft.com/office/2006/metadata/properties" xmlns:ns2="c26d339a-a5d6-47e1-8e1f-dfe06d0f862b" xmlns:ns3="2f9f74a0-0a1a-4409-9aa8-3bae127e79cb" targetNamespace="http://schemas.microsoft.com/office/2006/metadata/properties" ma:root="true" ma:fieldsID="757205a797ac7f37c135ff093f3dc3e6" ns2:_="" ns3:_="">
    <xsd:import namespace="c26d339a-a5d6-47e1-8e1f-dfe06d0f862b"/>
    <xsd:import namespace="2f9f74a0-0a1a-4409-9aa8-3bae127e79cb"/>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6d339a-a5d6-47e1-8e1f-dfe06d0f862b" elementFormDefault="qualified">
    <xsd:import namespace="http://schemas.microsoft.com/office/2006/documentManagement/types"/>
    <xsd:import namespace="http://schemas.microsoft.com/office/infopath/2007/PartnerControls"/>
    <xsd:element name="SharedWithUsers" ma:index="8" nillable="true" ma:displayName="Partagé avec"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Partagé avec dé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f9f74a0-0a1a-4409-9aa8-3bae127e79cb" elementFormDefault="qualified">
    <xsd:import namespace="http://schemas.microsoft.com/office/2006/documentManagement/types"/>
    <xsd:import namespace="http://schemas.microsoft.com/office/infopath/2007/PartnerControls"/>
    <xsd:element name="MediaServiceMetadata" ma:index="10" nillable="true" ma:displayName="MediaServiceMetadata" ma:description="" ma:hidden="true" ma:internalName="MediaServiceMetadata" ma:readOnly="true">
      <xsd:simpleType>
        <xsd:restriction base="dms:Note"/>
      </xsd:simpleType>
    </xsd:element>
    <xsd:element name="MediaServiceFastMetadata" ma:index="11"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36F6C6E-BC1F-457A-8F12-1D111348ED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6d339a-a5d6-47e1-8e1f-dfe06d0f862b"/>
    <ds:schemaRef ds:uri="2f9f74a0-0a1a-4409-9aa8-3bae127e79c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36C8870-AC56-4A9D-87E6-09B8065E3EE3}">
  <ds:schemaRefs>
    <ds:schemaRef ds:uri="http://purl.org/dc/dcmitype/"/>
    <ds:schemaRef ds:uri="http://purl.org/dc/terms/"/>
    <ds:schemaRef ds:uri="http://schemas.microsoft.com/office/2006/documentManagement/types"/>
    <ds:schemaRef ds:uri="http://schemas.microsoft.com/office/2006/metadata/properties"/>
    <ds:schemaRef ds:uri="http://schemas.openxmlformats.org/package/2006/metadata/core-properties"/>
    <ds:schemaRef ds:uri="http://www.w3.org/XML/1998/namespace"/>
    <ds:schemaRef ds:uri="http://purl.org/dc/elements/1.1/"/>
    <ds:schemaRef ds:uri="c26d339a-a5d6-47e1-8e1f-dfe06d0f862b"/>
    <ds:schemaRef ds:uri="http://schemas.microsoft.com/office/infopath/2007/PartnerControls"/>
    <ds:schemaRef ds:uri="2f9f74a0-0a1a-4409-9aa8-3bae127e79cb"/>
  </ds:schemaRefs>
</ds:datastoreItem>
</file>

<file path=customXml/itemProps3.xml><?xml version="1.0" encoding="utf-8"?>
<ds:datastoreItem xmlns:ds="http://schemas.openxmlformats.org/officeDocument/2006/customXml" ds:itemID="{3D790E1A-26DE-4911-927B-CE9C5F643CD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7</vt:i4>
      </vt:variant>
      <vt:variant>
        <vt:lpstr>Plages nommées</vt:lpstr>
      </vt:variant>
      <vt:variant>
        <vt:i4>3</vt:i4>
      </vt:variant>
    </vt:vector>
  </HeadingPairs>
  <TitlesOfParts>
    <vt:vector size="10" baseType="lpstr">
      <vt:lpstr>Suivi evolution</vt:lpstr>
      <vt:lpstr>Courbes</vt:lpstr>
      <vt:lpstr>Paramètres</vt:lpstr>
      <vt:lpstr>Garantie  Stabilisation</vt:lpstr>
      <vt:lpstr>Guide d'utilisation</vt:lpstr>
      <vt:lpstr>Actions</vt:lpstr>
      <vt:lpstr>Parametres</vt:lpstr>
      <vt:lpstr>Etats</vt:lpstr>
      <vt:lpstr>Priorité</vt:lpstr>
      <vt:lpstr>Réalisation</vt:lpstr>
    </vt:vector>
  </TitlesOfParts>
  <Company>Sollan France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Liste des tâches, points ouverts et décisions importantes</dc:title>
  <dc:creator>Paul Terray</dc:creator>
  <cp:lastModifiedBy>HP</cp:lastModifiedBy>
  <cp:revision/>
  <dcterms:created xsi:type="dcterms:W3CDTF">2007-10-01T20:00:42Z</dcterms:created>
  <dcterms:modified xsi:type="dcterms:W3CDTF">2022-12-13T23:17:06Z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0x0101000C43B879283B524E8961CFD1CEF7AA58</vt:lpwstr>
  </property>
</Properties>
</file>